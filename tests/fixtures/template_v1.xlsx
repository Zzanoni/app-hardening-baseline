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Instructions" sheetId="1" state="visible" r:id="rId1"/>
    <sheet name="Characterization Form" sheetId="2" state="visible" r:id="rId2"/>
    <sheet name="Master Template" sheetId="3" state="visible" r:id="rId3"/>
    <sheet name="Custom Controls" sheetId="4" state="visible" r:id="rId4"/>
  </sheets>
  <definedNames>
    <definedName name="API_EXPOSED" hidden="0" function="0" vbProcedure="0">'Characterization Form'!$D$7</definedName>
    <definedName name="FILE_HANDLING" hidden="0" function="0" vbProcedure="0">'Characterization Form'!$D$10</definedName>
    <definedName name="OAUTH_OIDC_USED" hidden="0" function="0" vbProcedure="0">'Characterization Form'!$D$11</definedName>
    <definedName name="SESSION_STATEFUL" hidden="0" function="0" vbProcedure="0">'Characterization Form'!$D$9</definedName>
    <definedName name="SPA_FRONTEND" hidden="0" function="0" vbProcedure="0">'Characterization Form'!$D$8</definedName>
    <definedName name="TARGET_LEVEL" hidden="0" function="0" vbProcedure="0">'Characterization Form'!$D$6</definedName>
    <definedName name="WEBRTC_USED" hidden="0" function="0" vbProcedure="0">'Characterization Form'!$D$13</definedName>
    <definedName name="DATA_SENSITIVITY">'Characterization Form'!$D$12</definedName>
    <definedName name="EXPOSURE">'Characterization Form'!$D$14</definedName>
    <definedName name="BUSINESS_IMPACT">'Characterization Form'!$D$15</definedName>
    <definedName name="TARGET_LEVEL_NUM">'Characterization Form'!$D$17</definedName>
    <definedName name="DATA_SENSITIVITY_SCORE">'Characterization Form'!$D$18</definedName>
    <definedName name="EXPOSURE_SCORE">'Characterization Form'!$D$19</definedName>
    <definedName name="BUSINESS_IMPACT_SCORE">'Characterization Form'!$D$20</definedName>
    <definedName name="APP_RISK_SCORE">'Characterization Form'!$D$21</definedName>
    <definedName name="APP_RISK_TIER">'Characterization Form'!$D$22</definedName>
    <definedName name="CRIT_MATRIX">'Characterization Form'!$B$26:$E$28</definedName>
    <definedName name="CRIT_MATRIX_ROWS">'Characterization Form'!$A$26:$A$28</definedName>
    <definedName name="CRIT_MATRIX_COLS">'Characterization Form'!$B$25:$E$25</definedName>
    <definedName name="_xlnm._FilterDatabase" localSheetId="2" hidden="1">'Master Template'!$A$4:$P$349</definedName>
    <definedName name="_xlnm._FilterDatabase" localSheetId="3" hidden="1">'Custom Controls'!$A$4:$P$24</definedName>
  </definedNames>
  <calcPr calcId="124519" fullCalcOnLoad="1" refMode="A1" iterate="0" iterateCount="100" iterateDelta="0.0001"/>
</workbook>
</file>

<file path=xl/styles.xml><?xml version="1.0" encoding="utf-8"?>
<styleSheet xmlns="http://schemas.openxmlformats.org/spreadsheetml/2006/main">
  <numFmts count="0"/>
  <fonts count="1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b val="1"/>
      <color rgb="FF1F4E78"/>
      <sz val="10"/>
    </font>
    <font>
      <name val="Arial"/>
      <charset val="1"/>
      <family val="0"/>
      <sz val="10"/>
    </font>
    <font>
      <name val="Arial"/>
      <charset val="1"/>
      <family val="0"/>
      <i val="1"/>
      <color rgb="FF595959"/>
      <sz val="9"/>
    </font>
    <font>
      <name val="Arial"/>
      <charset val="1"/>
      <family val="0"/>
      <b val="1"/>
      <color rgb="FFFFFFFF"/>
      <sz val="10"/>
    </font>
    <font>
      <name val="Arial"/>
      <charset val="1"/>
      <family val="0"/>
      <color rgb="FF808080"/>
      <sz val="9"/>
    </font>
    <font>
      <name val="Arial"/>
      <charset val="1"/>
      <family val="0"/>
      <b val="1"/>
      <sz val="10"/>
    </font>
    <font>
      <name val="Arial"/>
      <charset val="1"/>
      <family val="0"/>
      <b val="1"/>
      <color rgb="FFFFFFFF"/>
      <sz val="9"/>
    </font>
    <font>
      <name val="Arial"/>
      <charset val="1"/>
      <family val="0"/>
      <sz val="9"/>
    </font>
    <font>
      <name val="Arial"/>
      <charset val="1"/>
      <family val="0"/>
      <b val="1"/>
      <sz val="9"/>
    </font>
    <font>
      <name val="Arial"/>
      <b val="1"/>
      <sz val="9"/>
    </font>
    <font>
      <name val="Arial"/>
      <b val="1"/>
      <sz val="11"/>
    </font>
    <font>
      <name val="Arial"/>
      <i val="1"/>
      <sz val="9"/>
    </font>
    <font>
      <name val="Arial"/>
      <sz val="9"/>
    </font>
  </fonts>
  <fills count="9">
    <fill>
      <patternFill/>
    </fill>
    <fill>
      <patternFill patternType="gray125"/>
    </fill>
    <fill>
      <patternFill patternType="solid">
        <fgColor rgb="FF1F4E78"/>
        <bgColor rgb="FF2E5395"/>
      </patternFill>
    </fill>
    <fill>
      <patternFill patternType="solid">
        <fgColor rgb="FFD9E2F3"/>
        <bgColor rgb="FFEDEDED"/>
      </patternFill>
    </fill>
    <fill>
      <patternFill patternType="solid">
        <fgColor rgb="FF2E5395"/>
        <bgColor rgb="FF1F4E78"/>
      </patternFill>
    </fill>
    <fill>
      <patternFill patternType="solid">
        <fgColor rgb="FFFFF2CC"/>
        <bgColor rgb="FFF2F2F2"/>
      </patternFill>
    </fill>
    <fill>
      <patternFill patternType="solid">
        <fgColor rgb="FFF2F2F2"/>
        <bgColor rgb="FFEDEDED"/>
      </patternFill>
    </fill>
    <fill>
      <patternFill patternType="solid">
        <fgColor rgb="FFF2F2F2"/>
        <bgColor rgb="FFF2F2F2"/>
      </patternFill>
    </fill>
    <fill>
      <patternFill patternType="solid">
        <fgColor rgb="FFFFF2CC"/>
        <b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1">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3" borderId="0" applyAlignment="1" pivotButton="0" quotePrefix="0" xfId="0">
      <alignment horizontal="general" vertical="bottom"/>
    </xf>
    <xf numFmtId="0" fontId="6" fillId="0" borderId="0" applyAlignment="1" pivotButton="0" quotePrefix="0" xfId="0">
      <alignment horizontal="left" vertical="top" wrapText="1"/>
    </xf>
    <xf numFmtId="0" fontId="4" fillId="2" borderId="0" applyAlignment="1" pivotButton="0" quotePrefix="0" xfId="0">
      <alignment horizontal="general" vertical="bottom"/>
    </xf>
    <xf numFmtId="0" fontId="7" fillId="0" borderId="0" applyAlignment="1" pivotButton="0" quotePrefix="0" xfId="0">
      <alignment horizontal="left" vertical="top" wrapText="1"/>
    </xf>
    <xf numFmtId="0" fontId="8" fillId="4" borderId="1" applyAlignment="1" pivotButton="0" quotePrefix="0" xfId="0">
      <alignment horizontal="center" vertical="center" wrapText="1"/>
    </xf>
    <xf numFmtId="0" fontId="9" fillId="0" borderId="1" applyAlignment="1" pivotButton="0" quotePrefix="0" xfId="0">
      <alignment horizontal="left" vertical="top" wrapText="1"/>
    </xf>
    <xf numFmtId="0" fontId="6" fillId="0" borderId="1" applyAlignment="1" pivotButton="0" quotePrefix="0" xfId="0">
      <alignment horizontal="left" vertical="top" wrapText="1"/>
    </xf>
    <xf numFmtId="0" fontId="10" fillId="5" borderId="1" applyAlignment="1" pivotButton="0" quotePrefix="0" xfId="0">
      <alignment horizontal="center" vertical="center" wrapText="1"/>
    </xf>
    <xf numFmtId="0" fontId="7" fillId="0" borderId="1" applyAlignment="1" pivotButton="0" quotePrefix="0" xfId="0">
      <alignment horizontal="left" vertical="top" wrapText="1"/>
    </xf>
    <xf numFmtId="0" fontId="9" fillId="0" borderId="1" applyAlignment="1" pivotButton="0" quotePrefix="0" xfId="0">
      <alignment horizontal="general" vertical="bottom"/>
    </xf>
    <xf numFmtId="0" fontId="0" fillId="0" borderId="1" applyAlignment="1" pivotButton="0" quotePrefix="0" xfId="0">
      <alignment horizontal="general" vertical="bottom"/>
    </xf>
    <xf numFmtId="0" fontId="6" fillId="6"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left" vertical="top" wrapText="1"/>
    </xf>
    <xf numFmtId="0" fontId="13" fillId="0"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3" borderId="0" applyAlignment="1" pivotButton="0" quotePrefix="0" xfId="0">
      <alignment horizontal="general" vertical="bottom"/>
    </xf>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4" borderId="1" applyAlignment="1" pivotButton="0" quotePrefix="0" xfId="0">
      <alignment horizontal="center" vertical="center" wrapText="1"/>
    </xf>
    <xf numFmtId="0" fontId="9" fillId="0" borderId="1" applyAlignment="1" pivotButton="0" quotePrefix="0" xfId="0">
      <alignment horizontal="left" vertical="top" wrapText="1"/>
    </xf>
    <xf numFmtId="0" fontId="6" fillId="0" borderId="1" applyAlignment="1" pivotButton="0" quotePrefix="0" xfId="0">
      <alignment horizontal="left" vertical="top" wrapText="1"/>
    </xf>
    <xf numFmtId="0" fontId="10" fillId="5" borderId="1" applyAlignment="1" pivotButton="0" quotePrefix="0" xfId="0">
      <alignment horizontal="center" vertical="center" wrapText="1"/>
    </xf>
    <xf numFmtId="0" fontId="7" fillId="0" borderId="1" applyAlignment="1" pivotButton="0" quotePrefix="0" xfId="0">
      <alignment horizontal="left" vertical="top" wrapText="1"/>
    </xf>
    <xf numFmtId="0" fontId="9" fillId="0" borderId="1" applyAlignment="1" pivotButton="0" quotePrefix="0" xfId="0">
      <alignment horizontal="left" vertical="top" wrapText="1"/>
    </xf>
    <xf numFmtId="0" fontId="6" fillId="0" borderId="1" applyAlignment="1" pivotButton="0" quotePrefix="0" xfId="0">
      <alignment horizontal="left" vertical="top" wrapText="1"/>
    </xf>
    <xf numFmtId="0" fontId="10" fillId="5" borderId="1" applyAlignment="1" pivotButton="0" quotePrefix="0" xfId="0">
      <alignment horizontal="center" vertical="center" wrapText="1"/>
    </xf>
    <xf numFmtId="0" fontId="7" fillId="0" borderId="1" applyAlignment="1" pivotButton="0" quotePrefix="0" xfId="0">
      <alignment horizontal="left" vertical="top" wrapText="1"/>
    </xf>
    <xf numFmtId="0" fontId="10" fillId="7" borderId="1" applyAlignment="1" pivotButton="0" quotePrefix="0" xfId="0">
      <alignment horizontal="center" vertical="center" wrapText="1"/>
    </xf>
    <xf numFmtId="0" fontId="8" fillId="4" borderId="0" applyAlignment="1" pivotButton="0" quotePrefix="0" xfId="0">
      <alignment horizontal="center" vertical="center" wrapText="1"/>
    </xf>
    <xf numFmtId="0" fontId="14" fillId="0" borderId="0" pivotButton="0" quotePrefix="0" xfId="0"/>
    <xf numFmtId="0" fontId="0" fillId="0" borderId="0" applyAlignment="1" pivotButton="0" quotePrefix="0" xfId="0">
      <alignment horizontal="center" vertical="center" wrapText="1"/>
    </xf>
    <xf numFmtId="0" fontId="11" fillId="4"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left" vertical="top" wrapText="1"/>
    </xf>
    <xf numFmtId="0" fontId="13"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5" fillId="0" borderId="0" pivotButton="0" quotePrefix="0" xfId="0"/>
    <xf numFmtId="0" fontId="16" fillId="0" borderId="0" applyAlignment="1" pivotButton="0" quotePrefix="0" xfId="0">
      <alignment horizontal="left" vertical="top" wrapText="1"/>
    </xf>
    <xf numFmtId="0" fontId="11" fillId="4" borderId="2" applyAlignment="1" pivotButton="0" quotePrefix="0" xfId="0">
      <alignment horizontal="center" vertical="center" wrapText="1"/>
    </xf>
    <xf numFmtId="0" fontId="17" fillId="8" borderId="2" applyAlignment="1" pivotButton="0" quotePrefix="0" xfId="0">
      <alignment horizontal="left" vertical="top" wrapText="1"/>
    </xf>
    <xf numFmtId="0" fontId="17" fillId="8" borderId="2" applyAlignment="1" pivotButton="0" quotePrefix="0" xfId="0">
      <alignment horizontal="center" vertical="center" wrapText="1"/>
    </xf>
    <xf numFmtId="0" fontId="17" fillId="0" borderId="2" applyAlignment="1" pivotButton="0" quotePrefix="0" xfId="0">
      <alignment horizontal="left" vertical="top" wrapText="1"/>
    </xf>
    <xf numFmtId="0" fontId="17" fillId="0" borderId="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4">
    <dxf>
      <fill>
        <patternFill patternType="solid">
          <fgColor rgb="FF2E5395"/>
          <bgColor rgb="FF000000"/>
        </patternFill>
      </fill>
    </dxf>
    <dxf>
      <fill>
        <patternFill patternType="solid">
          <bgColor rgb="FF000000"/>
        </patternFill>
      </fill>
    </dxf>
    <dxf>
      <fill>
        <patternFill patternType="solid">
          <fgColor rgb="FFFFFFFF"/>
          <bgColor rgb="FF000000"/>
        </patternFill>
      </fill>
    </dxf>
    <dxf>
      <fill>
        <patternFill patternType="solid">
          <fgColor rgb="FFEDEDED"/>
          <bgColor rgb="FF000000"/>
        </patternFill>
      </fill>
    </dxf>
    <dxf>
      <fill>
        <patternFill patternType="solid">
          <fgColor rgb="FF808080"/>
          <bgColor rgb="FF000000"/>
        </patternFill>
      </fill>
    </dxf>
    <dxf>
      <font>
        <name val="Arial"/>
        <charset val="1"/>
        <family val="0"/>
        <i val="1"/>
        <color rgb="FF808080"/>
        <sz val="9"/>
      </font>
      <fill>
        <patternFill>
          <bgColor rgb="FFEDEDED"/>
        </patternFill>
      </fill>
    </dxf>
    <dxf>
      <fill>
        <patternFill>
          <bgColor rgb="FFF8CBAD"/>
        </patternFill>
      </fill>
    </dxf>
    <dxf>
      <fill>
        <patternFill>
          <bgColor rgb="FFFFE699"/>
        </patternFill>
      </fill>
    </dxf>
    <dxf>
      <fill>
        <patternFill>
          <bgColor rgb="FFC6E0B4"/>
        </patternFill>
      </fill>
    </dxf>
    <dxf>
      <fill>
        <patternFill patternType="solid">
          <fgColor rgb="FFFFC7CE"/>
          <bgColor rgb="FFFFC7CE"/>
        </patternFill>
      </fill>
    </dxf>
    <dxf>
      <fill>
        <patternFill patternType="solid">
          <fgColor rgb="FFFFE0B2"/>
          <bgColor rgb="FFFFE0B2"/>
        </patternFill>
      </fill>
    </dxf>
    <dxf>
      <fill>
        <patternFill patternType="solid">
          <fgColor rgb="FFFFEB9C"/>
          <bgColor rgb="FFFFEB9C"/>
        </patternFill>
      </fill>
    </dxf>
    <dxf>
      <fill>
        <patternFill patternType="solid">
          <fgColor rgb="FFF2F2F2"/>
          <bgColor rgb="FFF2F2F2"/>
        </patternFill>
      </fill>
    </dxf>
    <dxf>
      <fill>
        <patternFill patternType="solid">
          <fgColor rgb="FFC6EFCE"/>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6E0B4"/>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4E78"/>
      <rgbColor rgb="FF339966"/>
      <rgbColor rgb="FF003300"/>
      <rgbColor rgb="FF333300"/>
      <rgbColor rgb="FF993300"/>
      <rgbColor rgb="FF993366"/>
      <rgbColor rgb="FF2E5395"/>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0" customWidth="1" style="18" min="1" max="1"/>
  </cols>
  <sheetData>
    <row r="1" ht="27.75" customHeight="1" s="19">
      <c r="A1" s="20" t="inlineStr">
        <is>
          <t>ASVS-Based Application Hardening Master Template — User Guide</t>
        </is>
      </c>
    </row>
    <row r="3" ht="18" customHeight="1" s="19">
      <c r="A3" s="21" t="inlineStr">
        <is>
          <t>What this file is</t>
        </is>
      </c>
    </row>
    <row r="4" ht="45" customHeight="1" s="19">
      <c r="A4" s="22" t="inlineStr">
        <is>
          <t>This workbook is the master application-hardening baseline, built from the complete OWASP ASVS 5.0.0 requirement set (345 requirements, 17 chapters, levels L1/L2/L3). It complements the governance document 'Application Hardening — Agnostic Baseline and Coverage Matrix'. It is maintained once, centrally, and then filtered per application without being rewritten each time.</t>
        </is>
      </c>
    </row>
    <row r="5" ht="45" customHeight="1" s="19">
      <c r="A5" s="22" t="inlineStr">
        <is>
          <t>Source — OWASP Application Security Verification Standard (ASVS) v5.0.0 — https://github.com/OWASP/ASVS</t>
        </is>
      </c>
    </row>
    <row r="6" ht="18" customHeight="1" s="19">
      <c r="A6" s="21" t="inlineStr">
        <is>
          <t>How to use it for a specific application</t>
        </is>
      </c>
    </row>
    <row r="7" ht="45" customHeight="1" s="19">
      <c r="A7" s="22" t="inlineStr">
        <is>
          <t>Step 1 — Make a copy of this file named after the application (e.g., Hardening_AppX.xlsx).</t>
        </is>
      </c>
    </row>
    <row r="8" ht="45" customHeight="1" s="19">
      <c r="A8" s="22" t="inlineStr">
        <is>
          <t>Step 2 — On the 'Characterization Form' sheet, fill in the 'Answer' column (highlighted in yellow) describing the nature of the application (target ASVS level, whether it exposes an API, uses OAuth/OIDC, is session-based, etc.). Use only the values offered in each dropdown — the closed vocabulary is what drives automatic filtering.</t>
        </is>
      </c>
    </row>
    <row r="9" ht="45" customHeight="1" s="19">
      <c r="A9" s="22" t="inlineStr">
        <is>
          <t>Step 3 — Go to the 'Master Template' sheet. Column H (Applicable?) recalculates automatically from two things: (a) whether the requirement's ASVS chapter applies to this kind of application, and (b) whether the requirement's level is within the target level chosen in Step 2. Column P (Criticality) recalculates alongside it, from column O (Requirement Impact, fixed per ASVS chapter) crossed against this application's risk tier (computed from the Characterization Form's Data Sensitivity, Exposure, and Business Impact answers). Use the header AutoFilter to filter 'Applicable' and work only with the requirements that actually apply to this application.</t>
        </is>
      </c>
    </row>
    <row r="10" ht="45" customHeight="1" s="19">
      <c r="A10" s="22" t="inlineStr">
        <is>
          <t>Step 4 — For every requirement marked 'Applicable', fill in column L (Coverage Status) with the real status (Full coverage, Partial coverage, Gap, Not assessed), column M with the actual tool/evidence used at this company, and column N with notes.</t>
        </is>
      </c>
    </row>
    <row r="11" ht="45" customHeight="1" s="19">
      <c r="A11" s="22" t="inlineStr">
        <is>
          <t>Step 5 — Requirements marked 'N/A' need no status — they remain on record as 'considered and excluded by criterion', which is itself the audit evidence that the item was not overlooked, only ruled out based on the answers given in the Characterization Form.</t>
        </is>
      </c>
    </row>
    <row r="12" ht="18" customHeight="1" s="19">
      <c r="A12" s="18" t="inlineStr">
        <is>
          <t>Step 6 — Column P (Criticality: Low/Medium/High/Critical) tells you which applicable requirements matter most for this specific application — it is not fixed per ASVS requirement, it depends on both the requirement's inherent impact and this application's risk profile. Items marked Critical or High are subject to the company's governance rules for high-risk findings (see the governance document's 'Governance rules by criticality' section).</t>
        </is>
      </c>
    </row>
    <row r="13" ht="45" customHeight="1" s="19">
      <c r="A13" s="18" t="inlineStr"/>
    </row>
    <row r="14" ht="18" customHeight="1" s="19">
      <c r="A14" s="21" t="inlineStr">
        <is>
          <t>Formalizing the output per application</t>
        </is>
      </c>
    </row>
    <row r="15" ht="45" customHeight="1" s="19">
      <c r="A15" s="22" t="inlineStr">
        <is>
          <t>Confluence — Once filled in, this filtered sheet is the data source for the per-application hardening record. Given the volume (100+ applications), a Confluence page per application (built from a page template) is the recommended format over a Word document per app — it stays versioned, searchable, linkable and commentable without generating a hundred loose files. How to turn a filtered sheet into a Confluence page is covered separately.</t>
        </is>
      </c>
    </row>
    <row r="16" ht="18" customHeight="1" s="19">
      <c r="A16" s="21" t="inlineStr">
        <is>
          <t>Maintaining the baseline</t>
        </is>
      </c>
    </row>
    <row r="17" ht="45" customHeight="1" s="19">
      <c r="A17" s="22" t="inlineStr">
        <is>
          <t>Updating a requirement — When a requirement changes (e.g., ASVS releases a new version, or a regulatory requirement is added), edit only this master file. The change propagates to any application whose next copy/update is generated from it.</t>
        </is>
      </c>
    </row>
    <row r="18" ht="18" customHeight="1" s="19">
      <c r="A18" s="21" t="inlineStr">
        <is>
          <t>Scope note</t>
        </is>
      </c>
    </row>
    <row r="19" ht="45" customHeight="1" s="19">
      <c r="A19" s="22" t="inlineStr">
        <is>
          <t>Applicability in this template is scored at the ASVS chapter level (17 chapters), not per individual requirement. Within an applicable chapter, all requirements at or below the application's target level are considered applicable. This keeps the model auditable and maintainable across 100+ applications, at the cost of some requirements inside an applicable chapter being marginally relevant to a given app — those should be marked 'N/A' manually in column L with a one-line justification in column N.</t>
        </is>
      </c>
    </row>
    <row r="20" ht="45" customHeight="1" s="19">
      <c r="A20" s="21" t="inlineStr">
        <is>
          <t>Color conventions</t>
        </is>
      </c>
    </row>
    <row r="21" ht="45" customHeight="1" s="19">
      <c r="A21" s="22" t="inlineStr">
        <is>
          <t>Yellow — Input cell — fill in per application (Characterization Form).</t>
        </is>
      </c>
    </row>
    <row r="22">
      <c r="A22" s="22" t="inlineStr">
        <is>
          <t>Light grey — Row computed as N/A for the current application (Master Template, column H).</t>
        </is>
      </c>
    </row>
    <row r="23">
      <c r="A23" s="22" t="inlineStr">
        <is>
          <t>Red / Yellow / Green (column L) — Coverage status: Gap (red), Partial coverage (yellow), Full coverage (green).</t>
        </is>
      </c>
    </row>
    <row r="24">
      <c r="A24" s="18" t="inlineStr">
        <is>
          <t>Red / Orange / Yellow / Grey (column P) — Criticality: Critical (red), High (orange), Medium (yellow), N/A (grey).</t>
        </is>
      </c>
    </row>
    <row r="26">
      <c r="A26" t="inlineStr">
        <is>
          <t>Adding controls beyond ASVS</t>
        </is>
      </c>
    </row>
    <row r="27">
      <c r="A27" t="inlineStr">
        <is>
          <t>If your organization needs a requirement that isn't part of ASVS (an internal policy, a contractual obligation, a control for something ASVS doesn't cover), add it to the 'Custom Controls' sheet, not to 'Master Template'. Master Template must stay a verbatim copy of ASVS so it can always be safely refreshed from a future ASVS release without losing anything. 'Custom Controls' has the same columns and the same Applicable?/Criticality mechanics, pre-wired and ready to fill in — see its own header note for how column G (Applicability Formula) works there.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8" min="1" max="1"/>
    <col width="50" customWidth="1" style="18" min="2" max="2"/>
    <col width="26" customWidth="1" style="18" min="3" max="3"/>
    <col width="16" customWidth="1" style="18" min="4" max="4"/>
    <col width="50" customWidth="1" style="18" min="5" max="5"/>
  </cols>
  <sheetData>
    <row r="1" ht="25.5" customHeight="1" s="19">
      <c r="A1" s="20" t="inlineStr">
        <is>
          <t>Application Characterization Form</t>
        </is>
      </c>
    </row>
    <row r="2" ht="36" customHeight="1" s="19">
      <c r="A2" s="23" t="inlineStr">
        <is>
          <t>Fill in the 'Answer' column (yellow) for the application under assessment. Use only the dropdown options for each row — the closed vocabulary is what drives the automatic filtering on the 'Master Template' sheet. Applicability is scored per ASVS chapter (17 chapters), so each answer here gates one or more whole chapters.</t>
        </is>
      </c>
    </row>
    <row r="4" ht="21.75" customHeight="1" s="19">
      <c r="A4" s="24" t="inlineStr">
        <is>
          <t>Key (internal use)</t>
        </is>
      </c>
      <c r="B4" s="24" t="inlineStr">
        <is>
          <t>Question</t>
        </is>
      </c>
      <c r="C4" s="24" t="inlineStr">
        <is>
          <t>Possible options</t>
        </is>
      </c>
      <c r="D4" s="24" t="inlineStr">
        <is>
          <t>Answer</t>
        </is>
      </c>
      <c r="E4" s="24" t="inlineStr">
        <is>
          <t>Notes / Help</t>
        </is>
      </c>
    </row>
    <row r="5" ht="45.75" customHeight="1" s="19">
      <c r="A5" s="29" t="inlineStr">
        <is>
          <t>APP_NAME</t>
        </is>
      </c>
      <c r="B5" s="30" t="inlineStr">
        <is>
          <t>Application name</t>
        </is>
      </c>
      <c r="C5" s="30" t="inlineStr">
        <is>
          <t>—</t>
        </is>
      </c>
      <c r="D5" s="31" t="n"/>
      <c r="E5" s="32" t="inlineStr">
        <is>
          <t>Free text — identifies the application being assessed.</t>
        </is>
      </c>
    </row>
    <row r="6" ht="45.75" customHeight="1" s="19">
      <c r="A6" s="29" t="inlineStr">
        <is>
          <t>TARGET_LEVEL</t>
        </is>
      </c>
      <c r="B6" s="30" t="inlineStr">
        <is>
          <t>Target ASVS verification level for this application</t>
        </is>
      </c>
      <c r="C6" s="30" t="inlineStr">
        <is>
          <t>L1, L2, L3</t>
        </is>
      </c>
      <c r="D6" s="31" t="n"/>
      <c r="E6" s="32" t="inlineStr">
        <is>
          <t>L1 = baseline, automatable, applies to every application. L2 = standard for applications handling sensitive data (recommended corporate default). L3 = high-assurance applications (financial, health, critical infrastructure). This gates which requirement LEVELS are in scope, in addition to chapter gating.</t>
        </is>
      </c>
    </row>
    <row r="7" ht="45.75" customHeight="1" s="19">
      <c r="A7" s="29" t="inlineStr">
        <is>
          <t>API_EXPOSED</t>
        </is>
      </c>
      <c r="B7" s="30" t="inlineStr">
        <is>
          <t>Does the application expose an API (REST/GraphQL/WebSocket/RPC) for external or service-to-service consumption?</t>
        </is>
      </c>
      <c r="C7" s="30" t="inlineStr">
        <is>
          <t>Yes, No</t>
        </is>
      </c>
      <c r="D7" s="31" t="n"/>
      <c r="E7" s="32" t="inlineStr">
        <is>
          <t>Gates ASVS Chapter V4 (API and Web Service). Includes internal APIs consumed by other teams/services.</t>
        </is>
      </c>
    </row>
    <row r="8" ht="45.75" customHeight="1" s="19">
      <c r="A8" s="29" t="inlineStr">
        <is>
          <t>SPA_FRONTEND</t>
        </is>
      </c>
      <c r="B8" s="30" t="inlineStr">
        <is>
          <t>Does the application have a client-side front end (SPA) that executes logic in the user's browser?</t>
        </is>
      </c>
      <c r="C8" s="30" t="inlineStr">
        <is>
          <t>Yes, No</t>
        </is>
      </c>
      <c r="D8" s="31" t="n"/>
      <c r="E8" s="32" t="inlineStr">
        <is>
          <t>Gates ASVS Chapter V3 (Web Frontend Security). Distinct from pure server-side rendering.</t>
        </is>
      </c>
    </row>
    <row r="9" ht="45.75" customHeight="1" s="19">
      <c r="A9" s="29" t="inlineStr">
        <is>
          <t>SESSION_STATEFUL</t>
        </is>
      </c>
      <c r="B9" s="30" t="inlineStr">
        <is>
          <t>Does the application maintain server-side stateful sessions (session ID + store)?</t>
        </is>
      </c>
      <c r="C9" s="30" t="inlineStr">
        <is>
          <t>Yes, No</t>
        </is>
      </c>
      <c r="D9" s="31" t="n"/>
      <c r="E9" s="32" t="inlineStr">
        <is>
          <t>Gates ASVS Chapter V7 (Session Management) when 'Yes', and Chapter V9 (Self-contained Tokens) when 'No' (i.e., a stateless/JWT-only model).</t>
        </is>
      </c>
    </row>
    <row r="10" ht="45.75" customHeight="1" s="19">
      <c r="A10" s="29" t="inlineStr">
        <is>
          <t>FILE_HANDLING</t>
        </is>
      </c>
      <c r="B10" s="30" t="inlineStr">
        <is>
          <t>Does the application handle file upload, storage, or download of user-provided files?</t>
        </is>
      </c>
      <c r="C10" s="30" t="inlineStr">
        <is>
          <t>Yes, No</t>
        </is>
      </c>
      <c r="D10" s="31" t="n"/>
      <c r="E10" s="32" t="inlineStr">
        <is>
          <t>Gates ASVS Chapter V5 (File Handling).</t>
        </is>
      </c>
    </row>
    <row r="11" ht="45.75" customHeight="1" s="19">
      <c r="A11" s="29" t="inlineStr">
        <is>
          <t>OAUTH_OIDC_USED</t>
        </is>
      </c>
      <c r="B11" s="30" t="inlineStr">
        <is>
          <t>Does the application use OAuth 2.0 or OpenID Connect, in any role (client, authorization server, resource server, or OpenID Provider)?</t>
        </is>
      </c>
      <c r="C11" s="30" t="inlineStr">
        <is>
          <t>Yes, No</t>
        </is>
      </c>
      <c r="D11" s="31" t="n"/>
      <c r="E11" s="32" t="inlineStr">
        <is>
          <t>Gates ASVS Chapter V10 (OAuth and OIDC). Enterprise SSO via OIDC/SAML counts as 'Yes'.</t>
        </is>
      </c>
    </row>
    <row r="12" ht="45.75" customHeight="1" s="19">
      <c r="A12" s="29" t="inlineStr">
        <is>
          <t>DATA_SENSITIVITY</t>
        </is>
      </c>
      <c r="B12" s="30" t="inlineStr">
        <is>
          <t>Data classification the application stores or processes</t>
        </is>
      </c>
      <c r="C12" s="30" t="inlineStr">
        <is>
          <t>None, Internal, Confidential, Regulated</t>
        </is>
      </c>
      <c r="D12" s="31" t="n"/>
      <c r="E12" s="32" t="inlineStr">
        <is>
          <t>Gates ASVS Chapter V14 (Data Protection) when 'Confidential' or 'Regulated'. Regulated = PII, PCI, PHI, financial, or other regulated data. Also feeds the Application Risk Tier used to compute per-item Criticality (see rows 17-22 and the Criticality Matrix below).</t>
        </is>
      </c>
    </row>
    <row r="13" ht="45.75" customHeight="1" s="19">
      <c r="A13" s="29" t="inlineStr">
        <is>
          <t>WEBRTC_USED</t>
        </is>
      </c>
      <c r="B13" s="30" t="inlineStr">
        <is>
          <t>Does the application use WebRTC (real-time audio/video/data channels)?</t>
        </is>
      </c>
      <c r="C13" s="30" t="inlineStr">
        <is>
          <t>Yes, No</t>
        </is>
      </c>
      <c r="D13" s="31" t="n"/>
      <c r="E13" s="32" t="inlineStr">
        <is>
          <t>Gates ASVS Chapter V17 (WebRTC).</t>
        </is>
      </c>
    </row>
    <row r="14" ht="45.75" customHeight="1" s="19">
      <c r="A14" s="29" t="inlineStr">
        <is>
          <t>EXPOSURE</t>
        </is>
      </c>
      <c r="B14" s="30" t="inlineStr">
        <is>
          <t>Network exposure of the application</t>
        </is>
      </c>
      <c r="C14" s="30" t="inlineStr">
        <is>
          <t>Internal only, Partner/B2B network, Public internet</t>
        </is>
      </c>
      <c r="D14" s="31" t="n"/>
      <c r="E14" s="32" t="inlineStr">
        <is>
          <t>Informational for risk tiering only (does not gate any ASVS chapter). Public internet = reachable by unauthenticated external users. Partner/B2B = reachable only by authenticated external organizations/services. Internal only = reachable solely from the corporate network.</t>
        </is>
      </c>
    </row>
    <row r="15" ht="45.75" customHeight="1" s="19">
      <c r="A15" s="29" t="inlineStr">
        <is>
          <t>BUSINESS_IMPACT</t>
        </is>
      </c>
      <c r="B15" s="30" t="inlineStr">
        <is>
          <t>Business impact if this application is breached or made unavailable</t>
        </is>
      </c>
      <c r="C15" s="30" t="inlineStr">
        <is>
          <t>Low, Medium, High, Critical</t>
        </is>
      </c>
      <c r="D15" s="31" t="n"/>
      <c r="E15" s="32" t="inlineStr">
        <is>
          <t>Informational for risk tiering only (does not gate any ASVS chapter). Consider revenue impact, safety impact, regulatory/legal penalty exposure, and reputational impact. When in doubt, use the company's existing business-impact or data-classification tier for this application if one already exists.</t>
        </is>
      </c>
    </row>
    <row r="16" ht="15" customHeight="1" s="19"/>
    <row r="17" ht="45.75" customHeight="1" s="19">
      <c r="A17" s="29" t="inlineStr">
        <is>
          <t>TARGET_LEVEL_NUM</t>
        </is>
      </c>
      <c r="B17" s="30" t="inlineStr">
        <is>
          <t>Computed numeric value of the target level above (do not edit).</t>
        </is>
      </c>
      <c r="C17" s="30" t="n"/>
      <c r="D17" s="33">
        <f>IF(D6="L1",1,IF(D6="L2",2,IF(D6="L3",3,0)))</f>
        <v/>
      </c>
      <c r="E17" s="32" t="n"/>
    </row>
    <row r="18" ht="45.75" customHeight="1" s="19">
      <c r="A18" s="29" t="inlineStr">
        <is>
          <t>DATA_SENSITIVITY_SCORE</t>
        </is>
      </c>
      <c r="B18" s="30" t="inlineStr">
        <is>
          <t>Computed numeric score for Data Sensitivity (do not edit).</t>
        </is>
      </c>
      <c r="C18" s="30" t="n"/>
      <c r="D18" s="33">
        <f>IF(D12="None",0,IF(D12="Internal",1,IF(D12="Confidential",2,IF(D12="Regulated",3,0))))</f>
        <v/>
      </c>
      <c r="E18" s="32" t="n"/>
    </row>
    <row r="19" ht="45.75" customHeight="1" s="19">
      <c r="A19" s="29" t="inlineStr">
        <is>
          <t>EXPOSURE_SCORE</t>
        </is>
      </c>
      <c r="B19" s="30" t="inlineStr">
        <is>
          <t>Computed numeric score for network Exposure (do not edit).</t>
        </is>
      </c>
      <c r="C19" s="30" t="n"/>
      <c r="D19" s="33">
        <f>IF(D14="Internal only",0,IF(D14="Partner/B2B network",1,IF(D14="Public internet",2,0)))</f>
        <v/>
      </c>
      <c r="E19" s="32" t="n"/>
    </row>
    <row r="20" ht="45.75" customHeight="1" s="19">
      <c r="A20" s="29" t="inlineStr">
        <is>
          <t>BUSINESS_IMPACT_SCORE</t>
        </is>
      </c>
      <c r="B20" s="30" t="inlineStr">
        <is>
          <t>Computed numeric score for Business Impact (do not edit).</t>
        </is>
      </c>
      <c r="C20" s="30" t="n"/>
      <c r="D20" s="33">
        <f>IF(D15="Low",0,IF(D15="Medium",1,IF(D15="High",2,IF(D15="Critical",3,0))))</f>
        <v/>
      </c>
      <c r="E20" s="32" t="n"/>
    </row>
    <row r="21" ht="45.75" customHeight="1" s="19">
      <c r="A21" s="29" t="inlineStr">
        <is>
          <t>APP_RISK_SCORE</t>
        </is>
      </c>
      <c r="B21" s="30" t="inlineStr">
        <is>
          <t>Computed application risk score = worst of the three factors above (do not edit).</t>
        </is>
      </c>
      <c r="C21" s="30" t="n"/>
      <c r="D21" s="33">
        <f>MAX(D18,D19,D20)</f>
        <v/>
      </c>
      <c r="E21" s="32" t="n"/>
    </row>
    <row r="22" ht="45.75" customHeight="1" s="19">
      <c r="A22" s="29" t="inlineStr">
        <is>
          <t>APP_RISK_TIER</t>
        </is>
      </c>
      <c r="B22" s="30" t="inlineStr">
        <is>
          <t>Computed Application Risk Tier used by the Criticality matrix below (do not edit).</t>
        </is>
      </c>
      <c r="C22" s="30" t="n"/>
      <c r="D22" s="33">
        <f>IF(D21=0,"Low",IF(D21=1,"Medium",IF(D21=2,"High","Critical")))</f>
        <v/>
      </c>
      <c r="E22" s="32" t="n"/>
    </row>
    <row r="24">
      <c r="A24" s="18" t="inlineStr">
        <is>
          <t>Criticality Matrix (Requirement Impact x Application Risk Tier) - reference table, do not edit</t>
        </is>
      </c>
    </row>
    <row r="25">
      <c r="A25" s="34" t="inlineStr">
        <is>
          <t>Requirement Impact \ App Risk Tier</t>
        </is>
      </c>
      <c r="B25" s="34" t="inlineStr">
        <is>
          <t>Low</t>
        </is>
      </c>
      <c r="C25" s="34" t="inlineStr">
        <is>
          <t>Medium</t>
        </is>
      </c>
      <c r="D25" s="34" t="inlineStr">
        <is>
          <t>High</t>
        </is>
      </c>
      <c r="E25" s="34" t="inlineStr">
        <is>
          <t>Critical</t>
        </is>
      </c>
    </row>
    <row r="26">
      <c r="A26" s="35" t="inlineStr">
        <is>
          <t>High</t>
        </is>
      </c>
      <c r="B26" s="36" t="inlineStr">
        <is>
          <t>Medium</t>
        </is>
      </c>
      <c r="C26" s="36" t="inlineStr">
        <is>
          <t>High</t>
        </is>
      </c>
      <c r="D26" s="36" t="inlineStr">
        <is>
          <t>High</t>
        </is>
      </c>
      <c r="E26" s="36" t="inlineStr">
        <is>
          <t>Critical</t>
        </is>
      </c>
    </row>
    <row r="27">
      <c r="A27" s="35" t="inlineStr">
        <is>
          <t>Medium</t>
        </is>
      </c>
      <c r="B27" s="36" t="inlineStr">
        <is>
          <t>Low</t>
        </is>
      </c>
      <c r="C27" s="36" t="inlineStr">
        <is>
          <t>Medium</t>
        </is>
      </c>
      <c r="D27" s="36" t="inlineStr">
        <is>
          <t>Medium</t>
        </is>
      </c>
      <c r="E27" s="36" t="inlineStr">
        <is>
          <t>High</t>
        </is>
      </c>
    </row>
    <row r="28">
      <c r="A28" s="35" t="inlineStr">
        <is>
          <t>Low</t>
        </is>
      </c>
      <c r="B28" s="36" t="inlineStr">
        <is>
          <t>Low</t>
        </is>
      </c>
      <c r="C28" s="36" t="inlineStr">
        <is>
          <t>Low</t>
        </is>
      </c>
      <c r="D28" s="36" t="inlineStr">
        <is>
          <t>Low</t>
        </is>
      </c>
      <c r="E28" s="36" t="inlineStr">
        <is>
          <t>Medium</t>
        </is>
      </c>
    </row>
  </sheetData>
  <mergeCells count="2">
    <mergeCell ref="A2:E2"/>
    <mergeCell ref="A1:E1"/>
  </mergeCells>
  <dataValidations count="10">
    <dataValidation sqref="D6" showDropDown="0" showInputMessage="0" showErrorMessage="0" allowBlank="1" error="Please select one of the listed options." prompt="Choose an option." type="list" errorStyle="stop" operator="between">
      <formula1>"L1,L2,L3"</formula1>
      <formula2>0</formula2>
    </dataValidation>
    <dataValidation sqref="D7" showDropDown="0" showInputMessage="0" showErrorMessage="0" allowBlank="1" error="Please select one of the listed options." prompt="Choose an option." type="list" errorStyle="stop" operator="between">
      <formula1>"Yes,No"</formula1>
      <formula2>0</formula2>
    </dataValidation>
    <dataValidation sqref="D8" showDropDown="0" showInputMessage="0" showErrorMessage="0" allowBlank="1" error="Please select one of the listed options." prompt="Choose an option." type="list" errorStyle="stop" operator="between">
      <formula1>"Yes,No"</formula1>
      <formula2>0</formula2>
    </dataValidation>
    <dataValidation sqref="D9" showDropDown="0" showInputMessage="0" showErrorMessage="0" allowBlank="1" error="Please select one of the listed options." prompt="Choose an option." type="list" errorStyle="stop" operator="between">
      <formula1>"Yes,No"</formula1>
      <formula2>0</formula2>
    </dataValidation>
    <dataValidation sqref="D10" showDropDown="0" showInputMessage="0" showErrorMessage="0" allowBlank="1" error="Please select one of the listed options." prompt="Choose an option." type="list" errorStyle="stop" operator="between">
      <formula1>"Yes,No"</formula1>
      <formula2>0</formula2>
    </dataValidation>
    <dataValidation sqref="D11" showDropDown="0" showInputMessage="0" showErrorMessage="0" allowBlank="1" error="Please select one of the listed options." prompt="Choose an option." type="list" errorStyle="stop" operator="between">
      <formula1>"Yes,No"</formula1>
      <formula2>0</formula2>
    </dataValidation>
    <dataValidation sqref="D13" showDropDown="0" showInputMessage="0" showErrorMessage="0" allowBlank="1" error="Please select one of the listed options." prompt="Choose an option." type="list" errorStyle="stop" operator="between">
      <formula1>"Yes,No"</formula1>
      <formula2>0</formula2>
    </dataValidation>
    <dataValidation sqref="D12" showDropDown="0" showInputMessage="0" showErrorMessage="0" allowBlank="1" type="list">
      <formula1>"None,Internal,Confidential,Regulated"</formula1>
    </dataValidation>
    <dataValidation sqref="D14" showDropDown="0" showInputMessage="0" showErrorMessage="0" allowBlank="1" type="list">
      <formula1>"Internal only,Partner/B2B network,Public internet"</formula1>
    </dataValidation>
    <dataValidation sqref="D15" showDropDown="0" showInputMessage="0" showErrorMessage="0" allowBlank="1" type="list">
      <formula1>"Low,Medium,High,Critical"</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P349"/>
  <sheetViews>
    <sheetView showFormulas="0" showGridLines="0" showRowColHeaders="1" showZeros="1" rightToLeft="0" tabSelected="0" showOutlineSymbols="1" defaultGridColor="1"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baseColWidth="8" defaultColWidth="8.6796875" defaultRowHeight="15" zeroHeight="0" outlineLevelRow="0"/>
  <cols>
    <col width="11" customWidth="1" style="18" min="1" max="1"/>
    <col width="24" customWidth="1" style="18" min="2" max="3"/>
    <col width="7" customWidth="1" style="18" min="4" max="4"/>
    <col width="55" customWidth="1" style="18" min="5" max="5"/>
    <col width="26" customWidth="1" style="18" min="6" max="6"/>
    <col hidden="1" width="13" customWidth="1" style="18" min="7" max="7"/>
    <col width="11" customWidth="1" style="18" min="8" max="8"/>
    <col width="30" customWidth="1" style="18" min="9" max="9"/>
    <col width="18" customWidth="1" style="18" min="10" max="10"/>
    <col width="14" customWidth="1" style="18" min="11" max="11"/>
    <col width="16" customWidth="1" style="18" min="12" max="12"/>
    <col width="22" customWidth="1" style="18" min="13" max="13"/>
    <col width="26" customWidth="1" style="18" min="14" max="14"/>
    <col width="16" customWidth="1" style="19" min="15" max="15"/>
    <col width="14" customWidth="1" style="19" min="16" max="16"/>
  </cols>
  <sheetData>
    <row r="1" ht="25.5" customHeight="1" s="19">
      <c r="A1" s="20" t="inlineStr">
        <is>
          <t>Master Template — Full OWASP ASVS 5.0.0 Requirement Set (345 requirements, 17 chapters)</t>
        </is>
      </c>
    </row>
    <row r="2" ht="30" customHeight="1" s="19">
      <c r="A2" s="23" t="inlineStr">
        <is>
          <t>Column H recalculates automatically from the 'Characterization Form' answers: a requirement is Applicable only if BOTH its ASVS chapter applies to this kind of application AND its level is at or below the application's target level. Filter column H by 'Applicable' to work only the requirements that matter for this application. Column G is hidden helper text — column F holds the human-readable condition.</t>
        </is>
      </c>
    </row>
    <row r="4" ht="27.75" customHeight="1" s="19">
      <c r="A4" s="38" t="inlineStr">
        <is>
          <t>ASVS ID</t>
        </is>
      </c>
      <c r="B4" s="38" t="inlineStr">
        <is>
          <t>Chapter</t>
        </is>
      </c>
      <c r="C4" s="38" t="inlineStr">
        <is>
          <t>Section</t>
        </is>
      </c>
      <c r="D4" s="38" t="inlineStr">
        <is>
          <t>Level</t>
        </is>
      </c>
      <c r="E4" s="38" t="inlineStr">
        <is>
          <t>Requirement</t>
        </is>
      </c>
      <c r="F4" s="38" t="inlineStr">
        <is>
          <t>Applicability Condition</t>
        </is>
      </c>
      <c r="G4" s="38" t="inlineStr">
        <is>
          <t>Applicability Formula</t>
        </is>
      </c>
      <c r="H4" s="38" t="inlineStr">
        <is>
          <t>Applicable?</t>
        </is>
      </c>
      <c r="I4" s="38" t="inlineStr">
        <is>
          <t>Control Type</t>
        </is>
      </c>
      <c r="J4" s="38" t="inlineStr">
        <is>
          <t>Nature</t>
        </is>
      </c>
      <c r="K4" s="38" t="inlineStr">
        <is>
          <t>Verification Stage</t>
        </is>
      </c>
      <c r="L4" s="38" t="inlineStr">
        <is>
          <t>Coverage Status</t>
        </is>
      </c>
      <c r="M4" s="38" t="inlineStr">
        <is>
          <t>Tool / Evidence</t>
        </is>
      </c>
      <c r="N4" s="38" t="inlineStr">
        <is>
          <t>Notes</t>
        </is>
      </c>
      <c r="O4" s="38" t="inlineStr">
        <is>
          <t>Requirement Impact</t>
        </is>
      </c>
      <c r="P4" s="38" t="inlineStr">
        <is>
          <t>Criticality</t>
        </is>
      </c>
    </row>
    <row r="5" ht="39.75" customHeight="1" s="19">
      <c r="A5" s="42" t="inlineStr">
        <is>
          <t>V1.1.1</t>
        </is>
      </c>
      <c r="B5" s="40" t="inlineStr">
        <is>
          <t>V1 - Encoding and Sanitization</t>
        </is>
      </c>
      <c r="C5" s="40" t="inlineStr">
        <is>
          <t>V1.1 - Encoding and Sanitization Architecture</t>
        </is>
      </c>
      <c r="D5" s="42" t="n">
        <v>2</v>
      </c>
      <c r="E5" s="40" t="inlineStr">
        <is>
          <t>Verify that input is decoded or unescaped into a canonical form only once, it is only decoded when encoded data in that form is expected, and that this is done before processing the input further, for example it is not performed after input validation or sanitization.</t>
        </is>
      </c>
      <c r="F5" s="40" t="inlineStr">
        <is>
          <t>Always</t>
        </is>
      </c>
      <c r="G5" s="42" t="inlineStr">
        <is>
          <t>TRUE</t>
        </is>
      </c>
      <c r="H5" s="43">
        <f>IF(AND(TRUE(),D5&lt;=TARGET_LEVEL_NUM),"Applicable","N/A")</f>
        <v/>
      </c>
      <c r="I5" s="40" t="inlineStr">
        <is>
          <t>SAST + DAST</t>
        </is>
      </c>
      <c r="J5" s="40" t="inlineStr">
        <is>
          <t>Deterministic, continuous</t>
        </is>
      </c>
      <c r="K5" s="42" t="inlineStr">
        <is>
          <t>Pipeline</t>
        </is>
      </c>
      <c r="L5" s="42" t="inlineStr">
        <is>
          <t>Not assessed</t>
        </is>
      </c>
      <c r="M5" s="40" t="n"/>
      <c r="N5" s="40" t="n"/>
      <c r="O5" s="42" t="inlineStr">
        <is>
          <t>High</t>
        </is>
      </c>
      <c r="P5" s="43">
        <f>IF(H5="N/A","N/A",INDEX(CRIT_MATRIX,MATCH(O5,CRIT_MATRIX_ROWS,0),MATCH(APP_RISK_TIER,CRIT_MATRIX_COLS,0)))</f>
        <v/>
      </c>
    </row>
    <row r="6" ht="39.75" customHeight="1" s="19">
      <c r="A6" s="42" t="inlineStr">
        <is>
          <t>V1.1.2</t>
        </is>
      </c>
      <c r="B6" s="40" t="inlineStr">
        <is>
          <t>V1 - Encoding and Sanitization</t>
        </is>
      </c>
      <c r="C6" s="40" t="inlineStr">
        <is>
          <t>V1.1 - Encoding and Sanitization Architecture</t>
        </is>
      </c>
      <c r="D6" s="42" t="n">
        <v>2</v>
      </c>
      <c r="E6" s="40" t="inlineStr">
        <is>
          <t>Verify that the application performs output encoding and escaping either as a final step before being used by the interpreter for which it is intended or by the interpreter itself.</t>
        </is>
      </c>
      <c r="F6" s="40" t="inlineStr">
        <is>
          <t>Always</t>
        </is>
      </c>
      <c r="G6" s="42" t="inlineStr">
        <is>
          <t>TRUE</t>
        </is>
      </c>
      <c r="H6" s="43">
        <f>IF(AND(TRUE(),D6&lt;=TARGET_LEVEL_NUM),"Applicable","N/A")</f>
        <v/>
      </c>
      <c r="I6" s="40" t="inlineStr">
        <is>
          <t>SAST + DAST</t>
        </is>
      </c>
      <c r="J6" s="40" t="inlineStr">
        <is>
          <t>Deterministic, continuous</t>
        </is>
      </c>
      <c r="K6" s="42" t="inlineStr">
        <is>
          <t>Pipeline</t>
        </is>
      </c>
      <c r="L6" s="42" t="inlineStr">
        <is>
          <t>Not assessed</t>
        </is>
      </c>
      <c r="M6" s="40" t="n"/>
      <c r="N6" s="40" t="n"/>
      <c r="O6" s="42" t="inlineStr">
        <is>
          <t>High</t>
        </is>
      </c>
      <c r="P6" s="43">
        <f>IF(H6="N/A","N/A",INDEX(CRIT_MATRIX,MATCH(O6,CRIT_MATRIX_ROWS,0),MATCH(APP_RISK_TIER,CRIT_MATRIX_COLS,0)))</f>
        <v/>
      </c>
    </row>
    <row r="7" ht="39.75" customHeight="1" s="19">
      <c r="A7" s="42" t="inlineStr">
        <is>
          <t>V1.2.1</t>
        </is>
      </c>
      <c r="B7" s="40" t="inlineStr">
        <is>
          <t>V1 - Encoding and Sanitization</t>
        </is>
      </c>
      <c r="C7" s="40" t="inlineStr">
        <is>
          <t>V1.2 - Injection Prevention</t>
        </is>
      </c>
      <c r="D7" s="42" t="n">
        <v>1</v>
      </c>
      <c r="E7" s="40" t="inlineStr">
        <is>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is>
      </c>
      <c r="F7" s="40" t="inlineStr">
        <is>
          <t>Always</t>
        </is>
      </c>
      <c r="G7" s="42" t="inlineStr">
        <is>
          <t>TRUE</t>
        </is>
      </c>
      <c r="H7" s="43">
        <f>IF(AND(TRUE(),D7&lt;=TARGET_LEVEL_NUM),"Applicable","N/A")</f>
        <v/>
      </c>
      <c r="I7" s="40" t="inlineStr">
        <is>
          <t>SAST + DAST</t>
        </is>
      </c>
      <c r="J7" s="40" t="inlineStr">
        <is>
          <t>Deterministic, continuous</t>
        </is>
      </c>
      <c r="K7" s="42" t="inlineStr">
        <is>
          <t>Pipeline</t>
        </is>
      </c>
      <c r="L7" s="42" t="inlineStr">
        <is>
          <t>Not assessed</t>
        </is>
      </c>
      <c r="M7" s="40" t="n"/>
      <c r="N7" s="40" t="n"/>
      <c r="O7" s="42" t="inlineStr">
        <is>
          <t>High</t>
        </is>
      </c>
      <c r="P7" s="43">
        <f>IF(H7="N/A","N/A",INDEX(CRIT_MATRIX,MATCH(O7,CRIT_MATRIX_ROWS,0),MATCH(APP_RISK_TIER,CRIT_MATRIX_COLS,0)))</f>
        <v/>
      </c>
    </row>
    <row r="8" ht="39.75" customHeight="1" s="19">
      <c r="A8" s="42" t="inlineStr">
        <is>
          <t>V1.2.2</t>
        </is>
      </c>
      <c r="B8" s="40" t="inlineStr">
        <is>
          <t>V1 - Encoding and Sanitization</t>
        </is>
      </c>
      <c r="C8" s="40" t="inlineStr">
        <is>
          <t>V1.2 - Injection Prevention</t>
        </is>
      </c>
      <c r="D8" s="42" t="n">
        <v>1</v>
      </c>
      <c r="E8" s="40" t="inlineStr">
        <is>
          <t>Verify that when dynamically building URLs, untrusted data is encoded according to its context (e.g., URL encoding or base64url encoding for query or path parameters). Ensure that only safe URL protocols are permitted (e.g., disallow javascript: or data:).</t>
        </is>
      </c>
      <c r="F8" s="40" t="inlineStr">
        <is>
          <t>Always</t>
        </is>
      </c>
      <c r="G8" s="42" t="inlineStr">
        <is>
          <t>TRUE</t>
        </is>
      </c>
      <c r="H8" s="43">
        <f>IF(AND(TRUE(),D8&lt;=TARGET_LEVEL_NUM),"Applicable","N/A")</f>
        <v/>
      </c>
      <c r="I8" s="40" t="inlineStr">
        <is>
          <t>SAST + DAST</t>
        </is>
      </c>
      <c r="J8" s="40" t="inlineStr">
        <is>
          <t>Deterministic, continuous</t>
        </is>
      </c>
      <c r="K8" s="42" t="inlineStr">
        <is>
          <t>Pipeline</t>
        </is>
      </c>
      <c r="L8" s="42" t="inlineStr">
        <is>
          <t>Not assessed</t>
        </is>
      </c>
      <c r="M8" s="40" t="n"/>
      <c r="N8" s="40" t="n"/>
      <c r="O8" s="42" t="inlineStr">
        <is>
          <t>High</t>
        </is>
      </c>
      <c r="P8" s="43">
        <f>IF(H8="N/A","N/A",INDEX(CRIT_MATRIX,MATCH(O8,CRIT_MATRIX_ROWS,0),MATCH(APP_RISK_TIER,CRIT_MATRIX_COLS,0)))</f>
        <v/>
      </c>
    </row>
    <row r="9" ht="39.75" customHeight="1" s="19">
      <c r="A9" s="42" t="inlineStr">
        <is>
          <t>V1.2.3</t>
        </is>
      </c>
      <c r="B9" s="40" t="inlineStr">
        <is>
          <t>V1 - Encoding and Sanitization</t>
        </is>
      </c>
      <c r="C9" s="40" t="inlineStr">
        <is>
          <t>V1.2 - Injection Prevention</t>
        </is>
      </c>
      <c r="D9" s="42" t="n">
        <v>1</v>
      </c>
      <c r="E9" s="40" t="inlineStr">
        <is>
          <t>Verify that output encoding or escaping is used when dynamically building JavaScript content (including JSON), to avoid changing the message or document structure (to avoid JavaScript and JSON injection).</t>
        </is>
      </c>
      <c r="F9" s="40" t="inlineStr">
        <is>
          <t>Always</t>
        </is>
      </c>
      <c r="G9" s="42" t="inlineStr">
        <is>
          <t>TRUE</t>
        </is>
      </c>
      <c r="H9" s="43">
        <f>IF(AND(TRUE(),D9&lt;=TARGET_LEVEL_NUM),"Applicable","N/A")</f>
        <v/>
      </c>
      <c r="I9" s="40" t="inlineStr">
        <is>
          <t>SAST + DAST</t>
        </is>
      </c>
      <c r="J9" s="40" t="inlineStr">
        <is>
          <t>Deterministic, continuous</t>
        </is>
      </c>
      <c r="K9" s="42" t="inlineStr">
        <is>
          <t>Pipeline</t>
        </is>
      </c>
      <c r="L9" s="42" t="inlineStr">
        <is>
          <t>Not assessed</t>
        </is>
      </c>
      <c r="M9" s="40" t="n"/>
      <c r="N9" s="40" t="n"/>
      <c r="O9" s="42" t="inlineStr">
        <is>
          <t>High</t>
        </is>
      </c>
      <c r="P9" s="43">
        <f>IF(H9="N/A","N/A",INDEX(CRIT_MATRIX,MATCH(O9,CRIT_MATRIX_ROWS,0),MATCH(APP_RISK_TIER,CRIT_MATRIX_COLS,0)))</f>
        <v/>
      </c>
    </row>
    <row r="10" ht="39.75" customHeight="1" s="19">
      <c r="A10" s="42" t="inlineStr">
        <is>
          <t>V1.2.4</t>
        </is>
      </c>
      <c r="B10" s="40" t="inlineStr">
        <is>
          <t>V1 - Encoding and Sanitization</t>
        </is>
      </c>
      <c r="C10" s="40" t="inlineStr">
        <is>
          <t>V1.2 - Injection Prevention</t>
        </is>
      </c>
      <c r="D10" s="42" t="n">
        <v>1</v>
      </c>
      <c r="E10" s="40" t="inlineStr">
        <is>
          <t>Verify that data selection or database queries (e.g., SQL, HQL, NoSQL, Cypher) use parameterized queries, ORMs, entity frameworks, or are otherwise protected from SQL Injection and other database injection attacks. This is also relevant when writing stored procedures.</t>
        </is>
      </c>
      <c r="F10" s="40" t="inlineStr">
        <is>
          <t>Always</t>
        </is>
      </c>
      <c r="G10" s="42" t="inlineStr">
        <is>
          <t>TRUE</t>
        </is>
      </c>
      <c r="H10" s="43">
        <f>IF(AND(TRUE(),D10&lt;=TARGET_LEVEL_NUM),"Applicable","N/A")</f>
        <v/>
      </c>
      <c r="I10" s="40" t="inlineStr">
        <is>
          <t>SAST + DAST</t>
        </is>
      </c>
      <c r="J10" s="40" t="inlineStr">
        <is>
          <t>Deterministic, continuous</t>
        </is>
      </c>
      <c r="K10" s="42" t="inlineStr">
        <is>
          <t>Pipeline</t>
        </is>
      </c>
      <c r="L10" s="42" t="inlineStr">
        <is>
          <t>Not assessed</t>
        </is>
      </c>
      <c r="M10" s="40" t="n"/>
      <c r="N10" s="40" t="n"/>
      <c r="O10" s="42" t="inlineStr">
        <is>
          <t>High</t>
        </is>
      </c>
      <c r="P10" s="43">
        <f>IF(H10="N/A","N/A",INDEX(CRIT_MATRIX,MATCH(O10,CRIT_MATRIX_ROWS,0),MATCH(APP_RISK_TIER,CRIT_MATRIX_COLS,0)))</f>
        <v/>
      </c>
    </row>
    <row r="11" ht="39.75" customHeight="1" s="19">
      <c r="A11" s="42" t="inlineStr">
        <is>
          <t>V1.2.5</t>
        </is>
      </c>
      <c r="B11" s="40" t="inlineStr">
        <is>
          <t>V1 - Encoding and Sanitization</t>
        </is>
      </c>
      <c r="C11" s="40" t="inlineStr">
        <is>
          <t>V1.2 - Injection Prevention</t>
        </is>
      </c>
      <c r="D11" s="42" t="n">
        <v>1</v>
      </c>
      <c r="E11" s="40" t="inlineStr">
        <is>
          <t>Verify that the application protects against OS command injection and that operating system calls use parameterized OS queries or use contextual command line output encoding.</t>
        </is>
      </c>
      <c r="F11" s="40" t="inlineStr">
        <is>
          <t>Always</t>
        </is>
      </c>
      <c r="G11" s="42" t="inlineStr">
        <is>
          <t>TRUE</t>
        </is>
      </c>
      <c r="H11" s="43">
        <f>IF(AND(TRUE(),D11&lt;=TARGET_LEVEL_NUM),"Applicable","N/A")</f>
        <v/>
      </c>
      <c r="I11" s="40" t="inlineStr">
        <is>
          <t>SAST + DAST</t>
        </is>
      </c>
      <c r="J11" s="40" t="inlineStr">
        <is>
          <t>Deterministic, continuous</t>
        </is>
      </c>
      <c r="K11" s="42" t="inlineStr">
        <is>
          <t>Pipeline</t>
        </is>
      </c>
      <c r="L11" s="42" t="inlineStr">
        <is>
          <t>Not assessed</t>
        </is>
      </c>
      <c r="M11" s="40" t="n"/>
      <c r="N11" s="40" t="n"/>
      <c r="O11" s="42" t="inlineStr">
        <is>
          <t>High</t>
        </is>
      </c>
      <c r="P11" s="43">
        <f>IF(H11="N/A","N/A",INDEX(CRIT_MATRIX,MATCH(O11,CRIT_MATRIX_ROWS,0),MATCH(APP_RISK_TIER,CRIT_MATRIX_COLS,0)))</f>
        <v/>
      </c>
    </row>
    <row r="12" ht="39.75" customHeight="1" s="19">
      <c r="A12" s="42" t="inlineStr">
        <is>
          <t>V1.2.6</t>
        </is>
      </c>
      <c r="B12" s="40" t="inlineStr">
        <is>
          <t>V1 - Encoding and Sanitization</t>
        </is>
      </c>
      <c r="C12" s="40" t="inlineStr">
        <is>
          <t>V1.2 - Injection Prevention</t>
        </is>
      </c>
      <c r="D12" s="42" t="n">
        <v>2</v>
      </c>
      <c r="E12" s="40" t="inlineStr">
        <is>
          <t>Verify that the application protects against LDAP injection vulnerabilities, or that specific security controls to prevent LDAP injection have been implemented.</t>
        </is>
      </c>
      <c r="F12" s="40" t="inlineStr">
        <is>
          <t>Always</t>
        </is>
      </c>
      <c r="G12" s="42" t="inlineStr">
        <is>
          <t>TRUE</t>
        </is>
      </c>
      <c r="H12" s="43">
        <f>IF(AND(TRUE(),D12&lt;=TARGET_LEVEL_NUM),"Applicable","N/A")</f>
        <v/>
      </c>
      <c r="I12" s="40" t="inlineStr">
        <is>
          <t>SAST + DAST</t>
        </is>
      </c>
      <c r="J12" s="40" t="inlineStr">
        <is>
          <t>Deterministic, continuous</t>
        </is>
      </c>
      <c r="K12" s="42" t="inlineStr">
        <is>
          <t>Pipeline</t>
        </is>
      </c>
      <c r="L12" s="42" t="inlineStr">
        <is>
          <t>Not assessed</t>
        </is>
      </c>
      <c r="M12" s="40" t="n"/>
      <c r="N12" s="40" t="n"/>
      <c r="O12" s="42" t="inlineStr">
        <is>
          <t>High</t>
        </is>
      </c>
      <c r="P12" s="43">
        <f>IF(H12="N/A","N/A",INDEX(CRIT_MATRIX,MATCH(O12,CRIT_MATRIX_ROWS,0),MATCH(APP_RISK_TIER,CRIT_MATRIX_COLS,0)))</f>
        <v/>
      </c>
    </row>
    <row r="13" ht="39.75" customHeight="1" s="19">
      <c r="A13" s="42" t="inlineStr">
        <is>
          <t>V1.2.7</t>
        </is>
      </c>
      <c r="B13" s="40" t="inlineStr">
        <is>
          <t>V1 - Encoding and Sanitization</t>
        </is>
      </c>
      <c r="C13" s="40" t="inlineStr">
        <is>
          <t>V1.2 - Injection Prevention</t>
        </is>
      </c>
      <c r="D13" s="42" t="n">
        <v>2</v>
      </c>
      <c r="E13" s="40" t="inlineStr">
        <is>
          <t>Verify that the application is protected against XPath injection attacks by using query parameterization or precompiled queries.</t>
        </is>
      </c>
      <c r="F13" s="40" t="inlineStr">
        <is>
          <t>Always</t>
        </is>
      </c>
      <c r="G13" s="42" t="inlineStr">
        <is>
          <t>TRUE</t>
        </is>
      </c>
      <c r="H13" s="43">
        <f>IF(AND(TRUE(),D13&lt;=TARGET_LEVEL_NUM),"Applicable","N/A")</f>
        <v/>
      </c>
      <c r="I13" s="40" t="inlineStr">
        <is>
          <t>SAST + DAST</t>
        </is>
      </c>
      <c r="J13" s="40" t="inlineStr">
        <is>
          <t>Deterministic, continuous</t>
        </is>
      </c>
      <c r="K13" s="42" t="inlineStr">
        <is>
          <t>Pipeline</t>
        </is>
      </c>
      <c r="L13" s="42" t="inlineStr">
        <is>
          <t>Not assessed</t>
        </is>
      </c>
      <c r="M13" s="40" t="n"/>
      <c r="N13" s="40" t="n"/>
      <c r="O13" s="42" t="inlineStr">
        <is>
          <t>High</t>
        </is>
      </c>
      <c r="P13" s="43">
        <f>IF(H13="N/A","N/A",INDEX(CRIT_MATRIX,MATCH(O13,CRIT_MATRIX_ROWS,0),MATCH(APP_RISK_TIER,CRIT_MATRIX_COLS,0)))</f>
        <v/>
      </c>
    </row>
    <row r="14" ht="39.75" customHeight="1" s="19">
      <c r="A14" s="42" t="inlineStr">
        <is>
          <t>V1.2.8</t>
        </is>
      </c>
      <c r="B14" s="40" t="inlineStr">
        <is>
          <t>V1 - Encoding and Sanitization</t>
        </is>
      </c>
      <c r="C14" s="40" t="inlineStr">
        <is>
          <t>V1.2 - Injection Prevention</t>
        </is>
      </c>
      <c r="D14" s="42" t="n">
        <v>2</v>
      </c>
      <c r="E14" s="40" t="inlineStr">
        <is>
          <t>Verify that LaTeX processors are configured securely (such as not using the "--shell-escape" flag) and an allowlist of commands is used to prevent LaTeX injection attacks.</t>
        </is>
      </c>
      <c r="F14" s="40" t="inlineStr">
        <is>
          <t>Always</t>
        </is>
      </c>
      <c r="G14" s="42" t="inlineStr">
        <is>
          <t>TRUE</t>
        </is>
      </c>
      <c r="H14" s="43">
        <f>IF(AND(TRUE(),D14&lt;=TARGET_LEVEL_NUM),"Applicable","N/A")</f>
        <v/>
      </c>
      <c r="I14" s="40" t="inlineStr">
        <is>
          <t>SAST + DAST</t>
        </is>
      </c>
      <c r="J14" s="40" t="inlineStr">
        <is>
          <t>Deterministic, continuous</t>
        </is>
      </c>
      <c r="K14" s="42" t="inlineStr">
        <is>
          <t>Pipeline</t>
        </is>
      </c>
      <c r="L14" s="42" t="inlineStr">
        <is>
          <t>Not assessed</t>
        </is>
      </c>
      <c r="M14" s="40" t="n"/>
      <c r="N14" s="40" t="n"/>
      <c r="O14" s="42" t="inlineStr">
        <is>
          <t>High</t>
        </is>
      </c>
      <c r="P14" s="43">
        <f>IF(H14="N/A","N/A",INDEX(CRIT_MATRIX,MATCH(O14,CRIT_MATRIX_ROWS,0),MATCH(APP_RISK_TIER,CRIT_MATRIX_COLS,0)))</f>
        <v/>
      </c>
    </row>
    <row r="15" ht="39.75" customHeight="1" s="19">
      <c r="A15" s="42" t="inlineStr">
        <is>
          <t>V1.2.9</t>
        </is>
      </c>
      <c r="B15" s="40" t="inlineStr">
        <is>
          <t>V1 - Encoding and Sanitization</t>
        </is>
      </c>
      <c r="C15" s="40" t="inlineStr">
        <is>
          <t>V1.2 - Injection Prevention</t>
        </is>
      </c>
      <c r="D15" s="42" t="n">
        <v>2</v>
      </c>
      <c r="E15" s="40" t="inlineStr">
        <is>
          <t>Verify that the application escapes special characters in regular expressions (typically using a backslash) to prevent them from being misinterpreted as metacharacters.</t>
        </is>
      </c>
      <c r="F15" s="40" t="inlineStr">
        <is>
          <t>Always</t>
        </is>
      </c>
      <c r="G15" s="42" t="inlineStr">
        <is>
          <t>TRUE</t>
        </is>
      </c>
      <c r="H15" s="43">
        <f>IF(AND(TRUE(),D15&lt;=TARGET_LEVEL_NUM),"Applicable","N/A")</f>
        <v/>
      </c>
      <c r="I15" s="40" t="inlineStr">
        <is>
          <t>SAST + DAST</t>
        </is>
      </c>
      <c r="J15" s="40" t="inlineStr">
        <is>
          <t>Deterministic, continuous</t>
        </is>
      </c>
      <c r="K15" s="42" t="inlineStr">
        <is>
          <t>Pipeline</t>
        </is>
      </c>
      <c r="L15" s="42" t="inlineStr">
        <is>
          <t>Not assessed</t>
        </is>
      </c>
      <c r="M15" s="40" t="n"/>
      <c r="N15" s="40" t="n"/>
      <c r="O15" s="42" t="inlineStr">
        <is>
          <t>High</t>
        </is>
      </c>
      <c r="P15" s="43">
        <f>IF(H15="N/A","N/A",INDEX(CRIT_MATRIX,MATCH(O15,CRIT_MATRIX_ROWS,0),MATCH(APP_RISK_TIER,CRIT_MATRIX_COLS,0)))</f>
        <v/>
      </c>
    </row>
    <row r="16" ht="39.75" customHeight="1" s="19">
      <c r="A16" s="42" t="inlineStr">
        <is>
          <t>V1.2.10</t>
        </is>
      </c>
      <c r="B16" s="40" t="inlineStr">
        <is>
          <t>V1 - Encoding and Sanitization</t>
        </is>
      </c>
      <c r="C16" s="40" t="inlineStr">
        <is>
          <t>V1.2 - Injection Prevention</t>
        </is>
      </c>
      <c r="D16" s="42" t="n">
        <v>3</v>
      </c>
      <c r="E16" s="40" t="inlineStr">
        <is>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is>
      </c>
      <c r="F16" s="40" t="inlineStr">
        <is>
          <t>Always</t>
        </is>
      </c>
      <c r="G16" s="42" t="inlineStr">
        <is>
          <t>TRUE</t>
        </is>
      </c>
      <c r="H16" s="43">
        <f>IF(AND(TRUE(),D16&lt;=TARGET_LEVEL_NUM),"Applicable","N/A")</f>
        <v/>
      </c>
      <c r="I16" s="40" t="inlineStr">
        <is>
          <t>SAST + DAST</t>
        </is>
      </c>
      <c r="J16" s="40" t="inlineStr">
        <is>
          <t>Deterministic, continuous</t>
        </is>
      </c>
      <c r="K16" s="42" t="inlineStr">
        <is>
          <t>Pipeline</t>
        </is>
      </c>
      <c r="L16" s="42" t="inlineStr">
        <is>
          <t>Not assessed</t>
        </is>
      </c>
      <c r="M16" s="40" t="n"/>
      <c r="N16" s="40" t="n"/>
      <c r="O16" s="42" t="inlineStr">
        <is>
          <t>High</t>
        </is>
      </c>
      <c r="P16" s="43">
        <f>IF(H16="N/A","N/A",INDEX(CRIT_MATRIX,MATCH(O16,CRIT_MATRIX_ROWS,0),MATCH(APP_RISK_TIER,CRIT_MATRIX_COLS,0)))</f>
        <v/>
      </c>
    </row>
    <row r="17" ht="39.75" customHeight="1" s="19">
      <c r="A17" s="42" t="inlineStr">
        <is>
          <t>V1.3.1</t>
        </is>
      </c>
      <c r="B17" s="40" t="inlineStr">
        <is>
          <t>V1 - Encoding and Sanitization</t>
        </is>
      </c>
      <c r="C17" s="40" t="inlineStr">
        <is>
          <t>V1.3 - Sanitization</t>
        </is>
      </c>
      <c r="D17" s="42" t="n">
        <v>1</v>
      </c>
      <c r="E17" s="40" t="inlineStr">
        <is>
          <t>Verify that all untrusted HTML input from WYSIWYG editors or similar is sanitized using a well-known and secure HTML sanitization library or framework feature.</t>
        </is>
      </c>
      <c r="F17" s="40" t="inlineStr">
        <is>
          <t>Always</t>
        </is>
      </c>
      <c r="G17" s="42" t="inlineStr">
        <is>
          <t>TRUE</t>
        </is>
      </c>
      <c r="H17" s="43">
        <f>IF(AND(TRUE(),D17&lt;=TARGET_LEVEL_NUM),"Applicable","N/A")</f>
        <v/>
      </c>
      <c r="I17" s="40" t="inlineStr">
        <is>
          <t>SAST + DAST</t>
        </is>
      </c>
      <c r="J17" s="40" t="inlineStr">
        <is>
          <t>Deterministic, continuous</t>
        </is>
      </c>
      <c r="K17" s="42" t="inlineStr">
        <is>
          <t>Pipeline</t>
        </is>
      </c>
      <c r="L17" s="42" t="inlineStr">
        <is>
          <t>Not assessed</t>
        </is>
      </c>
      <c r="M17" s="40" t="n"/>
      <c r="N17" s="40" t="n"/>
      <c r="O17" s="42" t="inlineStr">
        <is>
          <t>High</t>
        </is>
      </c>
      <c r="P17" s="43">
        <f>IF(H17="N/A","N/A",INDEX(CRIT_MATRIX,MATCH(O17,CRIT_MATRIX_ROWS,0),MATCH(APP_RISK_TIER,CRIT_MATRIX_COLS,0)))</f>
        <v/>
      </c>
    </row>
    <row r="18" ht="39.75" customHeight="1" s="19">
      <c r="A18" s="42" t="inlineStr">
        <is>
          <t>V1.3.2</t>
        </is>
      </c>
      <c r="B18" s="40" t="inlineStr">
        <is>
          <t>V1 - Encoding and Sanitization</t>
        </is>
      </c>
      <c r="C18" s="40" t="inlineStr">
        <is>
          <t>V1.3 - Sanitization</t>
        </is>
      </c>
      <c r="D18" s="42" t="n">
        <v>1</v>
      </c>
      <c r="E18" s="40" t="inlineStr">
        <is>
          <t>Verify that the application avoids the use of eval() or other dynamic code execution features such as Spring Expression Language (SpEL). Where there is no alternative, any user input being included must be sanitized before being executed.</t>
        </is>
      </c>
      <c r="F18" s="40" t="inlineStr">
        <is>
          <t>Always</t>
        </is>
      </c>
      <c r="G18" s="42" t="inlineStr">
        <is>
          <t>TRUE</t>
        </is>
      </c>
      <c r="H18" s="43">
        <f>IF(AND(TRUE(),D18&lt;=TARGET_LEVEL_NUM),"Applicable","N/A")</f>
        <v/>
      </c>
      <c r="I18" s="40" t="inlineStr">
        <is>
          <t>SAST + DAST</t>
        </is>
      </c>
      <c r="J18" s="40" t="inlineStr">
        <is>
          <t>Deterministic, continuous</t>
        </is>
      </c>
      <c r="K18" s="42" t="inlineStr">
        <is>
          <t>Pipeline</t>
        </is>
      </c>
      <c r="L18" s="42" t="inlineStr">
        <is>
          <t>Not assessed</t>
        </is>
      </c>
      <c r="M18" s="40" t="n"/>
      <c r="N18" s="40" t="n"/>
      <c r="O18" s="42" t="inlineStr">
        <is>
          <t>High</t>
        </is>
      </c>
      <c r="P18" s="43">
        <f>IF(H18="N/A","N/A",INDEX(CRIT_MATRIX,MATCH(O18,CRIT_MATRIX_ROWS,0),MATCH(APP_RISK_TIER,CRIT_MATRIX_COLS,0)))</f>
        <v/>
      </c>
    </row>
    <row r="19" ht="39.75" customHeight="1" s="19">
      <c r="A19" s="42" t="inlineStr">
        <is>
          <t>V1.3.3</t>
        </is>
      </c>
      <c r="B19" s="40" t="inlineStr">
        <is>
          <t>V1 - Encoding and Sanitization</t>
        </is>
      </c>
      <c r="C19" s="40" t="inlineStr">
        <is>
          <t>V1.3 - Sanitization</t>
        </is>
      </c>
      <c r="D19" s="42" t="n">
        <v>2</v>
      </c>
      <c r="E19" s="40" t="inlineStr">
        <is>
          <t>Verify that data being passed to a potentially dangerous context is sanitized beforehand to enforce safety measures, such as only allowing characters which are safe for this context and trimming input which is too long.</t>
        </is>
      </c>
      <c r="F19" s="40" t="inlineStr">
        <is>
          <t>Always</t>
        </is>
      </c>
      <c r="G19" s="42" t="inlineStr">
        <is>
          <t>TRUE</t>
        </is>
      </c>
      <c r="H19" s="43">
        <f>IF(AND(TRUE(),D19&lt;=TARGET_LEVEL_NUM),"Applicable","N/A")</f>
        <v/>
      </c>
      <c r="I19" s="40" t="inlineStr">
        <is>
          <t>SAST + DAST</t>
        </is>
      </c>
      <c r="J19" s="40" t="inlineStr">
        <is>
          <t>Deterministic, continuous</t>
        </is>
      </c>
      <c r="K19" s="42" t="inlineStr">
        <is>
          <t>Pipeline</t>
        </is>
      </c>
      <c r="L19" s="42" t="inlineStr">
        <is>
          <t>Not assessed</t>
        </is>
      </c>
      <c r="M19" s="40" t="n"/>
      <c r="N19" s="40" t="n"/>
      <c r="O19" s="42" t="inlineStr">
        <is>
          <t>High</t>
        </is>
      </c>
      <c r="P19" s="43">
        <f>IF(H19="N/A","N/A",INDEX(CRIT_MATRIX,MATCH(O19,CRIT_MATRIX_ROWS,0),MATCH(APP_RISK_TIER,CRIT_MATRIX_COLS,0)))</f>
        <v/>
      </c>
    </row>
    <row r="20" ht="39.75" customHeight="1" s="19">
      <c r="A20" s="42" t="inlineStr">
        <is>
          <t>V1.3.4</t>
        </is>
      </c>
      <c r="B20" s="40" t="inlineStr">
        <is>
          <t>V1 - Encoding and Sanitization</t>
        </is>
      </c>
      <c r="C20" s="40" t="inlineStr">
        <is>
          <t>V1.3 - Sanitization</t>
        </is>
      </c>
      <c r="D20" s="42" t="n">
        <v>2</v>
      </c>
      <c r="E20" s="40" t="inlineStr">
        <is>
          <t>Verify that user-supplied Scalable Vector Graphics (SVG) scriptable content is validated or sanitized to contain only tags and attributes (such as draw graphics) that are safe for the application, e.g., do not contain scripts and foreignObject.</t>
        </is>
      </c>
      <c r="F20" s="40" t="inlineStr">
        <is>
          <t>Always</t>
        </is>
      </c>
      <c r="G20" s="42" t="inlineStr">
        <is>
          <t>TRUE</t>
        </is>
      </c>
      <c r="H20" s="43">
        <f>IF(AND(TRUE(),D20&lt;=TARGET_LEVEL_NUM),"Applicable","N/A")</f>
        <v/>
      </c>
      <c r="I20" s="40" t="inlineStr">
        <is>
          <t>SAST + DAST</t>
        </is>
      </c>
      <c r="J20" s="40" t="inlineStr">
        <is>
          <t>Deterministic, continuous</t>
        </is>
      </c>
      <c r="K20" s="42" t="inlineStr">
        <is>
          <t>Pipeline</t>
        </is>
      </c>
      <c r="L20" s="42" t="inlineStr">
        <is>
          <t>Not assessed</t>
        </is>
      </c>
      <c r="M20" s="40" t="n"/>
      <c r="N20" s="40" t="n"/>
      <c r="O20" s="42" t="inlineStr">
        <is>
          <t>High</t>
        </is>
      </c>
      <c r="P20" s="43">
        <f>IF(H20="N/A","N/A",INDEX(CRIT_MATRIX,MATCH(O20,CRIT_MATRIX_ROWS,0),MATCH(APP_RISK_TIER,CRIT_MATRIX_COLS,0)))</f>
        <v/>
      </c>
    </row>
    <row r="21" ht="39.75" customHeight="1" s="19">
      <c r="A21" s="42" t="inlineStr">
        <is>
          <t>V1.3.5</t>
        </is>
      </c>
      <c r="B21" s="40" t="inlineStr">
        <is>
          <t>V1 - Encoding and Sanitization</t>
        </is>
      </c>
      <c r="C21" s="40" t="inlineStr">
        <is>
          <t>V1.3 - Sanitization</t>
        </is>
      </c>
      <c r="D21" s="42" t="n">
        <v>2</v>
      </c>
      <c r="E21" s="40" t="inlineStr">
        <is>
          <t>Verify that the application sanitizes or disables user-supplied scriptable or expression template language content, such as Markdown, CSS or XSL stylesheets, BBCode, or similar.</t>
        </is>
      </c>
      <c r="F21" s="40" t="inlineStr">
        <is>
          <t>Always</t>
        </is>
      </c>
      <c r="G21" s="42" t="inlineStr">
        <is>
          <t>TRUE</t>
        </is>
      </c>
      <c r="H21" s="43">
        <f>IF(AND(TRUE(),D21&lt;=TARGET_LEVEL_NUM),"Applicable","N/A")</f>
        <v/>
      </c>
      <c r="I21" s="40" t="inlineStr">
        <is>
          <t>SAST + DAST</t>
        </is>
      </c>
      <c r="J21" s="40" t="inlineStr">
        <is>
          <t>Deterministic, continuous</t>
        </is>
      </c>
      <c r="K21" s="42" t="inlineStr">
        <is>
          <t>Pipeline</t>
        </is>
      </c>
      <c r="L21" s="42" t="inlineStr">
        <is>
          <t>Not assessed</t>
        </is>
      </c>
      <c r="M21" s="40" t="n"/>
      <c r="N21" s="40" t="n"/>
      <c r="O21" s="42" t="inlineStr">
        <is>
          <t>High</t>
        </is>
      </c>
      <c r="P21" s="43">
        <f>IF(H21="N/A","N/A",INDEX(CRIT_MATRIX,MATCH(O21,CRIT_MATRIX_ROWS,0),MATCH(APP_RISK_TIER,CRIT_MATRIX_COLS,0)))</f>
        <v/>
      </c>
    </row>
    <row r="22" ht="39.75" customHeight="1" s="19">
      <c r="A22" s="42" t="inlineStr">
        <is>
          <t>V1.3.6</t>
        </is>
      </c>
      <c r="B22" s="40" t="inlineStr">
        <is>
          <t>V1 - Encoding and Sanitization</t>
        </is>
      </c>
      <c r="C22" s="40" t="inlineStr">
        <is>
          <t>V1.3 - Sanitization</t>
        </is>
      </c>
      <c r="D22" s="42" t="n">
        <v>2</v>
      </c>
      <c r="E22" s="40" t="inlineStr">
        <is>
          <t>Verify that the application protects against Server-side Request Forgery (SSRF) attacks, by validating untrusted data against an allowlist of protocols, domains, paths and ports and sanitizing potentially dangerous characters before using the data to call another service.</t>
        </is>
      </c>
      <c r="F22" s="40" t="inlineStr">
        <is>
          <t>Always</t>
        </is>
      </c>
      <c r="G22" s="42" t="inlineStr">
        <is>
          <t>TRUE</t>
        </is>
      </c>
      <c r="H22" s="43">
        <f>IF(AND(TRUE(),D22&lt;=TARGET_LEVEL_NUM),"Applicable","N/A")</f>
        <v/>
      </c>
      <c r="I22" s="40" t="inlineStr">
        <is>
          <t>SAST + DAST</t>
        </is>
      </c>
      <c r="J22" s="40" t="inlineStr">
        <is>
          <t>Deterministic, continuous</t>
        </is>
      </c>
      <c r="K22" s="42" t="inlineStr">
        <is>
          <t>Pipeline</t>
        </is>
      </c>
      <c r="L22" s="42" t="inlineStr">
        <is>
          <t>Not assessed</t>
        </is>
      </c>
      <c r="M22" s="40" t="n"/>
      <c r="N22" s="40" t="n"/>
      <c r="O22" s="42" t="inlineStr">
        <is>
          <t>High</t>
        </is>
      </c>
      <c r="P22" s="43">
        <f>IF(H22="N/A","N/A",INDEX(CRIT_MATRIX,MATCH(O22,CRIT_MATRIX_ROWS,0),MATCH(APP_RISK_TIER,CRIT_MATRIX_COLS,0)))</f>
        <v/>
      </c>
    </row>
    <row r="23" ht="39.75" customHeight="1" s="19">
      <c r="A23" s="42" t="inlineStr">
        <is>
          <t>V1.3.7</t>
        </is>
      </c>
      <c r="B23" s="40" t="inlineStr">
        <is>
          <t>V1 - Encoding and Sanitization</t>
        </is>
      </c>
      <c r="C23" s="40" t="inlineStr">
        <is>
          <t>V1.3 - Sanitization</t>
        </is>
      </c>
      <c r="D23" s="42" t="n">
        <v>2</v>
      </c>
      <c r="E23" s="40" t="inlineStr">
        <is>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is>
      </c>
      <c r="F23" s="40" t="inlineStr">
        <is>
          <t>Always</t>
        </is>
      </c>
      <c r="G23" s="42" t="inlineStr">
        <is>
          <t>TRUE</t>
        </is>
      </c>
      <c r="H23" s="43">
        <f>IF(AND(TRUE(),D23&lt;=TARGET_LEVEL_NUM),"Applicable","N/A")</f>
        <v/>
      </c>
      <c r="I23" s="40" t="inlineStr">
        <is>
          <t>SAST + DAST</t>
        </is>
      </c>
      <c r="J23" s="40" t="inlineStr">
        <is>
          <t>Deterministic, continuous</t>
        </is>
      </c>
      <c r="K23" s="42" t="inlineStr">
        <is>
          <t>Pipeline</t>
        </is>
      </c>
      <c r="L23" s="42" t="inlineStr">
        <is>
          <t>Not assessed</t>
        </is>
      </c>
      <c r="M23" s="40" t="n"/>
      <c r="N23" s="40" t="n"/>
      <c r="O23" s="42" t="inlineStr">
        <is>
          <t>High</t>
        </is>
      </c>
      <c r="P23" s="43">
        <f>IF(H23="N/A","N/A",INDEX(CRIT_MATRIX,MATCH(O23,CRIT_MATRIX_ROWS,0),MATCH(APP_RISK_TIER,CRIT_MATRIX_COLS,0)))</f>
        <v/>
      </c>
    </row>
    <row r="24" ht="39.75" customHeight="1" s="19">
      <c r="A24" s="42" t="inlineStr">
        <is>
          <t>V1.3.8</t>
        </is>
      </c>
      <c r="B24" s="40" t="inlineStr">
        <is>
          <t>V1 - Encoding and Sanitization</t>
        </is>
      </c>
      <c r="C24" s="40" t="inlineStr">
        <is>
          <t>V1.3 - Sanitization</t>
        </is>
      </c>
      <c r="D24" s="42" t="n">
        <v>2</v>
      </c>
      <c r="E24" s="40" t="inlineStr">
        <is>
          <t>Verify that the application appropriately sanitizes untrusted input before use in Java Naming and Directory Interface (JNDI) queries and that JNDI is configured securely to prevent JNDI injection attacks.</t>
        </is>
      </c>
      <c r="F24" s="40" t="inlineStr">
        <is>
          <t>Always</t>
        </is>
      </c>
      <c r="G24" s="42" t="inlineStr">
        <is>
          <t>TRUE</t>
        </is>
      </c>
      <c r="H24" s="43">
        <f>IF(AND(TRUE(),D24&lt;=TARGET_LEVEL_NUM),"Applicable","N/A")</f>
        <v/>
      </c>
      <c r="I24" s="40" t="inlineStr">
        <is>
          <t>SAST + DAST</t>
        </is>
      </c>
      <c r="J24" s="40" t="inlineStr">
        <is>
          <t>Deterministic, continuous</t>
        </is>
      </c>
      <c r="K24" s="42" t="inlineStr">
        <is>
          <t>Pipeline</t>
        </is>
      </c>
      <c r="L24" s="42" t="inlineStr">
        <is>
          <t>Not assessed</t>
        </is>
      </c>
      <c r="M24" s="40" t="n"/>
      <c r="N24" s="40" t="n"/>
      <c r="O24" s="42" t="inlineStr">
        <is>
          <t>High</t>
        </is>
      </c>
      <c r="P24" s="43">
        <f>IF(H24="N/A","N/A",INDEX(CRIT_MATRIX,MATCH(O24,CRIT_MATRIX_ROWS,0),MATCH(APP_RISK_TIER,CRIT_MATRIX_COLS,0)))</f>
        <v/>
      </c>
    </row>
    <row r="25" ht="39.75" customHeight="1" s="19">
      <c r="A25" s="42" t="inlineStr">
        <is>
          <t>V1.3.9</t>
        </is>
      </c>
      <c r="B25" s="40" t="inlineStr">
        <is>
          <t>V1 - Encoding and Sanitization</t>
        </is>
      </c>
      <c r="C25" s="40" t="inlineStr">
        <is>
          <t>V1.3 - Sanitization</t>
        </is>
      </c>
      <c r="D25" s="42" t="n">
        <v>2</v>
      </c>
      <c r="E25" s="40" t="inlineStr">
        <is>
          <t>Verify that the application sanitizes content before it is sent to memcache to prevent injection attacks.</t>
        </is>
      </c>
      <c r="F25" s="40" t="inlineStr">
        <is>
          <t>Always</t>
        </is>
      </c>
      <c r="G25" s="42" t="inlineStr">
        <is>
          <t>TRUE</t>
        </is>
      </c>
      <c r="H25" s="43">
        <f>IF(AND(TRUE(),D25&lt;=TARGET_LEVEL_NUM),"Applicable","N/A")</f>
        <v/>
      </c>
      <c r="I25" s="40" t="inlineStr">
        <is>
          <t>SAST + DAST</t>
        </is>
      </c>
      <c r="J25" s="40" t="inlineStr">
        <is>
          <t>Deterministic, continuous</t>
        </is>
      </c>
      <c r="K25" s="42" t="inlineStr">
        <is>
          <t>Pipeline</t>
        </is>
      </c>
      <c r="L25" s="42" t="inlineStr">
        <is>
          <t>Not assessed</t>
        </is>
      </c>
      <c r="M25" s="40" t="n"/>
      <c r="N25" s="40" t="n"/>
      <c r="O25" s="42" t="inlineStr">
        <is>
          <t>High</t>
        </is>
      </c>
      <c r="P25" s="43">
        <f>IF(H25="N/A","N/A",INDEX(CRIT_MATRIX,MATCH(O25,CRIT_MATRIX_ROWS,0),MATCH(APP_RISK_TIER,CRIT_MATRIX_COLS,0)))</f>
        <v/>
      </c>
    </row>
    <row r="26" ht="39.75" customHeight="1" s="19">
      <c r="A26" s="42" t="inlineStr">
        <is>
          <t>V1.3.10</t>
        </is>
      </c>
      <c r="B26" s="40" t="inlineStr">
        <is>
          <t>V1 - Encoding and Sanitization</t>
        </is>
      </c>
      <c r="C26" s="40" t="inlineStr">
        <is>
          <t>V1.3 - Sanitization</t>
        </is>
      </c>
      <c r="D26" s="42" t="n">
        <v>2</v>
      </c>
      <c r="E26" s="40" t="inlineStr">
        <is>
          <t>Verify that format strings which might resolve in an unexpected or malicious way when used are sanitized before being processed.</t>
        </is>
      </c>
      <c r="F26" s="40" t="inlineStr">
        <is>
          <t>Always</t>
        </is>
      </c>
      <c r="G26" s="42" t="inlineStr">
        <is>
          <t>TRUE</t>
        </is>
      </c>
      <c r="H26" s="43">
        <f>IF(AND(TRUE(),D26&lt;=TARGET_LEVEL_NUM),"Applicable","N/A")</f>
        <v/>
      </c>
      <c r="I26" s="40" t="inlineStr">
        <is>
          <t>SAST + DAST</t>
        </is>
      </c>
      <c r="J26" s="40" t="inlineStr">
        <is>
          <t>Deterministic, continuous</t>
        </is>
      </c>
      <c r="K26" s="42" t="inlineStr">
        <is>
          <t>Pipeline</t>
        </is>
      </c>
      <c r="L26" s="42" t="inlineStr">
        <is>
          <t>Not assessed</t>
        </is>
      </c>
      <c r="M26" s="40" t="n"/>
      <c r="N26" s="40" t="n"/>
      <c r="O26" s="42" t="inlineStr">
        <is>
          <t>High</t>
        </is>
      </c>
      <c r="P26" s="43">
        <f>IF(H26="N/A","N/A",INDEX(CRIT_MATRIX,MATCH(O26,CRIT_MATRIX_ROWS,0),MATCH(APP_RISK_TIER,CRIT_MATRIX_COLS,0)))</f>
        <v/>
      </c>
    </row>
    <row r="27" ht="39.75" customHeight="1" s="19">
      <c r="A27" s="42" t="inlineStr">
        <is>
          <t>V1.3.11</t>
        </is>
      </c>
      <c r="B27" s="40" t="inlineStr">
        <is>
          <t>V1 - Encoding and Sanitization</t>
        </is>
      </c>
      <c r="C27" s="40" t="inlineStr">
        <is>
          <t>V1.3 - Sanitization</t>
        </is>
      </c>
      <c r="D27" s="42" t="n">
        <v>2</v>
      </c>
      <c r="E27" s="40" t="inlineStr">
        <is>
          <t>Verify that the application sanitizes user input before passing to mail systems to protect against SMTP or IMAP injection.</t>
        </is>
      </c>
      <c r="F27" s="40" t="inlineStr">
        <is>
          <t>Always</t>
        </is>
      </c>
      <c r="G27" s="42" t="inlineStr">
        <is>
          <t>TRUE</t>
        </is>
      </c>
      <c r="H27" s="43">
        <f>IF(AND(TRUE(),D27&lt;=TARGET_LEVEL_NUM),"Applicable","N/A")</f>
        <v/>
      </c>
      <c r="I27" s="40" t="inlineStr">
        <is>
          <t>SAST + DAST</t>
        </is>
      </c>
      <c r="J27" s="40" t="inlineStr">
        <is>
          <t>Deterministic, continuous</t>
        </is>
      </c>
      <c r="K27" s="42" t="inlineStr">
        <is>
          <t>Pipeline</t>
        </is>
      </c>
      <c r="L27" s="42" t="inlineStr">
        <is>
          <t>Not assessed</t>
        </is>
      </c>
      <c r="M27" s="40" t="n"/>
      <c r="N27" s="40" t="n"/>
      <c r="O27" s="42" t="inlineStr">
        <is>
          <t>High</t>
        </is>
      </c>
      <c r="P27" s="43">
        <f>IF(H27="N/A","N/A",INDEX(CRIT_MATRIX,MATCH(O27,CRIT_MATRIX_ROWS,0),MATCH(APP_RISK_TIER,CRIT_MATRIX_COLS,0)))</f>
        <v/>
      </c>
    </row>
    <row r="28" ht="39.75" customHeight="1" s="19">
      <c r="A28" s="42" t="inlineStr">
        <is>
          <t>V1.3.12</t>
        </is>
      </c>
      <c r="B28" s="40" t="inlineStr">
        <is>
          <t>V1 - Encoding and Sanitization</t>
        </is>
      </c>
      <c r="C28" s="40" t="inlineStr">
        <is>
          <t>V1.3 - Sanitization</t>
        </is>
      </c>
      <c r="D28" s="42" t="n">
        <v>3</v>
      </c>
      <c r="E28" s="40" t="inlineStr">
        <is>
          <t>Verify that regular expressions are free from elements causing exponential backtracking, and ensure untrusted input is sanitized to mitigate ReDoS or Runaway Regex attacks.</t>
        </is>
      </c>
      <c r="F28" s="40" t="inlineStr">
        <is>
          <t>Always</t>
        </is>
      </c>
      <c r="G28" s="42" t="inlineStr">
        <is>
          <t>TRUE</t>
        </is>
      </c>
      <c r="H28" s="43">
        <f>IF(AND(TRUE(),D28&lt;=TARGET_LEVEL_NUM),"Applicable","N/A")</f>
        <v/>
      </c>
      <c r="I28" s="40" t="inlineStr">
        <is>
          <t>SAST + DAST</t>
        </is>
      </c>
      <c r="J28" s="40" t="inlineStr">
        <is>
          <t>Deterministic, continuous</t>
        </is>
      </c>
      <c r="K28" s="42" t="inlineStr">
        <is>
          <t>Pipeline</t>
        </is>
      </c>
      <c r="L28" s="42" t="inlineStr">
        <is>
          <t>Not assessed</t>
        </is>
      </c>
      <c r="M28" s="40" t="n"/>
      <c r="N28" s="40" t="n"/>
      <c r="O28" s="42" t="inlineStr">
        <is>
          <t>High</t>
        </is>
      </c>
      <c r="P28" s="43">
        <f>IF(H28="N/A","N/A",INDEX(CRIT_MATRIX,MATCH(O28,CRIT_MATRIX_ROWS,0),MATCH(APP_RISK_TIER,CRIT_MATRIX_COLS,0)))</f>
        <v/>
      </c>
    </row>
    <row r="29" ht="39.75" customHeight="1" s="19">
      <c r="A29" s="42" t="inlineStr">
        <is>
          <t>V1.4.1</t>
        </is>
      </c>
      <c r="B29" s="40" t="inlineStr">
        <is>
          <t>V1 - Encoding and Sanitization</t>
        </is>
      </c>
      <c r="C29" s="40" t="inlineStr">
        <is>
          <t>V1.4 - Memory, String, and Unmanaged Code</t>
        </is>
      </c>
      <c r="D29" s="42" t="n">
        <v>2</v>
      </c>
      <c r="E29" s="40" t="inlineStr">
        <is>
          <t>Verify that the application uses memory-safe string, safer memory copy and pointer arithmetic to detect or prevent stack, buffer, or heap overflows.</t>
        </is>
      </c>
      <c r="F29" s="40" t="inlineStr">
        <is>
          <t>Always</t>
        </is>
      </c>
      <c r="G29" s="42" t="inlineStr">
        <is>
          <t>TRUE</t>
        </is>
      </c>
      <c r="H29" s="43">
        <f>IF(AND(TRUE(),D29&lt;=TARGET_LEVEL_NUM),"Applicable","N/A")</f>
        <v/>
      </c>
      <c r="I29" s="40" t="inlineStr">
        <is>
          <t>SAST + DAST</t>
        </is>
      </c>
      <c r="J29" s="40" t="inlineStr">
        <is>
          <t>Deterministic, continuous</t>
        </is>
      </c>
      <c r="K29" s="42" t="inlineStr">
        <is>
          <t>Pipeline</t>
        </is>
      </c>
      <c r="L29" s="42" t="inlineStr">
        <is>
          <t>Not assessed</t>
        </is>
      </c>
      <c r="M29" s="40" t="n"/>
      <c r="N29" s="40" t="n"/>
      <c r="O29" s="42" t="inlineStr">
        <is>
          <t>High</t>
        </is>
      </c>
      <c r="P29" s="43">
        <f>IF(H29="N/A","N/A",INDEX(CRIT_MATRIX,MATCH(O29,CRIT_MATRIX_ROWS,0),MATCH(APP_RISK_TIER,CRIT_MATRIX_COLS,0)))</f>
        <v/>
      </c>
    </row>
    <row r="30" ht="39.75" customHeight="1" s="19">
      <c r="A30" s="42" t="inlineStr">
        <is>
          <t>V1.4.2</t>
        </is>
      </c>
      <c r="B30" s="40" t="inlineStr">
        <is>
          <t>V1 - Encoding and Sanitization</t>
        </is>
      </c>
      <c r="C30" s="40" t="inlineStr">
        <is>
          <t>V1.4 - Memory, String, and Unmanaged Code</t>
        </is>
      </c>
      <c r="D30" s="42" t="n">
        <v>2</v>
      </c>
      <c r="E30" s="40" t="inlineStr">
        <is>
          <t>Verify that sign, range, and input validation techniques are used to prevent integer overflows.</t>
        </is>
      </c>
      <c r="F30" s="40" t="inlineStr">
        <is>
          <t>Always</t>
        </is>
      </c>
      <c r="G30" s="42" t="inlineStr">
        <is>
          <t>TRUE</t>
        </is>
      </c>
      <c r="H30" s="43">
        <f>IF(AND(TRUE(),D30&lt;=TARGET_LEVEL_NUM),"Applicable","N/A")</f>
        <v/>
      </c>
      <c r="I30" s="40" t="inlineStr">
        <is>
          <t>SAST + DAST</t>
        </is>
      </c>
      <c r="J30" s="40" t="inlineStr">
        <is>
          <t>Deterministic, continuous</t>
        </is>
      </c>
      <c r="K30" s="42" t="inlineStr">
        <is>
          <t>Pipeline</t>
        </is>
      </c>
      <c r="L30" s="42" t="inlineStr">
        <is>
          <t>Not assessed</t>
        </is>
      </c>
      <c r="M30" s="40" t="n"/>
      <c r="N30" s="40" t="n"/>
      <c r="O30" s="42" t="inlineStr">
        <is>
          <t>High</t>
        </is>
      </c>
      <c r="P30" s="43">
        <f>IF(H30="N/A","N/A",INDEX(CRIT_MATRIX,MATCH(O30,CRIT_MATRIX_ROWS,0),MATCH(APP_RISK_TIER,CRIT_MATRIX_COLS,0)))</f>
        <v/>
      </c>
    </row>
    <row r="31" ht="39.75" customHeight="1" s="19">
      <c r="A31" s="42" t="inlineStr">
        <is>
          <t>V1.4.3</t>
        </is>
      </c>
      <c r="B31" s="40" t="inlineStr">
        <is>
          <t>V1 - Encoding and Sanitization</t>
        </is>
      </c>
      <c r="C31" s="40" t="inlineStr">
        <is>
          <t>V1.4 - Memory, String, and Unmanaged Code</t>
        </is>
      </c>
      <c r="D31" s="42" t="n">
        <v>2</v>
      </c>
      <c r="E31" s="40" t="inlineStr">
        <is>
          <t>Verify that dynamically allocated memory and resources are released, and that references or pointers to freed memory are removed or set to null to prevent dangling pointers and use-after-free vulnerabilities.</t>
        </is>
      </c>
      <c r="F31" s="40" t="inlineStr">
        <is>
          <t>Always</t>
        </is>
      </c>
      <c r="G31" s="42" t="inlineStr">
        <is>
          <t>TRUE</t>
        </is>
      </c>
      <c r="H31" s="43">
        <f>IF(AND(TRUE(),D31&lt;=TARGET_LEVEL_NUM),"Applicable","N/A")</f>
        <v/>
      </c>
      <c r="I31" s="40" t="inlineStr">
        <is>
          <t>SAST + DAST</t>
        </is>
      </c>
      <c r="J31" s="40" t="inlineStr">
        <is>
          <t>Deterministic, continuous</t>
        </is>
      </c>
      <c r="K31" s="42" t="inlineStr">
        <is>
          <t>Pipeline</t>
        </is>
      </c>
      <c r="L31" s="42" t="inlineStr">
        <is>
          <t>Not assessed</t>
        </is>
      </c>
      <c r="M31" s="40" t="n"/>
      <c r="N31" s="40" t="n"/>
      <c r="O31" s="42" t="inlineStr">
        <is>
          <t>High</t>
        </is>
      </c>
      <c r="P31" s="43">
        <f>IF(H31="N/A","N/A",INDEX(CRIT_MATRIX,MATCH(O31,CRIT_MATRIX_ROWS,0),MATCH(APP_RISK_TIER,CRIT_MATRIX_COLS,0)))</f>
        <v/>
      </c>
    </row>
    <row r="32" ht="39.75" customHeight="1" s="19">
      <c r="A32" s="42" t="inlineStr">
        <is>
          <t>V1.5.1</t>
        </is>
      </c>
      <c r="B32" s="40" t="inlineStr">
        <is>
          <t>V1 - Encoding and Sanitization</t>
        </is>
      </c>
      <c r="C32" s="40" t="inlineStr">
        <is>
          <t>V1.5 - Safe Deserialization</t>
        </is>
      </c>
      <c r="D32" s="42" t="n">
        <v>1</v>
      </c>
      <c r="E32" s="40" t="inlineStr">
        <is>
          <t>Verify that the application configures XML parsers to use a restrictive configuration and that unsafe features such as resolving external entities are disabled to prevent XML eXternal Entity (XXE) attacks.</t>
        </is>
      </c>
      <c r="F32" s="40" t="inlineStr">
        <is>
          <t>Always</t>
        </is>
      </c>
      <c r="G32" s="42" t="inlineStr">
        <is>
          <t>TRUE</t>
        </is>
      </c>
      <c r="H32" s="43">
        <f>IF(AND(TRUE(),D32&lt;=TARGET_LEVEL_NUM),"Applicable","N/A")</f>
        <v/>
      </c>
      <c r="I32" s="40" t="inlineStr">
        <is>
          <t>SAST + DAST</t>
        </is>
      </c>
      <c r="J32" s="40" t="inlineStr">
        <is>
          <t>Deterministic, continuous</t>
        </is>
      </c>
      <c r="K32" s="42" t="inlineStr">
        <is>
          <t>Pipeline</t>
        </is>
      </c>
      <c r="L32" s="42" t="inlineStr">
        <is>
          <t>Not assessed</t>
        </is>
      </c>
      <c r="M32" s="40" t="n"/>
      <c r="N32" s="40" t="n"/>
      <c r="O32" s="42" t="inlineStr">
        <is>
          <t>High</t>
        </is>
      </c>
      <c r="P32" s="43">
        <f>IF(H32="N/A","N/A",INDEX(CRIT_MATRIX,MATCH(O32,CRIT_MATRIX_ROWS,0),MATCH(APP_RISK_TIER,CRIT_MATRIX_COLS,0)))</f>
        <v/>
      </c>
    </row>
    <row r="33" ht="39.75" customHeight="1" s="19">
      <c r="A33" s="42" t="inlineStr">
        <is>
          <t>V1.5.2</t>
        </is>
      </c>
      <c r="B33" s="40" t="inlineStr">
        <is>
          <t>V1 - Encoding and Sanitization</t>
        </is>
      </c>
      <c r="C33" s="40" t="inlineStr">
        <is>
          <t>V1.5 - Safe Deserialization</t>
        </is>
      </c>
      <c r="D33" s="42" t="n">
        <v>2</v>
      </c>
      <c r="E33" s="40" t="inlineStr">
        <is>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is>
      </c>
      <c r="F33" s="40" t="inlineStr">
        <is>
          <t>Always</t>
        </is>
      </c>
      <c r="G33" s="42" t="inlineStr">
        <is>
          <t>TRUE</t>
        </is>
      </c>
      <c r="H33" s="43">
        <f>IF(AND(TRUE(),D33&lt;=TARGET_LEVEL_NUM),"Applicable","N/A")</f>
        <v/>
      </c>
      <c r="I33" s="40" t="inlineStr">
        <is>
          <t>SAST + DAST</t>
        </is>
      </c>
      <c r="J33" s="40" t="inlineStr">
        <is>
          <t>Deterministic, continuous</t>
        </is>
      </c>
      <c r="K33" s="42" t="inlineStr">
        <is>
          <t>Pipeline</t>
        </is>
      </c>
      <c r="L33" s="42" t="inlineStr">
        <is>
          <t>Not assessed</t>
        </is>
      </c>
      <c r="M33" s="40" t="n"/>
      <c r="N33" s="40" t="n"/>
      <c r="O33" s="42" t="inlineStr">
        <is>
          <t>High</t>
        </is>
      </c>
      <c r="P33" s="43">
        <f>IF(H33="N/A","N/A",INDEX(CRIT_MATRIX,MATCH(O33,CRIT_MATRIX_ROWS,0),MATCH(APP_RISK_TIER,CRIT_MATRIX_COLS,0)))</f>
        <v/>
      </c>
    </row>
    <row r="34" ht="39.75" customHeight="1" s="19">
      <c r="A34" s="42" t="inlineStr">
        <is>
          <t>V1.5.3</t>
        </is>
      </c>
      <c r="B34" s="40" t="inlineStr">
        <is>
          <t>V1 - Encoding and Sanitization</t>
        </is>
      </c>
      <c r="C34" s="40" t="inlineStr">
        <is>
          <t>V1.5 - Safe Deserialization</t>
        </is>
      </c>
      <c r="D34" s="42" t="n">
        <v>3</v>
      </c>
      <c r="E34" s="40" t="inlineStr">
        <is>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is>
      </c>
      <c r="F34" s="40" t="inlineStr">
        <is>
          <t>Always</t>
        </is>
      </c>
      <c r="G34" s="42" t="inlineStr">
        <is>
          <t>TRUE</t>
        </is>
      </c>
      <c r="H34" s="43">
        <f>IF(AND(TRUE(),D34&lt;=TARGET_LEVEL_NUM),"Applicable","N/A")</f>
        <v/>
      </c>
      <c r="I34" s="40" t="inlineStr">
        <is>
          <t>SAST + DAST</t>
        </is>
      </c>
      <c r="J34" s="40" t="inlineStr">
        <is>
          <t>Deterministic, continuous</t>
        </is>
      </c>
      <c r="K34" s="42" t="inlineStr">
        <is>
          <t>Pipeline</t>
        </is>
      </c>
      <c r="L34" s="42" t="inlineStr">
        <is>
          <t>Not assessed</t>
        </is>
      </c>
      <c r="M34" s="40" t="n"/>
      <c r="N34" s="40" t="n"/>
      <c r="O34" s="42" t="inlineStr">
        <is>
          <t>High</t>
        </is>
      </c>
      <c r="P34" s="43">
        <f>IF(H34="N/A","N/A",INDEX(CRIT_MATRIX,MATCH(O34,CRIT_MATRIX_ROWS,0),MATCH(APP_RISK_TIER,CRIT_MATRIX_COLS,0)))</f>
        <v/>
      </c>
    </row>
    <row r="35" ht="39.75" customHeight="1" s="19">
      <c r="A35" s="42" t="inlineStr">
        <is>
          <t>V2.1.1</t>
        </is>
      </c>
      <c r="B35" s="40" t="inlineStr">
        <is>
          <t>V2 - Validation and Business Logic</t>
        </is>
      </c>
      <c r="C35" s="40" t="inlineStr">
        <is>
          <t>V2.1 - Validation and Business Logic Documentation</t>
        </is>
      </c>
      <c r="D35" s="42" t="n">
        <v>1</v>
      </c>
      <c r="E35" s="40" t="inlineStr">
        <is>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is>
      </c>
      <c r="F35" s="40" t="inlineStr">
        <is>
          <t>Always</t>
        </is>
      </c>
      <c r="G35" s="42" t="inlineStr">
        <is>
          <t>TRUE</t>
        </is>
      </c>
      <c r="H35" s="43">
        <f>IF(AND(TRUE(),D35&lt;=TARGET_LEVEL_NUM),"Applicable","N/A")</f>
        <v/>
      </c>
      <c r="I35" s="40" t="inlineStr">
        <is>
          <t>Architecture / documentation review</t>
        </is>
      </c>
      <c r="J35" s="40" t="inlineStr">
        <is>
          <t>Sampled, periodic</t>
        </is>
      </c>
      <c r="K35" s="42" t="inlineStr">
        <is>
          <t>Design/Governance</t>
        </is>
      </c>
      <c r="L35" s="42" t="inlineStr">
        <is>
          <t>Not assessed</t>
        </is>
      </c>
      <c r="M35" s="40" t="n"/>
      <c r="N35" s="40" t="n"/>
      <c r="O35" s="42" t="inlineStr">
        <is>
          <t>High</t>
        </is>
      </c>
      <c r="P35" s="43">
        <f>IF(H35="N/A","N/A",INDEX(CRIT_MATRIX,MATCH(O35,CRIT_MATRIX_ROWS,0),MATCH(APP_RISK_TIER,CRIT_MATRIX_COLS,0)))</f>
        <v/>
      </c>
    </row>
    <row r="36" ht="39.75" customHeight="1" s="19">
      <c r="A36" s="42" t="inlineStr">
        <is>
          <t>V2.1.2</t>
        </is>
      </c>
      <c r="B36" s="40" t="inlineStr">
        <is>
          <t>V2 - Validation and Business Logic</t>
        </is>
      </c>
      <c r="C36" s="40" t="inlineStr">
        <is>
          <t>V2.1 - Validation and Business Logic Documentation</t>
        </is>
      </c>
      <c r="D36" s="42" t="n">
        <v>2</v>
      </c>
      <c r="E36" s="40" t="inlineStr">
        <is>
          <t>Verify that the application's documentation defines how to validate the logical and contextual consistency of combined data items, such as checking that suburb and ZIP code match.</t>
        </is>
      </c>
      <c r="F36" s="40" t="inlineStr">
        <is>
          <t>Always</t>
        </is>
      </c>
      <c r="G36" s="42" t="inlineStr">
        <is>
          <t>TRUE</t>
        </is>
      </c>
      <c r="H36" s="43">
        <f>IF(AND(TRUE(),D36&lt;=TARGET_LEVEL_NUM),"Applicable","N/A")</f>
        <v/>
      </c>
      <c r="I36" s="40" t="inlineStr">
        <is>
          <t>Architecture / documentation review</t>
        </is>
      </c>
      <c r="J36" s="40" t="inlineStr">
        <is>
          <t>Sampled, periodic</t>
        </is>
      </c>
      <c r="K36" s="42" t="inlineStr">
        <is>
          <t>Design/Governance</t>
        </is>
      </c>
      <c r="L36" s="42" t="inlineStr">
        <is>
          <t>Not assessed</t>
        </is>
      </c>
      <c r="M36" s="40" t="n"/>
      <c r="N36" s="40" t="n"/>
      <c r="O36" s="42" t="inlineStr">
        <is>
          <t>High</t>
        </is>
      </c>
      <c r="P36" s="43">
        <f>IF(H36="N/A","N/A",INDEX(CRIT_MATRIX,MATCH(O36,CRIT_MATRIX_ROWS,0),MATCH(APP_RISK_TIER,CRIT_MATRIX_COLS,0)))</f>
        <v/>
      </c>
    </row>
    <row r="37" ht="39.75" customHeight="1" s="19">
      <c r="A37" s="42" t="inlineStr">
        <is>
          <t>V2.1.3</t>
        </is>
      </c>
      <c r="B37" s="40" t="inlineStr">
        <is>
          <t>V2 - Validation and Business Logic</t>
        </is>
      </c>
      <c r="C37" s="40" t="inlineStr">
        <is>
          <t>V2.1 - Validation and Business Logic Documentation</t>
        </is>
      </c>
      <c r="D37" s="42" t="n">
        <v>2</v>
      </c>
      <c r="E37" s="40" t="inlineStr">
        <is>
          <t>Verify that expectations for business logic limits and validations are documented, including both per-user and globally across the application.</t>
        </is>
      </c>
      <c r="F37" s="40" t="inlineStr">
        <is>
          <t>Always</t>
        </is>
      </c>
      <c r="G37" s="42" t="inlineStr">
        <is>
          <t>TRUE</t>
        </is>
      </c>
      <c r="H37" s="43">
        <f>IF(AND(TRUE(),D37&lt;=TARGET_LEVEL_NUM),"Applicable","N/A")</f>
        <v/>
      </c>
      <c r="I37" s="40" t="inlineStr">
        <is>
          <t>Architecture / documentation review</t>
        </is>
      </c>
      <c r="J37" s="40" t="inlineStr">
        <is>
          <t>Sampled, periodic</t>
        </is>
      </c>
      <c r="K37" s="42" t="inlineStr">
        <is>
          <t>Design/Governance</t>
        </is>
      </c>
      <c r="L37" s="42" t="inlineStr">
        <is>
          <t>Not assessed</t>
        </is>
      </c>
      <c r="M37" s="40" t="n"/>
      <c r="N37" s="40" t="n"/>
      <c r="O37" s="42" t="inlineStr">
        <is>
          <t>High</t>
        </is>
      </c>
      <c r="P37" s="43">
        <f>IF(H37="N/A","N/A",INDEX(CRIT_MATRIX,MATCH(O37,CRIT_MATRIX_ROWS,0),MATCH(APP_RISK_TIER,CRIT_MATRIX_COLS,0)))</f>
        <v/>
      </c>
    </row>
    <row r="38" ht="39.75" customHeight="1" s="19">
      <c r="A38" s="42" t="inlineStr">
        <is>
          <t>V2.2.1</t>
        </is>
      </c>
      <c r="B38" s="40" t="inlineStr">
        <is>
          <t>V2 - Validation and Business Logic</t>
        </is>
      </c>
      <c r="C38" s="40" t="inlineStr">
        <is>
          <t>V2.2 - Input Validation</t>
        </is>
      </c>
      <c r="D38" s="42" t="n">
        <v>1</v>
      </c>
      <c r="E38" s="40" t="inlineStr">
        <is>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is>
      </c>
      <c r="F38" s="40" t="inlineStr">
        <is>
          <t>Always</t>
        </is>
      </c>
      <c r="G38" s="42" t="inlineStr">
        <is>
          <t>TRUE</t>
        </is>
      </c>
      <c r="H38" s="43">
        <f>IF(AND(TRUE(),D38&lt;=TARGET_LEVEL_NUM),"Applicable","N/A")</f>
        <v/>
      </c>
      <c r="I38" s="40" t="inlineStr">
        <is>
          <t>SAST + DAST</t>
        </is>
      </c>
      <c r="J38" s="40" t="inlineStr">
        <is>
          <t>Deterministic, continuous</t>
        </is>
      </c>
      <c r="K38" s="42" t="inlineStr">
        <is>
          <t>Pipeline</t>
        </is>
      </c>
      <c r="L38" s="42" t="inlineStr">
        <is>
          <t>Not assessed</t>
        </is>
      </c>
      <c r="M38" s="40" t="n"/>
      <c r="N38" s="40" t="n"/>
      <c r="O38" s="42" t="inlineStr">
        <is>
          <t>High</t>
        </is>
      </c>
      <c r="P38" s="43">
        <f>IF(H38="N/A","N/A",INDEX(CRIT_MATRIX,MATCH(O38,CRIT_MATRIX_ROWS,0),MATCH(APP_RISK_TIER,CRIT_MATRIX_COLS,0)))</f>
        <v/>
      </c>
    </row>
    <row r="39" ht="39.75" customHeight="1" s="19">
      <c r="A39" s="42" t="inlineStr">
        <is>
          <t>V2.2.2</t>
        </is>
      </c>
      <c r="B39" s="40" t="inlineStr">
        <is>
          <t>V2 - Validation and Business Logic</t>
        </is>
      </c>
      <c r="C39" s="40" t="inlineStr">
        <is>
          <t>V2.2 - Input Validation</t>
        </is>
      </c>
      <c r="D39" s="42" t="n">
        <v>1</v>
      </c>
      <c r="E39" s="40" t="inlineStr">
        <is>
          <t>Verify that the application is designed to enforce input validation at a trusted service layer. While client-side validation improves usability and should be encouraged, it must not be relied upon as a security control.</t>
        </is>
      </c>
      <c r="F39" s="40" t="inlineStr">
        <is>
          <t>Always</t>
        </is>
      </c>
      <c r="G39" s="42" t="inlineStr">
        <is>
          <t>TRUE</t>
        </is>
      </c>
      <c r="H39" s="43">
        <f>IF(AND(TRUE(),D39&lt;=TARGET_LEVEL_NUM),"Applicable","N/A")</f>
        <v/>
      </c>
      <c r="I39" s="40" t="inlineStr">
        <is>
          <t>SAST + DAST</t>
        </is>
      </c>
      <c r="J39" s="40" t="inlineStr">
        <is>
          <t>Deterministic, continuous</t>
        </is>
      </c>
      <c r="K39" s="42" t="inlineStr">
        <is>
          <t>Pipeline</t>
        </is>
      </c>
      <c r="L39" s="42" t="inlineStr">
        <is>
          <t>Not assessed</t>
        </is>
      </c>
      <c r="M39" s="40" t="n"/>
      <c r="N39" s="40" t="n"/>
      <c r="O39" s="42" t="inlineStr">
        <is>
          <t>High</t>
        </is>
      </c>
      <c r="P39" s="43">
        <f>IF(H39="N/A","N/A",INDEX(CRIT_MATRIX,MATCH(O39,CRIT_MATRIX_ROWS,0),MATCH(APP_RISK_TIER,CRIT_MATRIX_COLS,0)))</f>
        <v/>
      </c>
    </row>
    <row r="40" ht="39.75" customHeight="1" s="19">
      <c r="A40" s="42" t="inlineStr">
        <is>
          <t>V2.2.3</t>
        </is>
      </c>
      <c r="B40" s="40" t="inlineStr">
        <is>
          <t>V2 - Validation and Business Logic</t>
        </is>
      </c>
      <c r="C40" s="40" t="inlineStr">
        <is>
          <t>V2.2 - Input Validation</t>
        </is>
      </c>
      <c r="D40" s="42" t="n">
        <v>2</v>
      </c>
      <c r="E40" s="40" t="inlineStr">
        <is>
          <t>Verify that the application ensures that combinations of related data items are reasonable according to the pre-defined rules.</t>
        </is>
      </c>
      <c r="F40" s="40" t="inlineStr">
        <is>
          <t>Always</t>
        </is>
      </c>
      <c r="G40" s="42" t="inlineStr">
        <is>
          <t>TRUE</t>
        </is>
      </c>
      <c r="H40" s="43">
        <f>IF(AND(TRUE(),D40&lt;=TARGET_LEVEL_NUM),"Applicable","N/A")</f>
        <v/>
      </c>
      <c r="I40" s="40" t="inlineStr">
        <is>
          <t>SAST + DAST</t>
        </is>
      </c>
      <c r="J40" s="40" t="inlineStr">
        <is>
          <t>Deterministic, continuous</t>
        </is>
      </c>
      <c r="K40" s="42" t="inlineStr">
        <is>
          <t>Pipeline</t>
        </is>
      </c>
      <c r="L40" s="42" t="inlineStr">
        <is>
          <t>Not assessed</t>
        </is>
      </c>
      <c r="M40" s="40" t="n"/>
      <c r="N40" s="40" t="n"/>
      <c r="O40" s="42" t="inlineStr">
        <is>
          <t>High</t>
        </is>
      </c>
      <c r="P40" s="43">
        <f>IF(H40="N/A","N/A",INDEX(CRIT_MATRIX,MATCH(O40,CRIT_MATRIX_ROWS,0),MATCH(APP_RISK_TIER,CRIT_MATRIX_COLS,0)))</f>
        <v/>
      </c>
    </row>
    <row r="41" ht="39.75" customHeight="1" s="19">
      <c r="A41" s="42" t="inlineStr">
        <is>
          <t>V2.3.1</t>
        </is>
      </c>
      <c r="B41" s="40" t="inlineStr">
        <is>
          <t>V2 - Validation and Business Logic</t>
        </is>
      </c>
      <c r="C41" s="40" t="inlineStr">
        <is>
          <t>V2.3 - Business Logic Security</t>
        </is>
      </c>
      <c r="D41" s="42" t="n">
        <v>1</v>
      </c>
      <c r="E41" s="40" t="inlineStr">
        <is>
          <t>Verify that the application will only process business logic flows for the same user in the expected sequential step order and without skipping steps.</t>
        </is>
      </c>
      <c r="F41" s="40" t="inlineStr">
        <is>
          <t>Always</t>
        </is>
      </c>
      <c r="G41" s="42" t="inlineStr">
        <is>
          <t>TRUE</t>
        </is>
      </c>
      <c r="H41" s="43">
        <f>IF(AND(TRUE(),D41&lt;=TARGET_LEVEL_NUM),"Applicable","N/A")</f>
        <v/>
      </c>
      <c r="I41" s="40" t="inlineStr">
        <is>
          <t>Pentest / manual review</t>
        </is>
      </c>
      <c r="J41" s="40" t="inlineStr">
        <is>
          <t>Sampled, periodic</t>
        </is>
      </c>
      <c r="K41" s="42" t="inlineStr">
        <is>
          <t>Periodic</t>
        </is>
      </c>
      <c r="L41" s="42" t="inlineStr">
        <is>
          <t>Not assessed</t>
        </is>
      </c>
      <c r="M41" s="40" t="n"/>
      <c r="N41" s="40" t="n"/>
      <c r="O41" s="42" t="inlineStr">
        <is>
          <t>High</t>
        </is>
      </c>
      <c r="P41" s="43">
        <f>IF(H41="N/A","N/A",INDEX(CRIT_MATRIX,MATCH(O41,CRIT_MATRIX_ROWS,0),MATCH(APP_RISK_TIER,CRIT_MATRIX_COLS,0)))</f>
        <v/>
      </c>
    </row>
    <row r="42" ht="39.75" customHeight="1" s="19">
      <c r="A42" s="42" t="inlineStr">
        <is>
          <t>V2.3.2</t>
        </is>
      </c>
      <c r="B42" s="40" t="inlineStr">
        <is>
          <t>V2 - Validation and Business Logic</t>
        </is>
      </c>
      <c r="C42" s="40" t="inlineStr">
        <is>
          <t>V2.3 - Business Logic Security</t>
        </is>
      </c>
      <c r="D42" s="42" t="n">
        <v>2</v>
      </c>
      <c r="E42" s="40" t="inlineStr">
        <is>
          <t>Verify that business logic limits are implemented per the application's documentation to avoid business logic flaws being exploited.</t>
        </is>
      </c>
      <c r="F42" s="40" t="inlineStr">
        <is>
          <t>Always</t>
        </is>
      </c>
      <c r="G42" s="42" t="inlineStr">
        <is>
          <t>TRUE</t>
        </is>
      </c>
      <c r="H42" s="43">
        <f>IF(AND(TRUE(),D42&lt;=TARGET_LEVEL_NUM),"Applicable","N/A")</f>
        <v/>
      </c>
      <c r="I42" s="40" t="inlineStr">
        <is>
          <t>Pentest / manual review</t>
        </is>
      </c>
      <c r="J42" s="40" t="inlineStr">
        <is>
          <t>Sampled, periodic</t>
        </is>
      </c>
      <c r="K42" s="42" t="inlineStr">
        <is>
          <t>Periodic</t>
        </is>
      </c>
      <c r="L42" s="42" t="inlineStr">
        <is>
          <t>Not assessed</t>
        </is>
      </c>
      <c r="M42" s="40" t="n"/>
      <c r="N42" s="40" t="n"/>
      <c r="O42" s="42" t="inlineStr">
        <is>
          <t>High</t>
        </is>
      </c>
      <c r="P42" s="43">
        <f>IF(H42="N/A","N/A",INDEX(CRIT_MATRIX,MATCH(O42,CRIT_MATRIX_ROWS,0),MATCH(APP_RISK_TIER,CRIT_MATRIX_COLS,0)))</f>
        <v/>
      </c>
    </row>
    <row r="43" ht="39.75" customHeight="1" s="19">
      <c r="A43" s="42" t="inlineStr">
        <is>
          <t>V2.3.3</t>
        </is>
      </c>
      <c r="B43" s="40" t="inlineStr">
        <is>
          <t>V2 - Validation and Business Logic</t>
        </is>
      </c>
      <c r="C43" s="40" t="inlineStr">
        <is>
          <t>V2.3 - Business Logic Security</t>
        </is>
      </c>
      <c r="D43" s="42" t="n">
        <v>2</v>
      </c>
      <c r="E43" s="40" t="inlineStr">
        <is>
          <t>Verify that transactions are being used at the business logic level such that either a business logic operation succeeds in its entirety or it is rolled back to the previous correct state.</t>
        </is>
      </c>
      <c r="F43" s="40" t="inlineStr">
        <is>
          <t>Always</t>
        </is>
      </c>
      <c r="G43" s="42" t="inlineStr">
        <is>
          <t>TRUE</t>
        </is>
      </c>
      <c r="H43" s="43">
        <f>IF(AND(TRUE(),D43&lt;=TARGET_LEVEL_NUM),"Applicable","N/A")</f>
        <v/>
      </c>
      <c r="I43" s="40" t="inlineStr">
        <is>
          <t>Pentest / manual review</t>
        </is>
      </c>
      <c r="J43" s="40" t="inlineStr">
        <is>
          <t>Sampled, periodic</t>
        </is>
      </c>
      <c r="K43" s="42" t="inlineStr">
        <is>
          <t>Periodic</t>
        </is>
      </c>
      <c r="L43" s="42" t="inlineStr">
        <is>
          <t>Not assessed</t>
        </is>
      </c>
      <c r="M43" s="40" t="n"/>
      <c r="N43" s="40" t="n"/>
      <c r="O43" s="42" t="inlineStr">
        <is>
          <t>High</t>
        </is>
      </c>
      <c r="P43" s="43">
        <f>IF(H43="N/A","N/A",INDEX(CRIT_MATRIX,MATCH(O43,CRIT_MATRIX_ROWS,0),MATCH(APP_RISK_TIER,CRIT_MATRIX_COLS,0)))</f>
        <v/>
      </c>
    </row>
    <row r="44" ht="39.75" customHeight="1" s="19">
      <c r="A44" s="42" t="inlineStr">
        <is>
          <t>V2.3.4</t>
        </is>
      </c>
      <c r="B44" s="40" t="inlineStr">
        <is>
          <t>V2 - Validation and Business Logic</t>
        </is>
      </c>
      <c r="C44" s="40" t="inlineStr">
        <is>
          <t>V2.3 - Business Logic Security</t>
        </is>
      </c>
      <c r="D44" s="42" t="n">
        <v>2</v>
      </c>
      <c r="E44" s="40" t="inlineStr">
        <is>
          <t>Verify that business logic level locking mechanisms are used to ensure that limited quantity resources (such as theater seats or delivery slots) cannot be double-booked by manipulating the application's logic.</t>
        </is>
      </c>
      <c r="F44" s="40" t="inlineStr">
        <is>
          <t>Always</t>
        </is>
      </c>
      <c r="G44" s="42" t="inlineStr">
        <is>
          <t>TRUE</t>
        </is>
      </c>
      <c r="H44" s="43">
        <f>IF(AND(TRUE(),D44&lt;=TARGET_LEVEL_NUM),"Applicable","N/A")</f>
        <v/>
      </c>
      <c r="I44" s="40" t="inlineStr">
        <is>
          <t>Pentest / manual review</t>
        </is>
      </c>
      <c r="J44" s="40" t="inlineStr">
        <is>
          <t>Sampled, periodic</t>
        </is>
      </c>
      <c r="K44" s="42" t="inlineStr">
        <is>
          <t>Periodic</t>
        </is>
      </c>
      <c r="L44" s="42" t="inlineStr">
        <is>
          <t>Not assessed</t>
        </is>
      </c>
      <c r="M44" s="40" t="n"/>
      <c r="N44" s="40" t="n"/>
      <c r="O44" s="42" t="inlineStr">
        <is>
          <t>High</t>
        </is>
      </c>
      <c r="P44" s="43">
        <f>IF(H44="N/A","N/A",INDEX(CRIT_MATRIX,MATCH(O44,CRIT_MATRIX_ROWS,0),MATCH(APP_RISK_TIER,CRIT_MATRIX_COLS,0)))</f>
        <v/>
      </c>
    </row>
    <row r="45" ht="39.75" customHeight="1" s="19">
      <c r="A45" s="42" t="inlineStr">
        <is>
          <t>V2.3.5</t>
        </is>
      </c>
      <c r="B45" s="40" t="inlineStr">
        <is>
          <t>V2 - Validation and Business Logic</t>
        </is>
      </c>
      <c r="C45" s="40" t="inlineStr">
        <is>
          <t>V2.3 - Business Logic Security</t>
        </is>
      </c>
      <c r="D45" s="42" t="n">
        <v>3</v>
      </c>
      <c r="E45" s="40" t="inlineStr">
        <is>
          <t>Verify that high-value business logic flows require multi-user approval to prevent unauthorized or accidental actions. This could include but is not limited to large monetary transfers, contract approvals, access to classified information, or safety overrides in manufacturing.</t>
        </is>
      </c>
      <c r="F45" s="40" t="inlineStr">
        <is>
          <t>Always</t>
        </is>
      </c>
      <c r="G45" s="42" t="inlineStr">
        <is>
          <t>TRUE</t>
        </is>
      </c>
      <c r="H45" s="43">
        <f>IF(AND(TRUE(),D45&lt;=TARGET_LEVEL_NUM),"Applicable","N/A")</f>
        <v/>
      </c>
      <c r="I45" s="40" t="inlineStr">
        <is>
          <t>Pentest / manual review</t>
        </is>
      </c>
      <c r="J45" s="40" t="inlineStr">
        <is>
          <t>Sampled, periodic</t>
        </is>
      </c>
      <c r="K45" s="42" t="inlineStr">
        <is>
          <t>Periodic</t>
        </is>
      </c>
      <c r="L45" s="42" t="inlineStr">
        <is>
          <t>Not assessed</t>
        </is>
      </c>
      <c r="M45" s="40" t="n"/>
      <c r="N45" s="40" t="n"/>
      <c r="O45" s="42" t="inlineStr">
        <is>
          <t>High</t>
        </is>
      </c>
      <c r="P45" s="43">
        <f>IF(H45="N/A","N/A",INDEX(CRIT_MATRIX,MATCH(O45,CRIT_MATRIX_ROWS,0),MATCH(APP_RISK_TIER,CRIT_MATRIX_COLS,0)))</f>
        <v/>
      </c>
    </row>
    <row r="46" ht="39.75" customHeight="1" s="19">
      <c r="A46" s="42" t="inlineStr">
        <is>
          <t>V2.4.1</t>
        </is>
      </c>
      <c r="B46" s="40" t="inlineStr">
        <is>
          <t>V2 - Validation and Business Logic</t>
        </is>
      </c>
      <c r="C46" s="40" t="inlineStr">
        <is>
          <t>V2.4 - Anti-automation</t>
        </is>
      </c>
      <c r="D46" s="42" t="n">
        <v>2</v>
      </c>
      <c r="E46" s="40" t="inlineStr">
        <is>
          <t>Verify that anti-automation controls are in place to protect against excessive calls to application functions that could lead to data exfiltration, garbage-data creation, quota exhaustion, rate-limit breaches, denial-of-service, or overuse of costly resources.</t>
        </is>
      </c>
      <c r="F46" s="40" t="inlineStr">
        <is>
          <t>Always</t>
        </is>
      </c>
      <c r="G46" s="42" t="inlineStr">
        <is>
          <t>TRUE</t>
        </is>
      </c>
      <c r="H46" s="43">
        <f>IF(AND(TRUE(),D46&lt;=TARGET_LEVEL_NUM),"Applicable","N/A")</f>
        <v/>
      </c>
      <c r="I46" s="40" t="inlineStr">
        <is>
          <t>SAST + DAST</t>
        </is>
      </c>
      <c r="J46" s="40" t="inlineStr">
        <is>
          <t>Deterministic, continuous</t>
        </is>
      </c>
      <c r="K46" s="42" t="inlineStr">
        <is>
          <t>Pipeline</t>
        </is>
      </c>
      <c r="L46" s="42" t="inlineStr">
        <is>
          <t>Not assessed</t>
        </is>
      </c>
      <c r="M46" s="40" t="n"/>
      <c r="N46" s="40" t="n"/>
      <c r="O46" s="42" t="inlineStr">
        <is>
          <t>High</t>
        </is>
      </c>
      <c r="P46" s="43">
        <f>IF(H46="N/A","N/A",INDEX(CRIT_MATRIX,MATCH(O46,CRIT_MATRIX_ROWS,0),MATCH(APP_RISK_TIER,CRIT_MATRIX_COLS,0)))</f>
        <v/>
      </c>
    </row>
    <row r="47" ht="39.75" customHeight="1" s="19">
      <c r="A47" s="42" t="inlineStr">
        <is>
          <t>V2.4.2</t>
        </is>
      </c>
      <c r="B47" s="40" t="inlineStr">
        <is>
          <t>V2 - Validation and Business Logic</t>
        </is>
      </c>
      <c r="C47" s="40" t="inlineStr">
        <is>
          <t>V2.4 - Anti-automation</t>
        </is>
      </c>
      <c r="D47" s="42" t="n">
        <v>3</v>
      </c>
      <c r="E47" s="40" t="inlineStr">
        <is>
          <t>Verify that business logic flows require realistic human timing, preventing excessively rapid transaction submissions.</t>
        </is>
      </c>
      <c r="F47" s="40" t="inlineStr">
        <is>
          <t>Always</t>
        </is>
      </c>
      <c r="G47" s="42" t="inlineStr">
        <is>
          <t>TRUE</t>
        </is>
      </c>
      <c r="H47" s="43">
        <f>IF(AND(TRUE(),D47&lt;=TARGET_LEVEL_NUM),"Applicable","N/A")</f>
        <v/>
      </c>
      <c r="I47" s="40" t="inlineStr">
        <is>
          <t>SAST + DAST</t>
        </is>
      </c>
      <c r="J47" s="40" t="inlineStr">
        <is>
          <t>Deterministic, continuous</t>
        </is>
      </c>
      <c r="K47" s="42" t="inlineStr">
        <is>
          <t>Pipeline</t>
        </is>
      </c>
      <c r="L47" s="42" t="inlineStr">
        <is>
          <t>Not assessed</t>
        </is>
      </c>
      <c r="M47" s="40" t="n"/>
      <c r="N47" s="40" t="n"/>
      <c r="O47" s="42" t="inlineStr">
        <is>
          <t>High</t>
        </is>
      </c>
      <c r="P47" s="43">
        <f>IF(H47="N/A","N/A",INDEX(CRIT_MATRIX,MATCH(O47,CRIT_MATRIX_ROWS,0),MATCH(APP_RISK_TIER,CRIT_MATRIX_COLS,0)))</f>
        <v/>
      </c>
    </row>
    <row r="48" ht="39.75" customHeight="1" s="19">
      <c r="A48" s="42" t="inlineStr">
        <is>
          <t>V3.1.1</t>
        </is>
      </c>
      <c r="B48" s="40" t="inlineStr">
        <is>
          <t>V3 - Web Frontend Security</t>
        </is>
      </c>
      <c r="C48" s="40" t="inlineStr">
        <is>
          <t>V3.1 - Web Frontend Security Documentation</t>
        </is>
      </c>
      <c r="D48" s="42" t="n">
        <v>3</v>
      </c>
      <c r="E48" s="40" t="inlineStr">
        <is>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is>
      </c>
      <c r="F48" s="40" t="inlineStr">
        <is>
          <t>If has SPA/client-side front end</t>
        </is>
      </c>
      <c r="G48" s="42" t="inlineStr">
        <is>
          <t>SPA_FRONTEND="Yes"</t>
        </is>
      </c>
      <c r="H48" s="43">
        <f>IF(AND(SPA_FRONTEND="Yes",D48&lt;=TARGET_LEVEL_NUM),"Applicable","N/A")</f>
        <v/>
      </c>
      <c r="I48" s="40" t="inlineStr">
        <is>
          <t>Architecture / documentation review</t>
        </is>
      </c>
      <c r="J48" s="40" t="inlineStr">
        <is>
          <t>Sampled, periodic</t>
        </is>
      </c>
      <c r="K48" s="42" t="inlineStr">
        <is>
          <t>Design/Governance</t>
        </is>
      </c>
      <c r="L48" s="42" t="inlineStr">
        <is>
          <t>Not assessed</t>
        </is>
      </c>
      <c r="M48" s="40" t="n"/>
      <c r="N48" s="40" t="n"/>
      <c r="O48" s="42" t="inlineStr">
        <is>
          <t>Medium</t>
        </is>
      </c>
      <c r="P48" s="43">
        <f>IF(H48="N/A","N/A",INDEX(CRIT_MATRIX,MATCH(O48,CRIT_MATRIX_ROWS,0),MATCH(APP_RISK_TIER,CRIT_MATRIX_COLS,0)))</f>
        <v/>
      </c>
    </row>
    <row r="49" ht="39.75" customHeight="1" s="19">
      <c r="A49" s="42" t="inlineStr">
        <is>
          <t>V3.2.1</t>
        </is>
      </c>
      <c r="B49" s="40" t="inlineStr">
        <is>
          <t>V3 - Web Frontend Security</t>
        </is>
      </c>
      <c r="C49" s="40" t="inlineStr">
        <is>
          <t>V3.2 - Unintended Content Interpretation</t>
        </is>
      </c>
      <c r="D49" s="42" t="n">
        <v>1</v>
      </c>
      <c r="E49" s="40" t="inlineStr">
        <is>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is>
      </c>
      <c r="F49" s="40" t="inlineStr">
        <is>
          <t>If has SPA/client-side front end</t>
        </is>
      </c>
      <c r="G49" s="42" t="inlineStr">
        <is>
          <t>SPA_FRONTEND="Yes"</t>
        </is>
      </c>
      <c r="H49" s="43">
        <f>IF(AND(SPA_FRONTEND="Yes",D49&lt;=TARGET_LEVEL_NUM),"Applicable","N/A")</f>
        <v/>
      </c>
      <c r="I49" s="40" t="inlineStr">
        <is>
          <t>SAST + DAST / header scanner</t>
        </is>
      </c>
      <c r="J49" s="40" t="inlineStr">
        <is>
          <t>Deterministic, continuous</t>
        </is>
      </c>
      <c r="K49" s="42" t="inlineStr">
        <is>
          <t>Pipeline</t>
        </is>
      </c>
      <c r="L49" s="42" t="inlineStr">
        <is>
          <t>Not assessed</t>
        </is>
      </c>
      <c r="M49" s="40" t="n"/>
      <c r="N49" s="40" t="n"/>
      <c r="O49" s="42" t="inlineStr">
        <is>
          <t>Medium</t>
        </is>
      </c>
      <c r="P49" s="43">
        <f>IF(H49="N/A","N/A",INDEX(CRIT_MATRIX,MATCH(O49,CRIT_MATRIX_ROWS,0),MATCH(APP_RISK_TIER,CRIT_MATRIX_COLS,0)))</f>
        <v/>
      </c>
    </row>
    <row r="50" ht="39.75" customHeight="1" s="19">
      <c r="A50" s="42" t="inlineStr">
        <is>
          <t>V3.2.2</t>
        </is>
      </c>
      <c r="B50" s="40" t="inlineStr">
        <is>
          <t>V3 - Web Frontend Security</t>
        </is>
      </c>
      <c r="C50" s="40" t="inlineStr">
        <is>
          <t>V3.2 - Unintended Content Interpretation</t>
        </is>
      </c>
      <c r="D50" s="42" t="n">
        <v>1</v>
      </c>
      <c r="E50" s="40" t="inlineStr">
        <is>
          <t>Verify that content intended to be displayed as text, rather than rendered as HTML, is handled using safe rendering functions (such as createTextNode or textContent) to prevent unintended execution of content such as HTML or JavaScript.</t>
        </is>
      </c>
      <c r="F50" s="40" t="inlineStr">
        <is>
          <t>If has SPA/client-side front end</t>
        </is>
      </c>
      <c r="G50" s="42" t="inlineStr">
        <is>
          <t>SPA_FRONTEND="Yes"</t>
        </is>
      </c>
      <c r="H50" s="43">
        <f>IF(AND(SPA_FRONTEND="Yes",D50&lt;=TARGET_LEVEL_NUM),"Applicable","N/A")</f>
        <v/>
      </c>
      <c r="I50" s="40" t="inlineStr">
        <is>
          <t>SAST + DAST / header scanner</t>
        </is>
      </c>
      <c r="J50" s="40" t="inlineStr">
        <is>
          <t>Deterministic, continuous</t>
        </is>
      </c>
      <c r="K50" s="42" t="inlineStr">
        <is>
          <t>Pipeline</t>
        </is>
      </c>
      <c r="L50" s="42" t="inlineStr">
        <is>
          <t>Not assessed</t>
        </is>
      </c>
      <c r="M50" s="40" t="n"/>
      <c r="N50" s="40" t="n"/>
      <c r="O50" s="42" t="inlineStr">
        <is>
          <t>Medium</t>
        </is>
      </c>
      <c r="P50" s="43">
        <f>IF(H50="N/A","N/A",INDEX(CRIT_MATRIX,MATCH(O50,CRIT_MATRIX_ROWS,0),MATCH(APP_RISK_TIER,CRIT_MATRIX_COLS,0)))</f>
        <v/>
      </c>
    </row>
    <row r="51" ht="39.75" customHeight="1" s="19">
      <c r="A51" s="42" t="inlineStr">
        <is>
          <t>V3.2.3</t>
        </is>
      </c>
      <c r="B51" s="40" t="inlineStr">
        <is>
          <t>V3 - Web Frontend Security</t>
        </is>
      </c>
      <c r="C51" s="40" t="inlineStr">
        <is>
          <t>V3.2 - Unintended Content Interpretation</t>
        </is>
      </c>
      <c r="D51" s="42" t="n">
        <v>3</v>
      </c>
      <c r="E51" s="40" t="inlineStr">
        <is>
          <t>Verify that the application avoids DOM clobbering when using client-side JavaScript by employing explicit variable declarations, performing strict type checking, avoiding storing global variables on the document object, and implementing namespace isolation.</t>
        </is>
      </c>
      <c r="F51" s="40" t="inlineStr">
        <is>
          <t>If has SPA/client-side front end</t>
        </is>
      </c>
      <c r="G51" s="42" t="inlineStr">
        <is>
          <t>SPA_FRONTEND="Yes"</t>
        </is>
      </c>
      <c r="H51" s="43">
        <f>IF(AND(SPA_FRONTEND="Yes",D51&lt;=TARGET_LEVEL_NUM),"Applicable","N/A")</f>
        <v/>
      </c>
      <c r="I51" s="40" t="inlineStr">
        <is>
          <t>SAST + DAST / header scanner</t>
        </is>
      </c>
      <c r="J51" s="40" t="inlineStr">
        <is>
          <t>Deterministic, continuous</t>
        </is>
      </c>
      <c r="K51" s="42" t="inlineStr">
        <is>
          <t>Pipeline</t>
        </is>
      </c>
      <c r="L51" s="42" t="inlineStr">
        <is>
          <t>Not assessed</t>
        </is>
      </c>
      <c r="M51" s="40" t="n"/>
      <c r="N51" s="40" t="n"/>
      <c r="O51" s="42" t="inlineStr">
        <is>
          <t>Medium</t>
        </is>
      </c>
      <c r="P51" s="43">
        <f>IF(H51="N/A","N/A",INDEX(CRIT_MATRIX,MATCH(O51,CRIT_MATRIX_ROWS,0),MATCH(APP_RISK_TIER,CRIT_MATRIX_COLS,0)))</f>
        <v/>
      </c>
    </row>
    <row r="52" ht="39.75" customHeight="1" s="19">
      <c r="A52" s="42" t="inlineStr">
        <is>
          <t>V3.3.1</t>
        </is>
      </c>
      <c r="B52" s="40" t="inlineStr">
        <is>
          <t>V3 - Web Frontend Security</t>
        </is>
      </c>
      <c r="C52" s="40" t="inlineStr">
        <is>
          <t>V3.3 - Cookie Setup</t>
        </is>
      </c>
      <c r="D52" s="42" t="n">
        <v>1</v>
      </c>
      <c r="E52" s="40" t="inlineStr">
        <is>
          <t>Verify that cookies have the 'Secure' attribute set, and if the '\__Host-' prefix is not used for the cookie name, the '__Secure-' prefix must be used for the cookie name.</t>
        </is>
      </c>
      <c r="F52" s="40" t="inlineStr">
        <is>
          <t>If has SPA/client-side front end</t>
        </is>
      </c>
      <c r="G52" s="42" t="inlineStr">
        <is>
          <t>SPA_FRONTEND="Yes"</t>
        </is>
      </c>
      <c r="H52" s="43">
        <f>IF(AND(SPA_FRONTEND="Yes",D52&lt;=TARGET_LEVEL_NUM),"Applicable","N/A")</f>
        <v/>
      </c>
      <c r="I52" s="40" t="inlineStr">
        <is>
          <t>SAST + DAST / header scanner</t>
        </is>
      </c>
      <c r="J52" s="40" t="inlineStr">
        <is>
          <t>Deterministic, continuous</t>
        </is>
      </c>
      <c r="K52" s="42" t="inlineStr">
        <is>
          <t>Pipeline</t>
        </is>
      </c>
      <c r="L52" s="42" t="inlineStr">
        <is>
          <t>Not assessed</t>
        </is>
      </c>
      <c r="M52" s="40" t="n"/>
      <c r="N52" s="40" t="n"/>
      <c r="O52" s="42" t="inlineStr">
        <is>
          <t>Medium</t>
        </is>
      </c>
      <c r="P52" s="43">
        <f>IF(H52="N/A","N/A",INDEX(CRIT_MATRIX,MATCH(O52,CRIT_MATRIX_ROWS,0),MATCH(APP_RISK_TIER,CRIT_MATRIX_COLS,0)))</f>
        <v/>
      </c>
    </row>
    <row r="53" ht="39.75" customHeight="1" s="19">
      <c r="A53" s="42" t="inlineStr">
        <is>
          <t>V3.3.2</t>
        </is>
      </c>
      <c r="B53" s="40" t="inlineStr">
        <is>
          <t>V3 - Web Frontend Security</t>
        </is>
      </c>
      <c r="C53" s="40" t="inlineStr">
        <is>
          <t>V3.3 - Cookie Setup</t>
        </is>
      </c>
      <c r="D53" s="42" t="n">
        <v>2</v>
      </c>
      <c r="E53" s="40" t="inlineStr">
        <is>
          <t>Verify that each cookie's 'SameSite' attribute value is set according to the purpose of the cookie, to limit exposure to user interface redress attacks and browser-based request forgery attacks, commonly known as cross-site request forgery (CSRF).</t>
        </is>
      </c>
      <c r="F53" s="40" t="inlineStr">
        <is>
          <t>If has SPA/client-side front end</t>
        </is>
      </c>
      <c r="G53" s="42" t="inlineStr">
        <is>
          <t>SPA_FRONTEND="Yes"</t>
        </is>
      </c>
      <c r="H53" s="43">
        <f>IF(AND(SPA_FRONTEND="Yes",D53&lt;=TARGET_LEVEL_NUM),"Applicable","N/A")</f>
        <v/>
      </c>
      <c r="I53" s="40" t="inlineStr">
        <is>
          <t>SAST + DAST / header scanner</t>
        </is>
      </c>
      <c r="J53" s="40" t="inlineStr">
        <is>
          <t>Deterministic, continuous</t>
        </is>
      </c>
      <c r="K53" s="42" t="inlineStr">
        <is>
          <t>Pipeline</t>
        </is>
      </c>
      <c r="L53" s="42" t="inlineStr">
        <is>
          <t>Not assessed</t>
        </is>
      </c>
      <c r="M53" s="40" t="n"/>
      <c r="N53" s="40" t="n"/>
      <c r="O53" s="42" t="inlineStr">
        <is>
          <t>Medium</t>
        </is>
      </c>
      <c r="P53" s="43">
        <f>IF(H53="N/A","N/A",INDEX(CRIT_MATRIX,MATCH(O53,CRIT_MATRIX_ROWS,0),MATCH(APP_RISK_TIER,CRIT_MATRIX_COLS,0)))</f>
        <v/>
      </c>
    </row>
    <row r="54" ht="39.75" customHeight="1" s="19">
      <c r="A54" s="42" t="inlineStr">
        <is>
          <t>V3.3.3</t>
        </is>
      </c>
      <c r="B54" s="40" t="inlineStr">
        <is>
          <t>V3 - Web Frontend Security</t>
        </is>
      </c>
      <c r="C54" s="40" t="inlineStr">
        <is>
          <t>V3.3 - Cookie Setup</t>
        </is>
      </c>
      <c r="D54" s="42" t="n">
        <v>2</v>
      </c>
      <c r="E54" s="40" t="inlineStr">
        <is>
          <t>Verify that cookies have the '__Host-' prefix for the cookie name unless they are explicitly designed to be shared with other hosts.</t>
        </is>
      </c>
      <c r="F54" s="40" t="inlineStr">
        <is>
          <t>If has SPA/client-side front end</t>
        </is>
      </c>
      <c r="G54" s="42" t="inlineStr">
        <is>
          <t>SPA_FRONTEND="Yes"</t>
        </is>
      </c>
      <c r="H54" s="43">
        <f>IF(AND(SPA_FRONTEND="Yes",D54&lt;=TARGET_LEVEL_NUM),"Applicable","N/A")</f>
        <v/>
      </c>
      <c r="I54" s="40" t="inlineStr">
        <is>
          <t>SAST + DAST / header scanner</t>
        </is>
      </c>
      <c r="J54" s="40" t="inlineStr">
        <is>
          <t>Deterministic, continuous</t>
        </is>
      </c>
      <c r="K54" s="42" t="inlineStr">
        <is>
          <t>Pipeline</t>
        </is>
      </c>
      <c r="L54" s="42" t="inlineStr">
        <is>
          <t>Not assessed</t>
        </is>
      </c>
      <c r="M54" s="40" t="n"/>
      <c r="N54" s="40" t="n"/>
      <c r="O54" s="42" t="inlineStr">
        <is>
          <t>Medium</t>
        </is>
      </c>
      <c r="P54" s="43">
        <f>IF(H54="N/A","N/A",INDEX(CRIT_MATRIX,MATCH(O54,CRIT_MATRIX_ROWS,0),MATCH(APP_RISK_TIER,CRIT_MATRIX_COLS,0)))</f>
        <v/>
      </c>
    </row>
    <row r="55" ht="39.75" customHeight="1" s="19">
      <c r="A55" s="42" t="inlineStr">
        <is>
          <t>V3.3.4</t>
        </is>
      </c>
      <c r="B55" s="40" t="inlineStr">
        <is>
          <t>V3 - Web Frontend Security</t>
        </is>
      </c>
      <c r="C55" s="40" t="inlineStr">
        <is>
          <t>V3.3 - Cookie Setup</t>
        </is>
      </c>
      <c r="D55" s="42" t="n">
        <v>2</v>
      </c>
      <c r="E55" s="40" t="inlineStr">
        <is>
          <t>Verify that if the value of a cookie is not meant to be accessible to client-side scripts (such as a session token), the cookie must have the 'HttpOnly' attribute set and the same value (e. g. session token) must only be transferred to the client via the 'Set-Cookie' header field.</t>
        </is>
      </c>
      <c r="F55" s="40" t="inlineStr">
        <is>
          <t>If has SPA/client-side front end</t>
        </is>
      </c>
      <c r="G55" s="42" t="inlineStr">
        <is>
          <t>SPA_FRONTEND="Yes"</t>
        </is>
      </c>
      <c r="H55" s="43">
        <f>IF(AND(SPA_FRONTEND="Yes",D55&lt;=TARGET_LEVEL_NUM),"Applicable","N/A")</f>
        <v/>
      </c>
      <c r="I55" s="40" t="inlineStr">
        <is>
          <t>SAST + DAST / header scanner</t>
        </is>
      </c>
      <c r="J55" s="40" t="inlineStr">
        <is>
          <t>Deterministic, continuous</t>
        </is>
      </c>
      <c r="K55" s="42" t="inlineStr">
        <is>
          <t>Pipeline</t>
        </is>
      </c>
      <c r="L55" s="42" t="inlineStr">
        <is>
          <t>Not assessed</t>
        </is>
      </c>
      <c r="M55" s="40" t="n"/>
      <c r="N55" s="40" t="n"/>
      <c r="O55" s="42" t="inlineStr">
        <is>
          <t>Medium</t>
        </is>
      </c>
      <c r="P55" s="43">
        <f>IF(H55="N/A","N/A",INDEX(CRIT_MATRIX,MATCH(O55,CRIT_MATRIX_ROWS,0),MATCH(APP_RISK_TIER,CRIT_MATRIX_COLS,0)))</f>
        <v/>
      </c>
    </row>
    <row r="56" ht="39.75" customHeight="1" s="19">
      <c r="A56" s="42" t="inlineStr">
        <is>
          <t>V3.3.5</t>
        </is>
      </c>
      <c r="B56" s="40" t="inlineStr">
        <is>
          <t>V3 - Web Frontend Security</t>
        </is>
      </c>
      <c r="C56" s="40" t="inlineStr">
        <is>
          <t>V3.3 - Cookie Setup</t>
        </is>
      </c>
      <c r="D56" s="42" t="n">
        <v>3</v>
      </c>
      <c r="E56" s="40" t="inlineStr">
        <is>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is>
      </c>
      <c r="F56" s="40" t="inlineStr">
        <is>
          <t>If has SPA/client-side front end</t>
        </is>
      </c>
      <c r="G56" s="42" t="inlineStr">
        <is>
          <t>SPA_FRONTEND="Yes"</t>
        </is>
      </c>
      <c r="H56" s="43">
        <f>IF(AND(SPA_FRONTEND="Yes",D56&lt;=TARGET_LEVEL_NUM),"Applicable","N/A")</f>
        <v/>
      </c>
      <c r="I56" s="40" t="inlineStr">
        <is>
          <t>SAST + DAST / header scanner</t>
        </is>
      </c>
      <c r="J56" s="40" t="inlineStr">
        <is>
          <t>Deterministic, continuous</t>
        </is>
      </c>
      <c r="K56" s="42" t="inlineStr">
        <is>
          <t>Pipeline</t>
        </is>
      </c>
      <c r="L56" s="42" t="inlineStr">
        <is>
          <t>Not assessed</t>
        </is>
      </c>
      <c r="M56" s="40" t="n"/>
      <c r="N56" s="40" t="n"/>
      <c r="O56" s="42" t="inlineStr">
        <is>
          <t>Medium</t>
        </is>
      </c>
      <c r="P56" s="43">
        <f>IF(H56="N/A","N/A",INDEX(CRIT_MATRIX,MATCH(O56,CRIT_MATRIX_ROWS,0),MATCH(APP_RISK_TIER,CRIT_MATRIX_COLS,0)))</f>
        <v/>
      </c>
    </row>
    <row r="57" ht="39.75" customHeight="1" s="19">
      <c r="A57" s="42" t="inlineStr">
        <is>
          <t>V3.4.1</t>
        </is>
      </c>
      <c r="B57" s="40" t="inlineStr">
        <is>
          <t>V3 - Web Frontend Security</t>
        </is>
      </c>
      <c r="C57" s="40" t="inlineStr">
        <is>
          <t>V3.4 - Browser Security Mechanism Headers</t>
        </is>
      </c>
      <c r="D57" s="42" t="n">
        <v>1</v>
      </c>
      <c r="E57" s="40" t="inlineStr">
        <is>
          <t>Verify that a Strict-Transport-Security header field is included on all responses to enforce an HTTP Strict Transport Security (HSTS) policy. A maximum age of at least 1 year must be defined, and for L2 and up, the policy must apply to all subdomains as well.</t>
        </is>
      </c>
      <c r="F57" s="40" t="inlineStr">
        <is>
          <t>If has SPA/client-side front end</t>
        </is>
      </c>
      <c r="G57" s="42" t="inlineStr">
        <is>
          <t>SPA_FRONTEND="Yes"</t>
        </is>
      </c>
      <c r="H57" s="43">
        <f>IF(AND(SPA_FRONTEND="Yes",D57&lt;=TARGET_LEVEL_NUM),"Applicable","N/A")</f>
        <v/>
      </c>
      <c r="I57" s="40" t="inlineStr">
        <is>
          <t>SAST + DAST / header scanner</t>
        </is>
      </c>
      <c r="J57" s="40" t="inlineStr">
        <is>
          <t>Deterministic, continuous</t>
        </is>
      </c>
      <c r="K57" s="42" t="inlineStr">
        <is>
          <t>Pipeline</t>
        </is>
      </c>
      <c r="L57" s="42" t="inlineStr">
        <is>
          <t>Not assessed</t>
        </is>
      </c>
      <c r="M57" s="40" t="n"/>
      <c r="N57" s="40" t="n"/>
      <c r="O57" s="42" t="inlineStr">
        <is>
          <t>Medium</t>
        </is>
      </c>
      <c r="P57" s="43">
        <f>IF(H57="N/A","N/A",INDEX(CRIT_MATRIX,MATCH(O57,CRIT_MATRIX_ROWS,0),MATCH(APP_RISK_TIER,CRIT_MATRIX_COLS,0)))</f>
        <v/>
      </c>
    </row>
    <row r="58" ht="39.75" customHeight="1" s="19">
      <c r="A58" s="42" t="inlineStr">
        <is>
          <t>V3.4.2</t>
        </is>
      </c>
      <c r="B58" s="40" t="inlineStr">
        <is>
          <t>V3 - Web Frontend Security</t>
        </is>
      </c>
      <c r="C58" s="40" t="inlineStr">
        <is>
          <t>V3.4 - Browser Security Mechanism Headers</t>
        </is>
      </c>
      <c r="D58" s="42" t="n">
        <v>1</v>
      </c>
      <c r="E58" s="40" t="inlineStr">
        <is>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is>
      </c>
      <c r="F58" s="40" t="inlineStr">
        <is>
          <t>If has SPA/client-side front end</t>
        </is>
      </c>
      <c r="G58" s="42" t="inlineStr">
        <is>
          <t>SPA_FRONTEND="Yes"</t>
        </is>
      </c>
      <c r="H58" s="43">
        <f>IF(AND(SPA_FRONTEND="Yes",D58&lt;=TARGET_LEVEL_NUM),"Applicable","N/A")</f>
        <v/>
      </c>
      <c r="I58" s="40" t="inlineStr">
        <is>
          <t>SAST + DAST / header scanner</t>
        </is>
      </c>
      <c r="J58" s="40" t="inlineStr">
        <is>
          <t>Deterministic, continuous</t>
        </is>
      </c>
      <c r="K58" s="42" t="inlineStr">
        <is>
          <t>Pipeline</t>
        </is>
      </c>
      <c r="L58" s="42" t="inlineStr">
        <is>
          <t>Not assessed</t>
        </is>
      </c>
      <c r="M58" s="40" t="n"/>
      <c r="N58" s="40" t="n"/>
      <c r="O58" s="42" t="inlineStr">
        <is>
          <t>Medium</t>
        </is>
      </c>
      <c r="P58" s="43">
        <f>IF(H58="N/A","N/A",INDEX(CRIT_MATRIX,MATCH(O58,CRIT_MATRIX_ROWS,0),MATCH(APP_RISK_TIER,CRIT_MATRIX_COLS,0)))</f>
        <v/>
      </c>
    </row>
    <row r="59" ht="39.75" customHeight="1" s="19">
      <c r="A59" s="42" t="inlineStr">
        <is>
          <t>V3.4.3</t>
        </is>
      </c>
      <c r="B59" s="40" t="inlineStr">
        <is>
          <t>V3 - Web Frontend Security</t>
        </is>
      </c>
      <c r="C59" s="40" t="inlineStr">
        <is>
          <t>V3.4 - Browser Security Mechanism Headers</t>
        </is>
      </c>
      <c r="D59" s="42" t="n">
        <v>2</v>
      </c>
      <c r="E59" s="40" t="inlineStr">
        <is>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is>
      </c>
      <c r="F59" s="40" t="inlineStr">
        <is>
          <t>If has SPA/client-side front end</t>
        </is>
      </c>
      <c r="G59" s="42" t="inlineStr">
        <is>
          <t>SPA_FRONTEND="Yes"</t>
        </is>
      </c>
      <c r="H59" s="43">
        <f>IF(AND(SPA_FRONTEND="Yes",D59&lt;=TARGET_LEVEL_NUM),"Applicable","N/A")</f>
        <v/>
      </c>
      <c r="I59" s="40" t="inlineStr">
        <is>
          <t>SAST + DAST / header scanner</t>
        </is>
      </c>
      <c r="J59" s="40" t="inlineStr">
        <is>
          <t>Deterministic, continuous</t>
        </is>
      </c>
      <c r="K59" s="42" t="inlineStr">
        <is>
          <t>Pipeline</t>
        </is>
      </c>
      <c r="L59" s="42" t="inlineStr">
        <is>
          <t>Not assessed</t>
        </is>
      </c>
      <c r="M59" s="40" t="n"/>
      <c r="N59" s="40" t="n"/>
      <c r="O59" s="42" t="inlineStr">
        <is>
          <t>Medium</t>
        </is>
      </c>
      <c r="P59" s="43">
        <f>IF(H59="N/A","N/A",INDEX(CRIT_MATRIX,MATCH(O59,CRIT_MATRIX_ROWS,0),MATCH(APP_RISK_TIER,CRIT_MATRIX_COLS,0)))</f>
        <v/>
      </c>
    </row>
    <row r="60" ht="39.75" customHeight="1" s="19">
      <c r="A60" s="42" t="inlineStr">
        <is>
          <t>V3.4.4</t>
        </is>
      </c>
      <c r="B60" s="40" t="inlineStr">
        <is>
          <t>V3 - Web Frontend Security</t>
        </is>
      </c>
      <c r="C60" s="40" t="inlineStr">
        <is>
          <t>V3.4 - Browser Security Mechanism Headers</t>
        </is>
      </c>
      <c r="D60" s="42" t="n">
        <v>2</v>
      </c>
      <c r="E60" s="40" t="inlineStr">
        <is>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is>
      </c>
      <c r="F60" s="40" t="inlineStr">
        <is>
          <t>If has SPA/client-side front end</t>
        </is>
      </c>
      <c r="G60" s="42" t="inlineStr">
        <is>
          <t>SPA_FRONTEND="Yes"</t>
        </is>
      </c>
      <c r="H60" s="43">
        <f>IF(AND(SPA_FRONTEND="Yes",D60&lt;=TARGET_LEVEL_NUM),"Applicable","N/A")</f>
        <v/>
      </c>
      <c r="I60" s="40" t="inlineStr">
        <is>
          <t>SAST + DAST / header scanner</t>
        </is>
      </c>
      <c r="J60" s="40" t="inlineStr">
        <is>
          <t>Deterministic, continuous</t>
        </is>
      </c>
      <c r="K60" s="42" t="inlineStr">
        <is>
          <t>Pipeline</t>
        </is>
      </c>
      <c r="L60" s="42" t="inlineStr">
        <is>
          <t>Not assessed</t>
        </is>
      </c>
      <c r="M60" s="40" t="n"/>
      <c r="N60" s="40" t="n"/>
      <c r="O60" s="42" t="inlineStr">
        <is>
          <t>Medium</t>
        </is>
      </c>
      <c r="P60" s="43">
        <f>IF(H60="N/A","N/A",INDEX(CRIT_MATRIX,MATCH(O60,CRIT_MATRIX_ROWS,0),MATCH(APP_RISK_TIER,CRIT_MATRIX_COLS,0)))</f>
        <v/>
      </c>
    </row>
    <row r="61" ht="39.75" customHeight="1" s="19">
      <c r="A61" s="42" t="inlineStr">
        <is>
          <t>V3.4.5</t>
        </is>
      </c>
      <c r="B61" s="40" t="inlineStr">
        <is>
          <t>V3 - Web Frontend Security</t>
        </is>
      </c>
      <c r="C61" s="40" t="inlineStr">
        <is>
          <t>V3.4 - Browser Security Mechanism Headers</t>
        </is>
      </c>
      <c r="D61" s="42" t="n">
        <v>2</v>
      </c>
      <c r="E61" s="40" t="inlineStr">
        <is>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is>
      </c>
      <c r="F61" s="40" t="inlineStr">
        <is>
          <t>If has SPA/client-side front end</t>
        </is>
      </c>
      <c r="G61" s="42" t="inlineStr">
        <is>
          <t>SPA_FRONTEND="Yes"</t>
        </is>
      </c>
      <c r="H61" s="43">
        <f>IF(AND(SPA_FRONTEND="Yes",D61&lt;=TARGET_LEVEL_NUM),"Applicable","N/A")</f>
        <v/>
      </c>
      <c r="I61" s="40" t="inlineStr">
        <is>
          <t>SAST + DAST / header scanner</t>
        </is>
      </c>
      <c r="J61" s="40" t="inlineStr">
        <is>
          <t>Deterministic, continuous</t>
        </is>
      </c>
      <c r="K61" s="42" t="inlineStr">
        <is>
          <t>Pipeline</t>
        </is>
      </c>
      <c r="L61" s="42" t="inlineStr">
        <is>
          <t>Not assessed</t>
        </is>
      </c>
      <c r="M61" s="40" t="n"/>
      <c r="N61" s="40" t="n"/>
      <c r="O61" s="42" t="inlineStr">
        <is>
          <t>Medium</t>
        </is>
      </c>
      <c r="P61" s="43">
        <f>IF(H61="N/A","N/A",INDEX(CRIT_MATRIX,MATCH(O61,CRIT_MATRIX_ROWS,0),MATCH(APP_RISK_TIER,CRIT_MATRIX_COLS,0)))</f>
        <v/>
      </c>
    </row>
    <row r="62" ht="39.75" customHeight="1" s="19">
      <c r="A62" s="42" t="inlineStr">
        <is>
          <t>V3.4.6</t>
        </is>
      </c>
      <c r="B62" s="40" t="inlineStr">
        <is>
          <t>V3 - Web Frontend Security</t>
        </is>
      </c>
      <c r="C62" s="40" t="inlineStr">
        <is>
          <t>V3.4 - Browser Security Mechanism Headers</t>
        </is>
      </c>
      <c r="D62" s="42" t="n">
        <v>2</v>
      </c>
      <c r="E62" s="40" t="inlineStr">
        <is>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is>
      </c>
      <c r="F62" s="40" t="inlineStr">
        <is>
          <t>If has SPA/client-side front end</t>
        </is>
      </c>
      <c r="G62" s="42" t="inlineStr">
        <is>
          <t>SPA_FRONTEND="Yes"</t>
        </is>
      </c>
      <c r="H62" s="43">
        <f>IF(AND(SPA_FRONTEND="Yes",D62&lt;=TARGET_LEVEL_NUM),"Applicable","N/A")</f>
        <v/>
      </c>
      <c r="I62" s="40" t="inlineStr">
        <is>
          <t>SAST + DAST / header scanner</t>
        </is>
      </c>
      <c r="J62" s="40" t="inlineStr">
        <is>
          <t>Deterministic, continuous</t>
        </is>
      </c>
      <c r="K62" s="42" t="inlineStr">
        <is>
          <t>Pipeline</t>
        </is>
      </c>
      <c r="L62" s="42" t="inlineStr">
        <is>
          <t>Not assessed</t>
        </is>
      </c>
      <c r="M62" s="40" t="n"/>
      <c r="N62" s="40" t="n"/>
      <c r="O62" s="42" t="inlineStr">
        <is>
          <t>Medium</t>
        </is>
      </c>
      <c r="P62" s="43">
        <f>IF(H62="N/A","N/A",INDEX(CRIT_MATRIX,MATCH(O62,CRIT_MATRIX_ROWS,0),MATCH(APP_RISK_TIER,CRIT_MATRIX_COLS,0)))</f>
        <v/>
      </c>
    </row>
    <row r="63" ht="39.75" customHeight="1" s="19">
      <c r="A63" s="42" t="inlineStr">
        <is>
          <t>V3.4.7</t>
        </is>
      </c>
      <c r="B63" s="40" t="inlineStr">
        <is>
          <t>V3 - Web Frontend Security</t>
        </is>
      </c>
      <c r="C63" s="40" t="inlineStr">
        <is>
          <t>V3.4 - Browser Security Mechanism Headers</t>
        </is>
      </c>
      <c r="D63" s="42" t="n">
        <v>3</v>
      </c>
      <c r="E63" s="40" t="inlineStr">
        <is>
          <t>Verify that the Content-Security-Policy header field specifies a location to report violations.</t>
        </is>
      </c>
      <c r="F63" s="40" t="inlineStr">
        <is>
          <t>If has SPA/client-side front end</t>
        </is>
      </c>
      <c r="G63" s="42" t="inlineStr">
        <is>
          <t>SPA_FRONTEND="Yes"</t>
        </is>
      </c>
      <c r="H63" s="43">
        <f>IF(AND(SPA_FRONTEND="Yes",D63&lt;=TARGET_LEVEL_NUM),"Applicable","N/A")</f>
        <v/>
      </c>
      <c r="I63" s="40" t="inlineStr">
        <is>
          <t>SAST + DAST / header scanner</t>
        </is>
      </c>
      <c r="J63" s="40" t="inlineStr">
        <is>
          <t>Deterministic, continuous</t>
        </is>
      </c>
      <c r="K63" s="42" t="inlineStr">
        <is>
          <t>Pipeline</t>
        </is>
      </c>
      <c r="L63" s="42" t="inlineStr">
        <is>
          <t>Not assessed</t>
        </is>
      </c>
      <c r="M63" s="40" t="n"/>
      <c r="N63" s="40" t="n"/>
      <c r="O63" s="42" t="inlineStr">
        <is>
          <t>Medium</t>
        </is>
      </c>
      <c r="P63" s="43">
        <f>IF(H63="N/A","N/A",INDEX(CRIT_MATRIX,MATCH(O63,CRIT_MATRIX_ROWS,0),MATCH(APP_RISK_TIER,CRIT_MATRIX_COLS,0)))</f>
        <v/>
      </c>
    </row>
    <row r="64" ht="39.75" customHeight="1" s="19">
      <c r="A64" s="42" t="inlineStr">
        <is>
          <t>V3.4.8</t>
        </is>
      </c>
      <c r="B64" s="40" t="inlineStr">
        <is>
          <t>V3 - Web Frontend Security</t>
        </is>
      </c>
      <c r="C64" s="40" t="inlineStr">
        <is>
          <t>V3.4 - Browser Security Mechanism Headers</t>
        </is>
      </c>
      <c r="D64" s="42" t="n">
        <v>3</v>
      </c>
      <c r="E64" s="40" t="inlineStr">
        <is>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is>
      </c>
      <c r="F64" s="40" t="inlineStr">
        <is>
          <t>If has SPA/client-side front end</t>
        </is>
      </c>
      <c r="G64" s="42" t="inlineStr">
        <is>
          <t>SPA_FRONTEND="Yes"</t>
        </is>
      </c>
      <c r="H64" s="43">
        <f>IF(AND(SPA_FRONTEND="Yes",D64&lt;=TARGET_LEVEL_NUM),"Applicable","N/A")</f>
        <v/>
      </c>
      <c r="I64" s="40" t="inlineStr">
        <is>
          <t>SAST + DAST / header scanner</t>
        </is>
      </c>
      <c r="J64" s="40" t="inlineStr">
        <is>
          <t>Deterministic, continuous</t>
        </is>
      </c>
      <c r="K64" s="42" t="inlineStr">
        <is>
          <t>Pipeline</t>
        </is>
      </c>
      <c r="L64" s="42" t="inlineStr">
        <is>
          <t>Not assessed</t>
        </is>
      </c>
      <c r="M64" s="40" t="n"/>
      <c r="N64" s="40" t="n"/>
      <c r="O64" s="42" t="inlineStr">
        <is>
          <t>Medium</t>
        </is>
      </c>
      <c r="P64" s="43">
        <f>IF(H64="N/A","N/A",INDEX(CRIT_MATRIX,MATCH(O64,CRIT_MATRIX_ROWS,0),MATCH(APP_RISK_TIER,CRIT_MATRIX_COLS,0)))</f>
        <v/>
      </c>
    </row>
    <row r="65" ht="39.75" customHeight="1" s="19">
      <c r="A65" s="42" t="inlineStr">
        <is>
          <t>V3.5.1</t>
        </is>
      </c>
      <c r="B65" s="40" t="inlineStr">
        <is>
          <t>V3 - Web Frontend Security</t>
        </is>
      </c>
      <c r="C65" s="40" t="inlineStr">
        <is>
          <t>V3.5 - Browser Origin Separation</t>
        </is>
      </c>
      <c r="D65" s="42" t="n">
        <v>1</v>
      </c>
      <c r="E65" s="40" t="inlineStr">
        <is>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is>
      </c>
      <c r="F65" s="40" t="inlineStr">
        <is>
          <t>If has SPA/client-side front end</t>
        </is>
      </c>
      <c r="G65" s="42" t="inlineStr">
        <is>
          <t>SPA_FRONTEND="Yes"</t>
        </is>
      </c>
      <c r="H65" s="43">
        <f>IF(AND(SPA_FRONTEND="Yes",D65&lt;=TARGET_LEVEL_NUM),"Applicable","N/A")</f>
        <v/>
      </c>
      <c r="I65" s="40" t="inlineStr">
        <is>
          <t>SAST + DAST / header scanner</t>
        </is>
      </c>
      <c r="J65" s="40" t="inlineStr">
        <is>
          <t>Deterministic, continuous</t>
        </is>
      </c>
      <c r="K65" s="42" t="inlineStr">
        <is>
          <t>Pipeline</t>
        </is>
      </c>
      <c r="L65" s="42" t="inlineStr">
        <is>
          <t>Not assessed</t>
        </is>
      </c>
      <c r="M65" s="40" t="n"/>
      <c r="N65" s="40" t="n"/>
      <c r="O65" s="42" t="inlineStr">
        <is>
          <t>Medium</t>
        </is>
      </c>
      <c r="P65" s="43">
        <f>IF(H65="N/A","N/A",INDEX(CRIT_MATRIX,MATCH(O65,CRIT_MATRIX_ROWS,0),MATCH(APP_RISK_TIER,CRIT_MATRIX_COLS,0)))</f>
        <v/>
      </c>
    </row>
    <row r="66" ht="39.75" customHeight="1" s="19">
      <c r="A66" s="42" t="inlineStr">
        <is>
          <t>V3.5.2</t>
        </is>
      </c>
      <c r="B66" s="40" t="inlineStr">
        <is>
          <t>V3 - Web Frontend Security</t>
        </is>
      </c>
      <c r="C66" s="40" t="inlineStr">
        <is>
          <t>V3.5 - Browser Origin Separation</t>
        </is>
      </c>
      <c r="D66" s="42" t="n">
        <v>1</v>
      </c>
      <c r="E66" s="40" t="inlineStr">
        <is>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is>
      </c>
      <c r="F66" s="40" t="inlineStr">
        <is>
          <t>If has SPA/client-side front end</t>
        </is>
      </c>
      <c r="G66" s="42" t="inlineStr">
        <is>
          <t>SPA_FRONTEND="Yes"</t>
        </is>
      </c>
      <c r="H66" s="43">
        <f>IF(AND(SPA_FRONTEND="Yes",D66&lt;=TARGET_LEVEL_NUM),"Applicable","N/A")</f>
        <v/>
      </c>
      <c r="I66" s="40" t="inlineStr">
        <is>
          <t>SAST + DAST / header scanner</t>
        </is>
      </c>
      <c r="J66" s="40" t="inlineStr">
        <is>
          <t>Deterministic, continuous</t>
        </is>
      </c>
      <c r="K66" s="42" t="inlineStr">
        <is>
          <t>Pipeline</t>
        </is>
      </c>
      <c r="L66" s="42" t="inlineStr">
        <is>
          <t>Not assessed</t>
        </is>
      </c>
      <c r="M66" s="40" t="n"/>
      <c r="N66" s="40" t="n"/>
      <c r="O66" s="42" t="inlineStr">
        <is>
          <t>Medium</t>
        </is>
      </c>
      <c r="P66" s="43">
        <f>IF(H66="N/A","N/A",INDEX(CRIT_MATRIX,MATCH(O66,CRIT_MATRIX_ROWS,0),MATCH(APP_RISK_TIER,CRIT_MATRIX_COLS,0)))</f>
        <v/>
      </c>
    </row>
    <row r="67" ht="39.75" customHeight="1" s="19">
      <c r="A67" s="42" t="inlineStr">
        <is>
          <t>V3.5.3</t>
        </is>
      </c>
      <c r="B67" s="40" t="inlineStr">
        <is>
          <t>V3 - Web Frontend Security</t>
        </is>
      </c>
      <c r="C67" s="40" t="inlineStr">
        <is>
          <t>V3.5 - Browser Origin Separation</t>
        </is>
      </c>
      <c r="D67" s="42" t="n">
        <v>1</v>
      </c>
      <c r="E67" s="40" t="inlineStr">
        <is>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is>
      </c>
      <c r="F67" s="40" t="inlineStr">
        <is>
          <t>If has SPA/client-side front end</t>
        </is>
      </c>
      <c r="G67" s="42" t="inlineStr">
        <is>
          <t>SPA_FRONTEND="Yes"</t>
        </is>
      </c>
      <c r="H67" s="43">
        <f>IF(AND(SPA_FRONTEND="Yes",D67&lt;=TARGET_LEVEL_NUM),"Applicable","N/A")</f>
        <v/>
      </c>
      <c r="I67" s="40" t="inlineStr">
        <is>
          <t>SAST + DAST / header scanner</t>
        </is>
      </c>
      <c r="J67" s="40" t="inlineStr">
        <is>
          <t>Deterministic, continuous</t>
        </is>
      </c>
      <c r="K67" s="42" t="inlineStr">
        <is>
          <t>Pipeline</t>
        </is>
      </c>
      <c r="L67" s="42" t="inlineStr">
        <is>
          <t>Not assessed</t>
        </is>
      </c>
      <c r="M67" s="40" t="n"/>
      <c r="N67" s="40" t="n"/>
      <c r="O67" s="42" t="inlineStr">
        <is>
          <t>Medium</t>
        </is>
      </c>
      <c r="P67" s="43">
        <f>IF(H67="N/A","N/A",INDEX(CRIT_MATRIX,MATCH(O67,CRIT_MATRIX_ROWS,0),MATCH(APP_RISK_TIER,CRIT_MATRIX_COLS,0)))</f>
        <v/>
      </c>
    </row>
    <row r="68" ht="39.75" customHeight="1" s="19">
      <c r="A68" s="42" t="inlineStr">
        <is>
          <t>V3.5.4</t>
        </is>
      </c>
      <c r="B68" s="40" t="inlineStr">
        <is>
          <t>V3 - Web Frontend Security</t>
        </is>
      </c>
      <c r="C68" s="40" t="inlineStr">
        <is>
          <t>V3.5 - Browser Origin Separation</t>
        </is>
      </c>
      <c r="D68" s="42" t="n">
        <v>2</v>
      </c>
      <c r="E68" s="40" t="inlineStr">
        <is>
          <t>Verify that separate applications are hosted on different hostnames to leverage the restrictions provided by same-origin policy, including how documents or scripts loaded by one origin can interact with resources from another origin and hostname-based restrictions on cookies.</t>
        </is>
      </c>
      <c r="F68" s="40" t="inlineStr">
        <is>
          <t>If has SPA/client-side front end</t>
        </is>
      </c>
      <c r="G68" s="42" t="inlineStr">
        <is>
          <t>SPA_FRONTEND="Yes"</t>
        </is>
      </c>
      <c r="H68" s="43">
        <f>IF(AND(SPA_FRONTEND="Yes",D68&lt;=TARGET_LEVEL_NUM),"Applicable","N/A")</f>
        <v/>
      </c>
      <c r="I68" s="40" t="inlineStr">
        <is>
          <t>SAST + DAST / header scanner</t>
        </is>
      </c>
      <c r="J68" s="40" t="inlineStr">
        <is>
          <t>Deterministic, continuous</t>
        </is>
      </c>
      <c r="K68" s="42" t="inlineStr">
        <is>
          <t>Pipeline</t>
        </is>
      </c>
      <c r="L68" s="42" t="inlineStr">
        <is>
          <t>Not assessed</t>
        </is>
      </c>
      <c r="M68" s="40" t="n"/>
      <c r="N68" s="40" t="n"/>
      <c r="O68" s="42" t="inlineStr">
        <is>
          <t>Medium</t>
        </is>
      </c>
      <c r="P68" s="43">
        <f>IF(H68="N/A","N/A",INDEX(CRIT_MATRIX,MATCH(O68,CRIT_MATRIX_ROWS,0),MATCH(APP_RISK_TIER,CRIT_MATRIX_COLS,0)))</f>
        <v/>
      </c>
    </row>
    <row r="69" ht="39.75" customHeight="1" s="19">
      <c r="A69" s="42" t="inlineStr">
        <is>
          <t>V3.5.5</t>
        </is>
      </c>
      <c r="B69" s="40" t="inlineStr">
        <is>
          <t>V3 - Web Frontend Security</t>
        </is>
      </c>
      <c r="C69" s="40" t="inlineStr">
        <is>
          <t>V3.5 - Browser Origin Separation</t>
        </is>
      </c>
      <c r="D69" s="42" t="n">
        <v>2</v>
      </c>
      <c r="E69" s="40" t="inlineStr">
        <is>
          <t>Verify that messages received by the postMessage interface are discarded if the origin of the message is not trusted, or if the syntax of the message is invalid.</t>
        </is>
      </c>
      <c r="F69" s="40" t="inlineStr">
        <is>
          <t>If has SPA/client-side front end</t>
        </is>
      </c>
      <c r="G69" s="42" t="inlineStr">
        <is>
          <t>SPA_FRONTEND="Yes"</t>
        </is>
      </c>
      <c r="H69" s="43">
        <f>IF(AND(SPA_FRONTEND="Yes",D69&lt;=TARGET_LEVEL_NUM),"Applicable","N/A")</f>
        <v/>
      </c>
      <c r="I69" s="40" t="inlineStr">
        <is>
          <t>SAST + DAST / header scanner</t>
        </is>
      </c>
      <c r="J69" s="40" t="inlineStr">
        <is>
          <t>Deterministic, continuous</t>
        </is>
      </c>
      <c r="K69" s="42" t="inlineStr">
        <is>
          <t>Pipeline</t>
        </is>
      </c>
      <c r="L69" s="42" t="inlineStr">
        <is>
          <t>Not assessed</t>
        </is>
      </c>
      <c r="M69" s="40" t="n"/>
      <c r="N69" s="40" t="n"/>
      <c r="O69" s="42" t="inlineStr">
        <is>
          <t>Medium</t>
        </is>
      </c>
      <c r="P69" s="43">
        <f>IF(H69="N/A","N/A",INDEX(CRIT_MATRIX,MATCH(O69,CRIT_MATRIX_ROWS,0),MATCH(APP_RISK_TIER,CRIT_MATRIX_COLS,0)))</f>
        <v/>
      </c>
    </row>
    <row r="70" ht="39.75" customHeight="1" s="19">
      <c r="A70" s="42" t="inlineStr">
        <is>
          <t>V3.5.6</t>
        </is>
      </c>
      <c r="B70" s="40" t="inlineStr">
        <is>
          <t>V3 - Web Frontend Security</t>
        </is>
      </c>
      <c r="C70" s="40" t="inlineStr">
        <is>
          <t>V3.5 - Browser Origin Separation</t>
        </is>
      </c>
      <c r="D70" s="42" t="n">
        <v>3</v>
      </c>
      <c r="E70" s="40" t="inlineStr">
        <is>
          <t>Verify that JSONP functionality is not enabled anywhere across the application to avoid Cross-Site Script Inclusion (XSSI) attacks.</t>
        </is>
      </c>
      <c r="F70" s="40" t="inlineStr">
        <is>
          <t>If has SPA/client-side front end</t>
        </is>
      </c>
      <c r="G70" s="42" t="inlineStr">
        <is>
          <t>SPA_FRONTEND="Yes"</t>
        </is>
      </c>
      <c r="H70" s="43">
        <f>IF(AND(SPA_FRONTEND="Yes",D70&lt;=TARGET_LEVEL_NUM),"Applicable","N/A")</f>
        <v/>
      </c>
      <c r="I70" s="40" t="inlineStr">
        <is>
          <t>SAST + DAST / header scanner</t>
        </is>
      </c>
      <c r="J70" s="40" t="inlineStr">
        <is>
          <t>Deterministic, continuous</t>
        </is>
      </c>
      <c r="K70" s="42" t="inlineStr">
        <is>
          <t>Pipeline</t>
        </is>
      </c>
      <c r="L70" s="42" t="inlineStr">
        <is>
          <t>Not assessed</t>
        </is>
      </c>
      <c r="M70" s="40" t="n"/>
      <c r="N70" s="40" t="n"/>
      <c r="O70" s="42" t="inlineStr">
        <is>
          <t>Medium</t>
        </is>
      </c>
      <c r="P70" s="43">
        <f>IF(H70="N/A","N/A",INDEX(CRIT_MATRIX,MATCH(O70,CRIT_MATRIX_ROWS,0),MATCH(APP_RISK_TIER,CRIT_MATRIX_COLS,0)))</f>
        <v/>
      </c>
    </row>
    <row r="71" ht="39.75" customHeight="1" s="19">
      <c r="A71" s="42" t="inlineStr">
        <is>
          <t>V3.5.7</t>
        </is>
      </c>
      <c r="B71" s="40" t="inlineStr">
        <is>
          <t>V3 - Web Frontend Security</t>
        </is>
      </c>
      <c r="C71" s="40" t="inlineStr">
        <is>
          <t>V3.5 - Browser Origin Separation</t>
        </is>
      </c>
      <c r="D71" s="42" t="n">
        <v>3</v>
      </c>
      <c r="E71" s="40" t="inlineStr">
        <is>
          <t>Verify that data requiring authorization is not included in script resource responses, like JavaScript files, to prevent Cross-Site Script Inclusion (XSSI) attacks.</t>
        </is>
      </c>
      <c r="F71" s="40" t="inlineStr">
        <is>
          <t>If has SPA/client-side front end</t>
        </is>
      </c>
      <c r="G71" s="42" t="inlineStr">
        <is>
          <t>SPA_FRONTEND="Yes"</t>
        </is>
      </c>
      <c r="H71" s="43">
        <f>IF(AND(SPA_FRONTEND="Yes",D71&lt;=TARGET_LEVEL_NUM),"Applicable","N/A")</f>
        <v/>
      </c>
      <c r="I71" s="40" t="inlineStr">
        <is>
          <t>SAST + DAST / header scanner</t>
        </is>
      </c>
      <c r="J71" s="40" t="inlineStr">
        <is>
          <t>Deterministic, continuous</t>
        </is>
      </c>
      <c r="K71" s="42" t="inlineStr">
        <is>
          <t>Pipeline</t>
        </is>
      </c>
      <c r="L71" s="42" t="inlineStr">
        <is>
          <t>Not assessed</t>
        </is>
      </c>
      <c r="M71" s="40" t="n"/>
      <c r="N71" s="40" t="n"/>
      <c r="O71" s="42" t="inlineStr">
        <is>
          <t>Medium</t>
        </is>
      </c>
      <c r="P71" s="43">
        <f>IF(H71="N/A","N/A",INDEX(CRIT_MATRIX,MATCH(O71,CRIT_MATRIX_ROWS,0),MATCH(APP_RISK_TIER,CRIT_MATRIX_COLS,0)))</f>
        <v/>
      </c>
    </row>
    <row r="72" ht="39.75" customHeight="1" s="19">
      <c r="A72" s="42" t="inlineStr">
        <is>
          <t>V3.5.8</t>
        </is>
      </c>
      <c r="B72" s="40" t="inlineStr">
        <is>
          <t>V3 - Web Frontend Security</t>
        </is>
      </c>
      <c r="C72" s="40" t="inlineStr">
        <is>
          <t>V3.5 - Browser Origin Separation</t>
        </is>
      </c>
      <c r="D72" s="42" t="n">
        <v>3</v>
      </c>
      <c r="E72" s="40" t="inlineStr">
        <is>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is>
      </c>
      <c r="F72" s="40" t="inlineStr">
        <is>
          <t>If has SPA/client-side front end</t>
        </is>
      </c>
      <c r="G72" s="42" t="inlineStr">
        <is>
          <t>SPA_FRONTEND="Yes"</t>
        </is>
      </c>
      <c r="H72" s="43">
        <f>IF(AND(SPA_FRONTEND="Yes",D72&lt;=TARGET_LEVEL_NUM),"Applicable","N/A")</f>
        <v/>
      </c>
      <c r="I72" s="40" t="inlineStr">
        <is>
          <t>SAST + DAST / header scanner</t>
        </is>
      </c>
      <c r="J72" s="40" t="inlineStr">
        <is>
          <t>Deterministic, continuous</t>
        </is>
      </c>
      <c r="K72" s="42" t="inlineStr">
        <is>
          <t>Pipeline</t>
        </is>
      </c>
      <c r="L72" s="42" t="inlineStr">
        <is>
          <t>Not assessed</t>
        </is>
      </c>
      <c r="M72" s="40" t="n"/>
      <c r="N72" s="40" t="n"/>
      <c r="O72" s="42" t="inlineStr">
        <is>
          <t>Medium</t>
        </is>
      </c>
      <c r="P72" s="43">
        <f>IF(H72="N/A","N/A",INDEX(CRIT_MATRIX,MATCH(O72,CRIT_MATRIX_ROWS,0),MATCH(APP_RISK_TIER,CRIT_MATRIX_COLS,0)))</f>
        <v/>
      </c>
    </row>
    <row r="73" ht="39.75" customHeight="1" s="19">
      <c r="A73" s="42" t="inlineStr">
        <is>
          <t>V3.6.1</t>
        </is>
      </c>
      <c r="B73" s="40" t="inlineStr">
        <is>
          <t>V3 - Web Frontend Security</t>
        </is>
      </c>
      <c r="C73" s="40" t="inlineStr">
        <is>
          <t>V3.6 - External Resource Integrity</t>
        </is>
      </c>
      <c r="D73" s="42" t="n">
        <v>3</v>
      </c>
      <c r="E73" s="40" t="inlineStr">
        <is>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is>
      </c>
      <c r="F73" s="40" t="inlineStr">
        <is>
          <t>If has SPA/client-side front end</t>
        </is>
      </c>
      <c r="G73" s="42" t="inlineStr">
        <is>
          <t>SPA_FRONTEND="Yes"</t>
        </is>
      </c>
      <c r="H73" s="43">
        <f>IF(AND(SPA_FRONTEND="Yes",D73&lt;=TARGET_LEVEL_NUM),"Applicable","N/A")</f>
        <v/>
      </c>
      <c r="I73" s="40" t="inlineStr">
        <is>
          <t>SAST + DAST / header scanner</t>
        </is>
      </c>
      <c r="J73" s="40" t="inlineStr">
        <is>
          <t>Deterministic, continuous</t>
        </is>
      </c>
      <c r="K73" s="42" t="inlineStr">
        <is>
          <t>Pipeline</t>
        </is>
      </c>
      <c r="L73" s="42" t="inlineStr">
        <is>
          <t>Not assessed</t>
        </is>
      </c>
      <c r="M73" s="40" t="n"/>
      <c r="N73" s="40" t="n"/>
      <c r="O73" s="42" t="inlineStr">
        <is>
          <t>Medium</t>
        </is>
      </c>
      <c r="P73" s="43">
        <f>IF(H73="N/A","N/A",INDEX(CRIT_MATRIX,MATCH(O73,CRIT_MATRIX_ROWS,0),MATCH(APP_RISK_TIER,CRIT_MATRIX_COLS,0)))</f>
        <v/>
      </c>
    </row>
    <row r="74" ht="39.75" customHeight="1" s="19">
      <c r="A74" s="42" t="inlineStr">
        <is>
          <t>V3.7.1</t>
        </is>
      </c>
      <c r="B74" s="40" t="inlineStr">
        <is>
          <t>V3 - Web Frontend Security</t>
        </is>
      </c>
      <c r="C74" s="40" t="inlineStr">
        <is>
          <t>V3.7 - Other Browser Security Considerations</t>
        </is>
      </c>
      <c r="D74" s="42" t="n">
        <v>2</v>
      </c>
      <c r="E74" s="40" t="inlineStr">
        <is>
          <t>Verify that the application only uses client-side technologies which are still supported and considered secure. Examples of technologies which do not meet this requirement include NSAPI plugins, Flash, Shockwave, ActiveX, Silverlight, NACL, or client-side Java applets.</t>
        </is>
      </c>
      <c r="F74" s="40" t="inlineStr">
        <is>
          <t>If has SPA/client-side front end</t>
        </is>
      </c>
      <c r="G74" s="42" t="inlineStr">
        <is>
          <t>SPA_FRONTEND="Yes"</t>
        </is>
      </c>
      <c r="H74" s="43">
        <f>IF(AND(SPA_FRONTEND="Yes",D74&lt;=TARGET_LEVEL_NUM),"Applicable","N/A")</f>
        <v/>
      </c>
      <c r="I74" s="40" t="inlineStr">
        <is>
          <t>SAST + DAST / header scanner</t>
        </is>
      </c>
      <c r="J74" s="40" t="inlineStr">
        <is>
          <t>Deterministic, continuous</t>
        </is>
      </c>
      <c r="K74" s="42" t="inlineStr">
        <is>
          <t>Pipeline</t>
        </is>
      </c>
      <c r="L74" s="42" t="inlineStr">
        <is>
          <t>Not assessed</t>
        </is>
      </c>
      <c r="M74" s="40" t="n"/>
      <c r="N74" s="40" t="n"/>
      <c r="O74" s="42" t="inlineStr">
        <is>
          <t>Medium</t>
        </is>
      </c>
      <c r="P74" s="43">
        <f>IF(H74="N/A","N/A",INDEX(CRIT_MATRIX,MATCH(O74,CRIT_MATRIX_ROWS,0),MATCH(APP_RISK_TIER,CRIT_MATRIX_COLS,0)))</f>
        <v/>
      </c>
    </row>
    <row r="75" ht="39.75" customHeight="1" s="19">
      <c r="A75" s="42" t="inlineStr">
        <is>
          <t>V3.7.2</t>
        </is>
      </c>
      <c r="B75" s="40" t="inlineStr">
        <is>
          <t>V3 - Web Frontend Security</t>
        </is>
      </c>
      <c r="C75" s="40" t="inlineStr">
        <is>
          <t>V3.7 - Other Browser Security Considerations</t>
        </is>
      </c>
      <c r="D75" s="42" t="n">
        <v>2</v>
      </c>
      <c r="E75" s="40" t="inlineStr">
        <is>
          <t>Verify that the application will only automatically redirect the user to a different hostname or domain (which is not controlled by the application) where the destination appears on an allowlist.</t>
        </is>
      </c>
      <c r="F75" s="40" t="inlineStr">
        <is>
          <t>If has SPA/client-side front end</t>
        </is>
      </c>
      <c r="G75" s="42" t="inlineStr">
        <is>
          <t>SPA_FRONTEND="Yes"</t>
        </is>
      </c>
      <c r="H75" s="43">
        <f>IF(AND(SPA_FRONTEND="Yes",D75&lt;=TARGET_LEVEL_NUM),"Applicable","N/A")</f>
        <v/>
      </c>
      <c r="I75" s="40" t="inlineStr">
        <is>
          <t>SAST + DAST / header scanner</t>
        </is>
      </c>
      <c r="J75" s="40" t="inlineStr">
        <is>
          <t>Deterministic, continuous</t>
        </is>
      </c>
      <c r="K75" s="42" t="inlineStr">
        <is>
          <t>Pipeline</t>
        </is>
      </c>
      <c r="L75" s="42" t="inlineStr">
        <is>
          <t>Not assessed</t>
        </is>
      </c>
      <c r="M75" s="40" t="n"/>
      <c r="N75" s="40" t="n"/>
      <c r="O75" s="42" t="inlineStr">
        <is>
          <t>Medium</t>
        </is>
      </c>
      <c r="P75" s="43">
        <f>IF(H75="N/A","N/A",INDEX(CRIT_MATRIX,MATCH(O75,CRIT_MATRIX_ROWS,0),MATCH(APP_RISK_TIER,CRIT_MATRIX_COLS,0)))</f>
        <v/>
      </c>
    </row>
    <row r="76" ht="39.75" customHeight="1" s="19">
      <c r="A76" s="42" t="inlineStr">
        <is>
          <t>V3.7.3</t>
        </is>
      </c>
      <c r="B76" s="40" t="inlineStr">
        <is>
          <t>V3 - Web Frontend Security</t>
        </is>
      </c>
      <c r="C76" s="40" t="inlineStr">
        <is>
          <t>V3.7 - Other Browser Security Considerations</t>
        </is>
      </c>
      <c r="D76" s="42" t="n">
        <v>3</v>
      </c>
      <c r="E76" s="40" t="inlineStr">
        <is>
          <t>Verify that the application shows a notification when the user is being redirected to a URL outside of the application's control, with an option to cancel the navigation.</t>
        </is>
      </c>
      <c r="F76" s="40" t="inlineStr">
        <is>
          <t>If has SPA/client-side front end</t>
        </is>
      </c>
      <c r="G76" s="42" t="inlineStr">
        <is>
          <t>SPA_FRONTEND="Yes"</t>
        </is>
      </c>
      <c r="H76" s="43">
        <f>IF(AND(SPA_FRONTEND="Yes",D76&lt;=TARGET_LEVEL_NUM),"Applicable","N/A")</f>
        <v/>
      </c>
      <c r="I76" s="40" t="inlineStr">
        <is>
          <t>SAST + DAST / header scanner</t>
        </is>
      </c>
      <c r="J76" s="40" t="inlineStr">
        <is>
          <t>Deterministic, continuous</t>
        </is>
      </c>
      <c r="K76" s="42" t="inlineStr">
        <is>
          <t>Pipeline</t>
        </is>
      </c>
      <c r="L76" s="42" t="inlineStr">
        <is>
          <t>Not assessed</t>
        </is>
      </c>
      <c r="M76" s="40" t="n"/>
      <c r="N76" s="40" t="n"/>
      <c r="O76" s="42" t="inlineStr">
        <is>
          <t>Medium</t>
        </is>
      </c>
      <c r="P76" s="43">
        <f>IF(H76="N/A","N/A",INDEX(CRIT_MATRIX,MATCH(O76,CRIT_MATRIX_ROWS,0),MATCH(APP_RISK_TIER,CRIT_MATRIX_COLS,0)))</f>
        <v/>
      </c>
    </row>
    <row r="77" ht="39.75" customHeight="1" s="19">
      <c r="A77" s="42" t="inlineStr">
        <is>
          <t>V3.7.4</t>
        </is>
      </c>
      <c r="B77" s="40" t="inlineStr">
        <is>
          <t>V3 - Web Frontend Security</t>
        </is>
      </c>
      <c r="C77" s="40" t="inlineStr">
        <is>
          <t>V3.7 - Other Browser Security Considerations</t>
        </is>
      </c>
      <c r="D77" s="42" t="n">
        <v>3</v>
      </c>
      <c r="E77" s="40" t="inlineStr">
        <is>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is>
      </c>
      <c r="F77" s="40" t="inlineStr">
        <is>
          <t>If has SPA/client-side front end</t>
        </is>
      </c>
      <c r="G77" s="42" t="inlineStr">
        <is>
          <t>SPA_FRONTEND="Yes"</t>
        </is>
      </c>
      <c r="H77" s="43">
        <f>IF(AND(SPA_FRONTEND="Yes",D77&lt;=TARGET_LEVEL_NUM),"Applicable","N/A")</f>
        <v/>
      </c>
      <c r="I77" s="40" t="inlineStr">
        <is>
          <t>SAST + DAST / header scanner</t>
        </is>
      </c>
      <c r="J77" s="40" t="inlineStr">
        <is>
          <t>Deterministic, continuous</t>
        </is>
      </c>
      <c r="K77" s="42" t="inlineStr">
        <is>
          <t>Pipeline</t>
        </is>
      </c>
      <c r="L77" s="42" t="inlineStr">
        <is>
          <t>Not assessed</t>
        </is>
      </c>
      <c r="M77" s="40" t="n"/>
      <c r="N77" s="40" t="n"/>
      <c r="O77" s="42" t="inlineStr">
        <is>
          <t>Medium</t>
        </is>
      </c>
      <c r="P77" s="43">
        <f>IF(H77="N/A","N/A",INDEX(CRIT_MATRIX,MATCH(O77,CRIT_MATRIX_ROWS,0),MATCH(APP_RISK_TIER,CRIT_MATRIX_COLS,0)))</f>
        <v/>
      </c>
    </row>
    <row r="78" ht="39.75" customHeight="1" s="19">
      <c r="A78" s="42" t="inlineStr">
        <is>
          <t>V3.7.5</t>
        </is>
      </c>
      <c r="B78" s="40" t="inlineStr">
        <is>
          <t>V3 - Web Frontend Security</t>
        </is>
      </c>
      <c r="C78" s="40" t="inlineStr">
        <is>
          <t>V3.7 - Other Browser Security Considerations</t>
        </is>
      </c>
      <c r="D78" s="42" t="n">
        <v>3</v>
      </c>
      <c r="E78" s="40" t="inlineStr">
        <is>
          <t>Verify that the application behaves as documented (such as warning the user or blocking access) if the browser used to access the application does not support the expected security features.</t>
        </is>
      </c>
      <c r="F78" s="40" t="inlineStr">
        <is>
          <t>If has SPA/client-side front end</t>
        </is>
      </c>
      <c r="G78" s="42" t="inlineStr">
        <is>
          <t>SPA_FRONTEND="Yes"</t>
        </is>
      </c>
      <c r="H78" s="43">
        <f>IF(AND(SPA_FRONTEND="Yes",D78&lt;=TARGET_LEVEL_NUM),"Applicable","N/A")</f>
        <v/>
      </c>
      <c r="I78" s="40" t="inlineStr">
        <is>
          <t>SAST + DAST / header scanner</t>
        </is>
      </c>
      <c r="J78" s="40" t="inlineStr">
        <is>
          <t>Deterministic, continuous</t>
        </is>
      </c>
      <c r="K78" s="42" t="inlineStr">
        <is>
          <t>Pipeline</t>
        </is>
      </c>
      <c r="L78" s="42" t="inlineStr">
        <is>
          <t>Not assessed</t>
        </is>
      </c>
      <c r="M78" s="40" t="n"/>
      <c r="N78" s="40" t="n"/>
      <c r="O78" s="42" t="inlineStr">
        <is>
          <t>Medium</t>
        </is>
      </c>
      <c r="P78" s="43">
        <f>IF(H78="N/A","N/A",INDEX(CRIT_MATRIX,MATCH(O78,CRIT_MATRIX_ROWS,0),MATCH(APP_RISK_TIER,CRIT_MATRIX_COLS,0)))</f>
        <v/>
      </c>
    </row>
    <row r="79" ht="39.75" customHeight="1" s="19">
      <c r="A79" s="42" t="inlineStr">
        <is>
          <t>V4.1.1</t>
        </is>
      </c>
      <c r="B79" s="40" t="inlineStr">
        <is>
          <t>V4 - API and Web Service</t>
        </is>
      </c>
      <c r="C79" s="40" t="inlineStr">
        <is>
          <t>V4.1 - Generic Web Service Security</t>
        </is>
      </c>
      <c r="D79" s="42" t="n">
        <v>1</v>
      </c>
      <c r="E79" s="40" t="inlineStr">
        <is>
          <t>Verify that every HTTP response with a message body contains a Content-Type header field that matches the actual content of the response, including the charset parameter to specify safe character encoding (e.g., UTF-8, ISO-8859-1) according to IANA Media Types, such as "text/", "/+xml" and "/xml".</t>
        </is>
      </c>
      <c r="F79" s="40" t="inlineStr">
        <is>
          <t>If exposes an API</t>
        </is>
      </c>
      <c r="G79" s="42" t="inlineStr">
        <is>
          <t>API_EXPOSED="Yes"</t>
        </is>
      </c>
      <c r="H79" s="43">
        <f>IF(AND(API_EXPOSED="Yes",D79&lt;=TARGET_LEVEL_NUM),"Applicable","N/A")</f>
        <v/>
      </c>
      <c r="I79" s="40" t="inlineStr">
        <is>
          <t>SAST + DAST</t>
        </is>
      </c>
      <c r="J79" s="40" t="inlineStr">
        <is>
          <t>Deterministic, continuous</t>
        </is>
      </c>
      <c r="K79" s="42" t="inlineStr">
        <is>
          <t>Pipeline</t>
        </is>
      </c>
      <c r="L79" s="42" t="inlineStr">
        <is>
          <t>Not assessed</t>
        </is>
      </c>
      <c r="M79" s="40" t="n"/>
      <c r="N79" s="40" t="n"/>
      <c r="O79" s="42" t="inlineStr">
        <is>
          <t>Medium</t>
        </is>
      </c>
      <c r="P79" s="43">
        <f>IF(H79="N/A","N/A",INDEX(CRIT_MATRIX,MATCH(O79,CRIT_MATRIX_ROWS,0),MATCH(APP_RISK_TIER,CRIT_MATRIX_COLS,0)))</f>
        <v/>
      </c>
    </row>
    <row r="80" ht="39.75" customHeight="1" s="19">
      <c r="A80" s="42" t="inlineStr">
        <is>
          <t>V4.1.2</t>
        </is>
      </c>
      <c r="B80" s="40" t="inlineStr">
        <is>
          <t>V4 - API and Web Service</t>
        </is>
      </c>
      <c r="C80" s="40" t="inlineStr">
        <is>
          <t>V4.1 - Generic Web Service Security</t>
        </is>
      </c>
      <c r="D80" s="42" t="n">
        <v>2</v>
      </c>
      <c r="E80" s="40" t="inlineStr">
        <is>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is>
      </c>
      <c r="F80" s="40" t="inlineStr">
        <is>
          <t>If exposes an API</t>
        </is>
      </c>
      <c r="G80" s="42" t="inlineStr">
        <is>
          <t>API_EXPOSED="Yes"</t>
        </is>
      </c>
      <c r="H80" s="43">
        <f>IF(AND(API_EXPOSED="Yes",D80&lt;=TARGET_LEVEL_NUM),"Applicable","N/A")</f>
        <v/>
      </c>
      <c r="I80" s="40" t="inlineStr">
        <is>
          <t>SAST + DAST</t>
        </is>
      </c>
      <c r="J80" s="40" t="inlineStr">
        <is>
          <t>Deterministic, continuous</t>
        </is>
      </c>
      <c r="K80" s="42" t="inlineStr">
        <is>
          <t>Pipeline</t>
        </is>
      </c>
      <c r="L80" s="42" t="inlineStr">
        <is>
          <t>Not assessed</t>
        </is>
      </c>
      <c r="M80" s="40" t="n"/>
      <c r="N80" s="40" t="n"/>
      <c r="O80" s="42" t="inlineStr">
        <is>
          <t>Medium</t>
        </is>
      </c>
      <c r="P80" s="43">
        <f>IF(H80="N/A","N/A",INDEX(CRIT_MATRIX,MATCH(O80,CRIT_MATRIX_ROWS,0),MATCH(APP_RISK_TIER,CRIT_MATRIX_COLS,0)))</f>
        <v/>
      </c>
    </row>
    <row r="81" ht="39.75" customHeight="1" s="19">
      <c r="A81" s="42" t="inlineStr">
        <is>
          <t>V4.1.3</t>
        </is>
      </c>
      <c r="B81" s="40" t="inlineStr">
        <is>
          <t>V4 - API and Web Service</t>
        </is>
      </c>
      <c r="C81" s="40" t="inlineStr">
        <is>
          <t>V4.1 - Generic Web Service Security</t>
        </is>
      </c>
      <c r="D81" s="42" t="n">
        <v>2</v>
      </c>
      <c r="E81" s="40" t="inlineStr">
        <is>
          <t>Verify that any HTTP header field used by the application and set by an intermediary layer, such as a load balancer, a web proxy, or a backend-for-frontend service, cannot be overridden by the end-user. Example headers might include X-Real-IP, X-Forwarded-*, or X-User-ID.</t>
        </is>
      </c>
      <c r="F81" s="40" t="inlineStr">
        <is>
          <t>If exposes an API</t>
        </is>
      </c>
      <c r="G81" s="42" t="inlineStr">
        <is>
          <t>API_EXPOSED="Yes"</t>
        </is>
      </c>
      <c r="H81" s="43">
        <f>IF(AND(API_EXPOSED="Yes",D81&lt;=TARGET_LEVEL_NUM),"Applicable","N/A")</f>
        <v/>
      </c>
      <c r="I81" s="40" t="inlineStr">
        <is>
          <t>SAST + DAST</t>
        </is>
      </c>
      <c r="J81" s="40" t="inlineStr">
        <is>
          <t>Deterministic, continuous</t>
        </is>
      </c>
      <c r="K81" s="42" t="inlineStr">
        <is>
          <t>Pipeline</t>
        </is>
      </c>
      <c r="L81" s="42" t="inlineStr">
        <is>
          <t>Not assessed</t>
        </is>
      </c>
      <c r="M81" s="40" t="n"/>
      <c r="N81" s="40" t="n"/>
      <c r="O81" s="42" t="inlineStr">
        <is>
          <t>Medium</t>
        </is>
      </c>
      <c r="P81" s="43">
        <f>IF(H81="N/A","N/A",INDEX(CRIT_MATRIX,MATCH(O81,CRIT_MATRIX_ROWS,0),MATCH(APP_RISK_TIER,CRIT_MATRIX_COLS,0)))</f>
        <v/>
      </c>
    </row>
    <row r="82" ht="39.75" customHeight="1" s="19">
      <c r="A82" s="42" t="inlineStr">
        <is>
          <t>V4.1.4</t>
        </is>
      </c>
      <c r="B82" s="40" t="inlineStr">
        <is>
          <t>V4 - API and Web Service</t>
        </is>
      </c>
      <c r="C82" s="40" t="inlineStr">
        <is>
          <t>V4.1 - Generic Web Service Security</t>
        </is>
      </c>
      <c r="D82" s="42" t="n">
        <v>3</v>
      </c>
      <c r="E82" s="40" t="inlineStr">
        <is>
          <t>Verify that only HTTP methods that are explicitly supported by the application or its API (including OPTIONS during preflight requests) can be used and that unused methods are blocked.</t>
        </is>
      </c>
      <c r="F82" s="40" t="inlineStr">
        <is>
          <t>If exposes an API</t>
        </is>
      </c>
      <c r="G82" s="42" t="inlineStr">
        <is>
          <t>API_EXPOSED="Yes"</t>
        </is>
      </c>
      <c r="H82" s="43">
        <f>IF(AND(API_EXPOSED="Yes",D82&lt;=TARGET_LEVEL_NUM),"Applicable","N/A")</f>
        <v/>
      </c>
      <c r="I82" s="40" t="inlineStr">
        <is>
          <t>SAST + DAST</t>
        </is>
      </c>
      <c r="J82" s="40" t="inlineStr">
        <is>
          <t>Deterministic, continuous</t>
        </is>
      </c>
      <c r="K82" s="42" t="inlineStr">
        <is>
          <t>Pipeline</t>
        </is>
      </c>
      <c r="L82" s="42" t="inlineStr">
        <is>
          <t>Not assessed</t>
        </is>
      </c>
      <c r="M82" s="40" t="n"/>
      <c r="N82" s="40" t="n"/>
      <c r="O82" s="42" t="inlineStr">
        <is>
          <t>Medium</t>
        </is>
      </c>
      <c r="P82" s="43">
        <f>IF(H82="N/A","N/A",INDEX(CRIT_MATRIX,MATCH(O82,CRIT_MATRIX_ROWS,0),MATCH(APP_RISK_TIER,CRIT_MATRIX_COLS,0)))</f>
        <v/>
      </c>
    </row>
    <row r="83" ht="39.75" customHeight="1" s="19">
      <c r="A83" s="42" t="inlineStr">
        <is>
          <t>V4.1.5</t>
        </is>
      </c>
      <c r="B83" s="40" t="inlineStr">
        <is>
          <t>V4 - API and Web Service</t>
        </is>
      </c>
      <c r="C83" s="40" t="inlineStr">
        <is>
          <t>V4.1 - Generic Web Service Security</t>
        </is>
      </c>
      <c r="D83" s="42" t="n">
        <v>3</v>
      </c>
      <c r="E83" s="40" t="inlineStr">
        <is>
          <t>Verify that per-message digital signatures are used to provide additional assurance on top of transport protections for requests or transactions which are highly sensitive or which traverse a number of systems.</t>
        </is>
      </c>
      <c r="F83" s="40" t="inlineStr">
        <is>
          <t>If exposes an API</t>
        </is>
      </c>
      <c r="G83" s="42" t="inlineStr">
        <is>
          <t>API_EXPOSED="Yes"</t>
        </is>
      </c>
      <c r="H83" s="43">
        <f>IF(AND(API_EXPOSED="Yes",D83&lt;=TARGET_LEVEL_NUM),"Applicable","N/A")</f>
        <v/>
      </c>
      <c r="I83" s="40" t="inlineStr">
        <is>
          <t>SAST + DAST</t>
        </is>
      </c>
      <c r="J83" s="40" t="inlineStr">
        <is>
          <t>Deterministic, continuous</t>
        </is>
      </c>
      <c r="K83" s="42" t="inlineStr">
        <is>
          <t>Pipeline</t>
        </is>
      </c>
      <c r="L83" s="42" t="inlineStr">
        <is>
          <t>Not assessed</t>
        </is>
      </c>
      <c r="M83" s="40" t="n"/>
      <c r="N83" s="40" t="n"/>
      <c r="O83" s="42" t="inlineStr">
        <is>
          <t>Medium</t>
        </is>
      </c>
      <c r="P83" s="43">
        <f>IF(H83="N/A","N/A",INDEX(CRIT_MATRIX,MATCH(O83,CRIT_MATRIX_ROWS,0),MATCH(APP_RISK_TIER,CRIT_MATRIX_COLS,0)))</f>
        <v/>
      </c>
    </row>
    <row r="84" ht="39.75" customHeight="1" s="19">
      <c r="A84" s="42" t="inlineStr">
        <is>
          <t>V4.2.1</t>
        </is>
      </c>
      <c r="B84" s="40" t="inlineStr">
        <is>
          <t>V4 - API and Web Service</t>
        </is>
      </c>
      <c r="C84" s="40" t="inlineStr">
        <is>
          <t>V4.2 - HTTP Message Structure Validation</t>
        </is>
      </c>
      <c r="D84" s="42" t="n">
        <v>2</v>
      </c>
      <c r="E84" s="40" t="inlineStr">
        <is>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is>
      </c>
      <c r="F84" s="40" t="inlineStr">
        <is>
          <t>If exposes an API</t>
        </is>
      </c>
      <c r="G84" s="42" t="inlineStr">
        <is>
          <t>API_EXPOSED="Yes"</t>
        </is>
      </c>
      <c r="H84" s="43">
        <f>IF(AND(API_EXPOSED="Yes",D84&lt;=TARGET_LEVEL_NUM),"Applicable","N/A")</f>
        <v/>
      </c>
      <c r="I84" s="40" t="inlineStr">
        <is>
          <t>SAST + DAST</t>
        </is>
      </c>
      <c r="J84" s="40" t="inlineStr">
        <is>
          <t>Deterministic, continuous</t>
        </is>
      </c>
      <c r="K84" s="42" t="inlineStr">
        <is>
          <t>Pipeline</t>
        </is>
      </c>
      <c r="L84" s="42" t="inlineStr">
        <is>
          <t>Not assessed</t>
        </is>
      </c>
      <c r="M84" s="40" t="n"/>
      <c r="N84" s="40" t="n"/>
      <c r="O84" s="42" t="inlineStr">
        <is>
          <t>Medium</t>
        </is>
      </c>
      <c r="P84" s="43">
        <f>IF(H84="N/A","N/A",INDEX(CRIT_MATRIX,MATCH(O84,CRIT_MATRIX_ROWS,0),MATCH(APP_RISK_TIER,CRIT_MATRIX_COLS,0)))</f>
        <v/>
      </c>
    </row>
    <row r="85" ht="39.75" customHeight="1" s="19">
      <c r="A85" s="42" t="inlineStr">
        <is>
          <t>V4.2.2</t>
        </is>
      </c>
      <c r="B85" s="40" t="inlineStr">
        <is>
          <t>V4 - API and Web Service</t>
        </is>
      </c>
      <c r="C85" s="40" t="inlineStr">
        <is>
          <t>V4.2 - HTTP Message Structure Validation</t>
        </is>
      </c>
      <c r="D85" s="42" t="n">
        <v>3</v>
      </c>
      <c r="E85" s="40" t="inlineStr">
        <is>
          <t>Verify that when generating HTTP messages, the Content-Length header field does not conflict with the length of the content as determined by the framing of the HTTP protocol, in order to prevent request smuggling attacks.</t>
        </is>
      </c>
      <c r="F85" s="40" t="inlineStr">
        <is>
          <t>If exposes an API</t>
        </is>
      </c>
      <c r="G85" s="42" t="inlineStr">
        <is>
          <t>API_EXPOSED="Yes"</t>
        </is>
      </c>
      <c r="H85" s="43">
        <f>IF(AND(API_EXPOSED="Yes",D85&lt;=TARGET_LEVEL_NUM),"Applicable","N/A")</f>
        <v/>
      </c>
      <c r="I85" s="40" t="inlineStr">
        <is>
          <t>SAST + DAST</t>
        </is>
      </c>
      <c r="J85" s="40" t="inlineStr">
        <is>
          <t>Deterministic, continuous</t>
        </is>
      </c>
      <c r="K85" s="42" t="inlineStr">
        <is>
          <t>Pipeline</t>
        </is>
      </c>
      <c r="L85" s="42" t="inlineStr">
        <is>
          <t>Not assessed</t>
        </is>
      </c>
      <c r="M85" s="40" t="n"/>
      <c r="N85" s="40" t="n"/>
      <c r="O85" s="42" t="inlineStr">
        <is>
          <t>Medium</t>
        </is>
      </c>
      <c r="P85" s="43">
        <f>IF(H85="N/A","N/A",INDEX(CRIT_MATRIX,MATCH(O85,CRIT_MATRIX_ROWS,0),MATCH(APP_RISK_TIER,CRIT_MATRIX_COLS,0)))</f>
        <v/>
      </c>
    </row>
    <row r="86" ht="39.75" customHeight="1" s="19">
      <c r="A86" s="42" t="inlineStr">
        <is>
          <t>V4.2.3</t>
        </is>
      </c>
      <c r="B86" s="40" t="inlineStr">
        <is>
          <t>V4 - API and Web Service</t>
        </is>
      </c>
      <c r="C86" s="40" t="inlineStr">
        <is>
          <t>V4.2 - HTTP Message Structure Validation</t>
        </is>
      </c>
      <c r="D86" s="42" t="n">
        <v>3</v>
      </c>
      <c r="E86" s="40" t="inlineStr">
        <is>
          <t>Verify that the application does not send nor accept HTTP/2 or HTTP/3 messages with connection-specific header fields such as Transfer-Encoding to prevent response splitting and header injection attacks.</t>
        </is>
      </c>
      <c r="F86" s="40" t="inlineStr">
        <is>
          <t>If exposes an API</t>
        </is>
      </c>
      <c r="G86" s="42" t="inlineStr">
        <is>
          <t>API_EXPOSED="Yes"</t>
        </is>
      </c>
      <c r="H86" s="43">
        <f>IF(AND(API_EXPOSED="Yes",D86&lt;=TARGET_LEVEL_NUM),"Applicable","N/A")</f>
        <v/>
      </c>
      <c r="I86" s="40" t="inlineStr">
        <is>
          <t>SAST + DAST</t>
        </is>
      </c>
      <c r="J86" s="40" t="inlineStr">
        <is>
          <t>Deterministic, continuous</t>
        </is>
      </c>
      <c r="K86" s="42" t="inlineStr">
        <is>
          <t>Pipeline</t>
        </is>
      </c>
      <c r="L86" s="42" t="inlineStr">
        <is>
          <t>Not assessed</t>
        </is>
      </c>
      <c r="M86" s="40" t="n"/>
      <c r="N86" s="40" t="n"/>
      <c r="O86" s="42" t="inlineStr">
        <is>
          <t>Medium</t>
        </is>
      </c>
      <c r="P86" s="43">
        <f>IF(H86="N/A","N/A",INDEX(CRIT_MATRIX,MATCH(O86,CRIT_MATRIX_ROWS,0),MATCH(APP_RISK_TIER,CRIT_MATRIX_COLS,0)))</f>
        <v/>
      </c>
    </row>
    <row r="87" ht="39.75" customHeight="1" s="19">
      <c r="A87" s="42" t="inlineStr">
        <is>
          <t>V4.2.4</t>
        </is>
      </c>
      <c r="B87" s="40" t="inlineStr">
        <is>
          <t>V4 - API and Web Service</t>
        </is>
      </c>
      <c r="C87" s="40" t="inlineStr">
        <is>
          <t>V4.2 - HTTP Message Structure Validation</t>
        </is>
      </c>
      <c r="D87" s="42" t="n">
        <v>3</v>
      </c>
      <c r="E87" s="40" t="inlineStr">
        <is>
          <t>Verify that the application only accepts HTTP/2 and HTTP/3 requests where the header fields and values do not contain any CR (\r), LF (\n), or CRLF (\r\n) sequences, to prevent header injection attacks.</t>
        </is>
      </c>
      <c r="F87" s="40" t="inlineStr">
        <is>
          <t>If exposes an API</t>
        </is>
      </c>
      <c r="G87" s="42" t="inlineStr">
        <is>
          <t>API_EXPOSED="Yes"</t>
        </is>
      </c>
      <c r="H87" s="43">
        <f>IF(AND(API_EXPOSED="Yes",D87&lt;=TARGET_LEVEL_NUM),"Applicable","N/A")</f>
        <v/>
      </c>
      <c r="I87" s="40" t="inlineStr">
        <is>
          <t>SAST + DAST</t>
        </is>
      </c>
      <c r="J87" s="40" t="inlineStr">
        <is>
          <t>Deterministic, continuous</t>
        </is>
      </c>
      <c r="K87" s="42" t="inlineStr">
        <is>
          <t>Pipeline</t>
        </is>
      </c>
      <c r="L87" s="42" t="inlineStr">
        <is>
          <t>Not assessed</t>
        </is>
      </c>
      <c r="M87" s="40" t="n"/>
      <c r="N87" s="40" t="n"/>
      <c r="O87" s="42" t="inlineStr">
        <is>
          <t>Medium</t>
        </is>
      </c>
      <c r="P87" s="43">
        <f>IF(H87="N/A","N/A",INDEX(CRIT_MATRIX,MATCH(O87,CRIT_MATRIX_ROWS,0),MATCH(APP_RISK_TIER,CRIT_MATRIX_COLS,0)))</f>
        <v/>
      </c>
    </row>
    <row r="88" ht="39.75" customHeight="1" s="19">
      <c r="A88" s="42" t="inlineStr">
        <is>
          <t>V4.2.5</t>
        </is>
      </c>
      <c r="B88" s="40" t="inlineStr">
        <is>
          <t>V4 - API and Web Service</t>
        </is>
      </c>
      <c r="C88" s="40" t="inlineStr">
        <is>
          <t>V4.2 - HTTP Message Structure Validation</t>
        </is>
      </c>
      <c r="D88" s="42" t="n">
        <v>3</v>
      </c>
      <c r="E88" s="40" t="inlineStr">
        <is>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is>
      </c>
      <c r="F88" s="40" t="inlineStr">
        <is>
          <t>If exposes an API</t>
        </is>
      </c>
      <c r="G88" s="42" t="inlineStr">
        <is>
          <t>API_EXPOSED="Yes"</t>
        </is>
      </c>
      <c r="H88" s="43">
        <f>IF(AND(API_EXPOSED="Yes",D88&lt;=TARGET_LEVEL_NUM),"Applicable","N/A")</f>
        <v/>
      </c>
      <c r="I88" s="40" t="inlineStr">
        <is>
          <t>SAST + DAST</t>
        </is>
      </c>
      <c r="J88" s="40" t="inlineStr">
        <is>
          <t>Deterministic, continuous</t>
        </is>
      </c>
      <c r="K88" s="42" t="inlineStr">
        <is>
          <t>Pipeline</t>
        </is>
      </c>
      <c r="L88" s="42" t="inlineStr">
        <is>
          <t>Not assessed</t>
        </is>
      </c>
      <c r="M88" s="40" t="n"/>
      <c r="N88" s="40" t="n"/>
      <c r="O88" s="42" t="inlineStr">
        <is>
          <t>Medium</t>
        </is>
      </c>
      <c r="P88" s="43">
        <f>IF(H88="N/A","N/A",INDEX(CRIT_MATRIX,MATCH(O88,CRIT_MATRIX_ROWS,0),MATCH(APP_RISK_TIER,CRIT_MATRIX_COLS,0)))</f>
        <v/>
      </c>
    </row>
    <row r="89" ht="39.75" customHeight="1" s="19">
      <c r="A89" s="42" t="inlineStr">
        <is>
          <t>V4.3.1</t>
        </is>
      </c>
      <c r="B89" s="40" t="inlineStr">
        <is>
          <t>V4 - API and Web Service</t>
        </is>
      </c>
      <c r="C89" s="40" t="inlineStr">
        <is>
          <t>V4.3 - GraphQL</t>
        </is>
      </c>
      <c r="D89" s="42" t="n">
        <v>2</v>
      </c>
      <c r="E89" s="40" t="inlineStr">
        <is>
          <t>Verify that a query allowlist, depth limiting, amount limiting, or query cost analysis is used to prevent GraphQL or data layer expression Denial of Service (DoS) as a result of expensive, nested queries.</t>
        </is>
      </c>
      <c r="F89" s="40" t="inlineStr">
        <is>
          <t>If exposes an API</t>
        </is>
      </c>
      <c r="G89" s="42" t="inlineStr">
        <is>
          <t>API_EXPOSED="Yes"</t>
        </is>
      </c>
      <c r="H89" s="43">
        <f>IF(AND(API_EXPOSED="Yes",D89&lt;=TARGET_LEVEL_NUM),"Applicable","N/A")</f>
        <v/>
      </c>
      <c r="I89" s="40" t="inlineStr">
        <is>
          <t>SAST + DAST</t>
        </is>
      </c>
      <c r="J89" s="40" t="inlineStr">
        <is>
          <t>Deterministic, continuous</t>
        </is>
      </c>
      <c r="K89" s="42" t="inlineStr">
        <is>
          <t>Pipeline</t>
        </is>
      </c>
      <c r="L89" s="42" t="inlineStr">
        <is>
          <t>Not assessed</t>
        </is>
      </c>
      <c r="M89" s="40" t="n"/>
      <c r="N89" s="40" t="n"/>
      <c r="O89" s="42" t="inlineStr">
        <is>
          <t>Medium</t>
        </is>
      </c>
      <c r="P89" s="43">
        <f>IF(H89="N/A","N/A",INDEX(CRIT_MATRIX,MATCH(O89,CRIT_MATRIX_ROWS,0),MATCH(APP_RISK_TIER,CRIT_MATRIX_COLS,0)))</f>
        <v/>
      </c>
    </row>
    <row r="90" ht="39.75" customHeight="1" s="19">
      <c r="A90" s="42" t="inlineStr">
        <is>
          <t>V4.3.2</t>
        </is>
      </c>
      <c r="B90" s="40" t="inlineStr">
        <is>
          <t>V4 - API and Web Service</t>
        </is>
      </c>
      <c r="C90" s="40" t="inlineStr">
        <is>
          <t>V4.3 - GraphQL</t>
        </is>
      </c>
      <c r="D90" s="42" t="n">
        <v>2</v>
      </c>
      <c r="E90" s="40" t="inlineStr">
        <is>
          <t>Verify that GraphQL introspection queries are disabled in the production environment unless the GraphQL API is meant to be used by other parties.</t>
        </is>
      </c>
      <c r="F90" s="40" t="inlineStr">
        <is>
          <t>If exposes an API</t>
        </is>
      </c>
      <c r="G90" s="42" t="inlineStr">
        <is>
          <t>API_EXPOSED="Yes"</t>
        </is>
      </c>
      <c r="H90" s="43">
        <f>IF(AND(API_EXPOSED="Yes",D90&lt;=TARGET_LEVEL_NUM),"Applicable","N/A")</f>
        <v/>
      </c>
      <c r="I90" s="40" t="inlineStr">
        <is>
          <t>SAST + DAST</t>
        </is>
      </c>
      <c r="J90" s="40" t="inlineStr">
        <is>
          <t>Deterministic, continuous</t>
        </is>
      </c>
      <c r="K90" s="42" t="inlineStr">
        <is>
          <t>Pipeline</t>
        </is>
      </c>
      <c r="L90" s="42" t="inlineStr">
        <is>
          <t>Not assessed</t>
        </is>
      </c>
      <c r="M90" s="40" t="n"/>
      <c r="N90" s="40" t="n"/>
      <c r="O90" s="42" t="inlineStr">
        <is>
          <t>Medium</t>
        </is>
      </c>
      <c r="P90" s="43">
        <f>IF(H90="N/A","N/A",INDEX(CRIT_MATRIX,MATCH(O90,CRIT_MATRIX_ROWS,0),MATCH(APP_RISK_TIER,CRIT_MATRIX_COLS,0)))</f>
        <v/>
      </c>
    </row>
    <row r="91" ht="39.75" customHeight="1" s="19">
      <c r="A91" s="42" t="inlineStr">
        <is>
          <t>V4.4.1</t>
        </is>
      </c>
      <c r="B91" s="40" t="inlineStr">
        <is>
          <t>V4 - API and Web Service</t>
        </is>
      </c>
      <c r="C91" s="40" t="inlineStr">
        <is>
          <t>V4.4 - WebSocket</t>
        </is>
      </c>
      <c r="D91" s="42" t="n">
        <v>1</v>
      </c>
      <c r="E91" s="40" t="inlineStr">
        <is>
          <t>Verify that WebSocket over TLS (WSS) is used for all WebSocket connections.</t>
        </is>
      </c>
      <c r="F91" s="40" t="inlineStr">
        <is>
          <t>If exposes an API</t>
        </is>
      </c>
      <c r="G91" s="42" t="inlineStr">
        <is>
          <t>API_EXPOSED="Yes"</t>
        </is>
      </c>
      <c r="H91" s="43">
        <f>IF(AND(API_EXPOSED="Yes",D91&lt;=TARGET_LEVEL_NUM),"Applicable","N/A")</f>
        <v/>
      </c>
      <c r="I91" s="40" t="inlineStr">
        <is>
          <t>SAST + DAST</t>
        </is>
      </c>
      <c r="J91" s="40" t="inlineStr">
        <is>
          <t>Deterministic, continuous</t>
        </is>
      </c>
      <c r="K91" s="42" t="inlineStr">
        <is>
          <t>Pipeline</t>
        </is>
      </c>
      <c r="L91" s="42" t="inlineStr">
        <is>
          <t>Not assessed</t>
        </is>
      </c>
      <c r="M91" s="40" t="n"/>
      <c r="N91" s="40" t="n"/>
      <c r="O91" s="42" t="inlineStr">
        <is>
          <t>Medium</t>
        </is>
      </c>
      <c r="P91" s="43">
        <f>IF(H91="N/A","N/A",INDEX(CRIT_MATRIX,MATCH(O91,CRIT_MATRIX_ROWS,0),MATCH(APP_RISK_TIER,CRIT_MATRIX_COLS,0)))</f>
        <v/>
      </c>
    </row>
    <row r="92" ht="39.75" customHeight="1" s="19">
      <c r="A92" s="42" t="inlineStr">
        <is>
          <t>V4.4.2</t>
        </is>
      </c>
      <c r="B92" s="40" t="inlineStr">
        <is>
          <t>V4 - API and Web Service</t>
        </is>
      </c>
      <c r="C92" s="40" t="inlineStr">
        <is>
          <t>V4.4 - WebSocket</t>
        </is>
      </c>
      <c r="D92" s="42" t="n">
        <v>2</v>
      </c>
      <c r="E92" s="40" t="inlineStr">
        <is>
          <t>Verify that, during the initial HTTP WebSocket handshake, the Origin header field is checked against a list of origins allowed for the application.</t>
        </is>
      </c>
      <c r="F92" s="40" t="inlineStr">
        <is>
          <t>If exposes an API</t>
        </is>
      </c>
      <c r="G92" s="42" t="inlineStr">
        <is>
          <t>API_EXPOSED="Yes"</t>
        </is>
      </c>
      <c r="H92" s="43">
        <f>IF(AND(API_EXPOSED="Yes",D92&lt;=TARGET_LEVEL_NUM),"Applicable","N/A")</f>
        <v/>
      </c>
      <c r="I92" s="40" t="inlineStr">
        <is>
          <t>SAST + DAST</t>
        </is>
      </c>
      <c r="J92" s="40" t="inlineStr">
        <is>
          <t>Deterministic, continuous</t>
        </is>
      </c>
      <c r="K92" s="42" t="inlineStr">
        <is>
          <t>Pipeline</t>
        </is>
      </c>
      <c r="L92" s="42" t="inlineStr">
        <is>
          <t>Not assessed</t>
        </is>
      </c>
      <c r="M92" s="40" t="n"/>
      <c r="N92" s="40" t="n"/>
      <c r="O92" s="42" t="inlineStr">
        <is>
          <t>Medium</t>
        </is>
      </c>
      <c r="P92" s="43">
        <f>IF(H92="N/A","N/A",INDEX(CRIT_MATRIX,MATCH(O92,CRIT_MATRIX_ROWS,0),MATCH(APP_RISK_TIER,CRIT_MATRIX_COLS,0)))</f>
        <v/>
      </c>
    </row>
    <row r="93" ht="39.75" customHeight="1" s="19">
      <c r="A93" s="42" t="inlineStr">
        <is>
          <t>V4.4.3</t>
        </is>
      </c>
      <c r="B93" s="40" t="inlineStr">
        <is>
          <t>V4 - API and Web Service</t>
        </is>
      </c>
      <c r="C93" s="40" t="inlineStr">
        <is>
          <t>V4.4 - WebSocket</t>
        </is>
      </c>
      <c r="D93" s="42" t="n">
        <v>2</v>
      </c>
      <c r="E93" s="40" t="inlineStr">
        <is>
          <t>Verify that, if the application's standard session management cannot be used, dedicated tokens are being used for this, which comply with the relevant Session Management security requirements.</t>
        </is>
      </c>
      <c r="F93" s="40" t="inlineStr">
        <is>
          <t>If exposes an API</t>
        </is>
      </c>
      <c r="G93" s="42" t="inlineStr">
        <is>
          <t>API_EXPOSED="Yes"</t>
        </is>
      </c>
      <c r="H93" s="43">
        <f>IF(AND(API_EXPOSED="Yes",D93&lt;=TARGET_LEVEL_NUM),"Applicable","N/A")</f>
        <v/>
      </c>
      <c r="I93" s="40" t="inlineStr">
        <is>
          <t>SAST + DAST</t>
        </is>
      </c>
      <c r="J93" s="40" t="inlineStr">
        <is>
          <t>Deterministic, continuous</t>
        </is>
      </c>
      <c r="K93" s="42" t="inlineStr">
        <is>
          <t>Pipeline</t>
        </is>
      </c>
      <c r="L93" s="42" t="inlineStr">
        <is>
          <t>Not assessed</t>
        </is>
      </c>
      <c r="M93" s="40" t="n"/>
      <c r="N93" s="40" t="n"/>
      <c r="O93" s="42" t="inlineStr">
        <is>
          <t>Medium</t>
        </is>
      </c>
      <c r="P93" s="43">
        <f>IF(H93="N/A","N/A",INDEX(CRIT_MATRIX,MATCH(O93,CRIT_MATRIX_ROWS,0),MATCH(APP_RISK_TIER,CRIT_MATRIX_COLS,0)))</f>
        <v/>
      </c>
    </row>
    <row r="94" ht="39.75" customHeight="1" s="19">
      <c r="A94" s="42" t="inlineStr">
        <is>
          <t>V4.4.4</t>
        </is>
      </c>
      <c r="B94" s="40" t="inlineStr">
        <is>
          <t>V4 - API and Web Service</t>
        </is>
      </c>
      <c r="C94" s="40" t="inlineStr">
        <is>
          <t>V4.4 - WebSocket</t>
        </is>
      </c>
      <c r="D94" s="42" t="n">
        <v>2</v>
      </c>
      <c r="E94" s="40" t="inlineStr">
        <is>
          <t>Verify that dedicated WebSocket session management tokens are initially obtained or validated through the previously authenticated HTTPS session when transitioning an existing HTTPS session to a WebSocket channel.</t>
        </is>
      </c>
      <c r="F94" s="40" t="inlineStr">
        <is>
          <t>If exposes an API</t>
        </is>
      </c>
      <c r="G94" s="42" t="inlineStr">
        <is>
          <t>API_EXPOSED="Yes"</t>
        </is>
      </c>
      <c r="H94" s="43">
        <f>IF(AND(API_EXPOSED="Yes",D94&lt;=TARGET_LEVEL_NUM),"Applicable","N/A")</f>
        <v/>
      </c>
      <c r="I94" s="40" t="inlineStr">
        <is>
          <t>SAST + DAST</t>
        </is>
      </c>
      <c r="J94" s="40" t="inlineStr">
        <is>
          <t>Deterministic, continuous</t>
        </is>
      </c>
      <c r="K94" s="42" t="inlineStr">
        <is>
          <t>Pipeline</t>
        </is>
      </c>
      <c r="L94" s="42" t="inlineStr">
        <is>
          <t>Not assessed</t>
        </is>
      </c>
      <c r="M94" s="40" t="n"/>
      <c r="N94" s="40" t="n"/>
      <c r="O94" s="42" t="inlineStr">
        <is>
          <t>Medium</t>
        </is>
      </c>
      <c r="P94" s="43">
        <f>IF(H94="N/A","N/A",INDEX(CRIT_MATRIX,MATCH(O94,CRIT_MATRIX_ROWS,0),MATCH(APP_RISK_TIER,CRIT_MATRIX_COLS,0)))</f>
        <v/>
      </c>
    </row>
    <row r="95" ht="39.75" customHeight="1" s="19">
      <c r="A95" s="42" t="inlineStr">
        <is>
          <t>V5.1.1</t>
        </is>
      </c>
      <c r="B95" s="40" t="inlineStr">
        <is>
          <t>V5 - File Handling</t>
        </is>
      </c>
      <c r="C95" s="40" t="inlineStr">
        <is>
          <t>V5.1 - File Handling Documentation</t>
        </is>
      </c>
      <c r="D95" s="42" t="n">
        <v>2</v>
      </c>
      <c r="E95" s="40" t="inlineStr">
        <is>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is>
      </c>
      <c r="F95" s="40" t="inlineStr">
        <is>
          <t>If handles file upload/storage</t>
        </is>
      </c>
      <c r="G95" s="42" t="inlineStr">
        <is>
          <t>FILE_HANDLING="Yes"</t>
        </is>
      </c>
      <c r="H95" s="43">
        <f>IF(AND(FILE_HANDLING="Yes",D95&lt;=TARGET_LEVEL_NUM),"Applicable","N/A")</f>
        <v/>
      </c>
      <c r="I95" s="40" t="inlineStr">
        <is>
          <t>Architecture / documentation review</t>
        </is>
      </c>
      <c r="J95" s="40" t="inlineStr">
        <is>
          <t>Sampled, periodic</t>
        </is>
      </c>
      <c r="K95" s="42" t="inlineStr">
        <is>
          <t>Design/Governance</t>
        </is>
      </c>
      <c r="L95" s="42" t="inlineStr">
        <is>
          <t>Not assessed</t>
        </is>
      </c>
      <c r="M95" s="40" t="n"/>
      <c r="N95" s="40" t="n"/>
      <c r="O95" s="42" t="inlineStr">
        <is>
          <t>High</t>
        </is>
      </c>
      <c r="P95" s="43">
        <f>IF(H95="N/A","N/A",INDEX(CRIT_MATRIX,MATCH(O95,CRIT_MATRIX_ROWS,0),MATCH(APP_RISK_TIER,CRIT_MATRIX_COLS,0)))</f>
        <v/>
      </c>
    </row>
    <row r="96" ht="39.75" customHeight="1" s="19">
      <c r="A96" s="42" t="inlineStr">
        <is>
          <t>V5.2.1</t>
        </is>
      </c>
      <c r="B96" s="40" t="inlineStr">
        <is>
          <t>V5 - File Handling</t>
        </is>
      </c>
      <c r="C96" s="40" t="inlineStr">
        <is>
          <t>V5.2 - File Upload and Content</t>
        </is>
      </c>
      <c r="D96" s="42" t="n">
        <v>1</v>
      </c>
      <c r="E96" s="40" t="inlineStr">
        <is>
          <t>Verify that the application will only accept files of a size which it can process without causing a loss of performance or a denial of service attack.</t>
        </is>
      </c>
      <c r="F96" s="40" t="inlineStr">
        <is>
          <t>If handles file upload/storage</t>
        </is>
      </c>
      <c r="G96" s="42" t="inlineStr">
        <is>
          <t>FILE_HANDLING="Yes"</t>
        </is>
      </c>
      <c r="H96" s="43">
        <f>IF(AND(FILE_HANDLING="Yes",D96&lt;=TARGET_LEVEL_NUM),"Applicable","N/A")</f>
        <v/>
      </c>
      <c r="I96" s="40" t="inlineStr">
        <is>
          <t>SAST + DAST / malware scanner</t>
        </is>
      </c>
      <c r="J96" s="40" t="inlineStr">
        <is>
          <t>Deterministic, continuous</t>
        </is>
      </c>
      <c r="K96" s="42" t="inlineStr">
        <is>
          <t>Pipeline</t>
        </is>
      </c>
      <c r="L96" s="42" t="inlineStr">
        <is>
          <t>Not assessed</t>
        </is>
      </c>
      <c r="M96" s="40" t="n"/>
      <c r="N96" s="40" t="n"/>
      <c r="O96" s="42" t="inlineStr">
        <is>
          <t>High</t>
        </is>
      </c>
      <c r="P96" s="43">
        <f>IF(H96="N/A","N/A",INDEX(CRIT_MATRIX,MATCH(O96,CRIT_MATRIX_ROWS,0),MATCH(APP_RISK_TIER,CRIT_MATRIX_COLS,0)))</f>
        <v/>
      </c>
    </row>
    <row r="97" ht="39.75" customHeight="1" s="19">
      <c r="A97" s="42" t="inlineStr">
        <is>
          <t>V5.2.2</t>
        </is>
      </c>
      <c r="B97" s="40" t="inlineStr">
        <is>
          <t>V5 - File Handling</t>
        </is>
      </c>
      <c r="C97" s="40" t="inlineStr">
        <is>
          <t>V5.2 - File Upload and Content</t>
        </is>
      </c>
      <c r="D97" s="42" t="n">
        <v>1</v>
      </c>
      <c r="E97" s="40" t="inlineStr">
        <is>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is>
      </c>
      <c r="F97" s="40" t="inlineStr">
        <is>
          <t>If handles file upload/storage</t>
        </is>
      </c>
      <c r="G97" s="42" t="inlineStr">
        <is>
          <t>FILE_HANDLING="Yes"</t>
        </is>
      </c>
      <c r="H97" s="43">
        <f>IF(AND(FILE_HANDLING="Yes",D97&lt;=TARGET_LEVEL_NUM),"Applicable","N/A")</f>
        <v/>
      </c>
      <c r="I97" s="40" t="inlineStr">
        <is>
          <t>SAST + DAST / malware scanner</t>
        </is>
      </c>
      <c r="J97" s="40" t="inlineStr">
        <is>
          <t>Deterministic, continuous</t>
        </is>
      </c>
      <c r="K97" s="42" t="inlineStr">
        <is>
          <t>Pipeline</t>
        </is>
      </c>
      <c r="L97" s="42" t="inlineStr">
        <is>
          <t>Not assessed</t>
        </is>
      </c>
      <c r="M97" s="40" t="n"/>
      <c r="N97" s="40" t="n"/>
      <c r="O97" s="42" t="inlineStr">
        <is>
          <t>High</t>
        </is>
      </c>
      <c r="P97" s="43">
        <f>IF(H97="N/A","N/A",INDEX(CRIT_MATRIX,MATCH(O97,CRIT_MATRIX_ROWS,0),MATCH(APP_RISK_TIER,CRIT_MATRIX_COLS,0)))</f>
        <v/>
      </c>
    </row>
    <row r="98" ht="39.75" customHeight="1" s="19">
      <c r="A98" s="42" t="inlineStr">
        <is>
          <t>V5.2.3</t>
        </is>
      </c>
      <c r="B98" s="40" t="inlineStr">
        <is>
          <t>V5 - File Handling</t>
        </is>
      </c>
      <c r="C98" s="40" t="inlineStr">
        <is>
          <t>V5.2 - File Upload and Content</t>
        </is>
      </c>
      <c r="D98" s="42" t="n">
        <v>2</v>
      </c>
      <c r="E98" s="40" t="inlineStr">
        <is>
          <t>Verify that the application checks compressed files (e.g., zip, gz, docx, odt) against maximum allowed uncompressed size and against maximum number of files before uncompressing the file.</t>
        </is>
      </c>
      <c r="F98" s="40" t="inlineStr">
        <is>
          <t>If handles file upload/storage</t>
        </is>
      </c>
      <c r="G98" s="42" t="inlineStr">
        <is>
          <t>FILE_HANDLING="Yes"</t>
        </is>
      </c>
      <c r="H98" s="43">
        <f>IF(AND(FILE_HANDLING="Yes",D98&lt;=TARGET_LEVEL_NUM),"Applicable","N/A")</f>
        <v/>
      </c>
      <c r="I98" s="40" t="inlineStr">
        <is>
          <t>SAST + DAST / malware scanner</t>
        </is>
      </c>
      <c r="J98" s="40" t="inlineStr">
        <is>
          <t>Deterministic, continuous</t>
        </is>
      </c>
      <c r="K98" s="42" t="inlineStr">
        <is>
          <t>Pipeline</t>
        </is>
      </c>
      <c r="L98" s="42" t="inlineStr">
        <is>
          <t>Not assessed</t>
        </is>
      </c>
      <c r="M98" s="40" t="n"/>
      <c r="N98" s="40" t="n"/>
      <c r="O98" s="42" t="inlineStr">
        <is>
          <t>High</t>
        </is>
      </c>
      <c r="P98" s="43">
        <f>IF(H98="N/A","N/A",INDEX(CRIT_MATRIX,MATCH(O98,CRIT_MATRIX_ROWS,0),MATCH(APP_RISK_TIER,CRIT_MATRIX_COLS,0)))</f>
        <v/>
      </c>
    </row>
    <row r="99" ht="39.75" customHeight="1" s="19">
      <c r="A99" s="42" t="inlineStr">
        <is>
          <t>V5.2.4</t>
        </is>
      </c>
      <c r="B99" s="40" t="inlineStr">
        <is>
          <t>V5 - File Handling</t>
        </is>
      </c>
      <c r="C99" s="40" t="inlineStr">
        <is>
          <t>V5.2 - File Upload and Content</t>
        </is>
      </c>
      <c r="D99" s="42" t="n">
        <v>3</v>
      </c>
      <c r="E99" s="40" t="inlineStr">
        <is>
          <t>Verify that a file size quota and maximum number of files per user are enforced to ensure that a single user cannot fill up the storage with too many files, or excessively large files.</t>
        </is>
      </c>
      <c r="F99" s="40" t="inlineStr">
        <is>
          <t>If handles file upload/storage</t>
        </is>
      </c>
      <c r="G99" s="42" t="inlineStr">
        <is>
          <t>FILE_HANDLING="Yes"</t>
        </is>
      </c>
      <c r="H99" s="43">
        <f>IF(AND(FILE_HANDLING="Yes",D99&lt;=TARGET_LEVEL_NUM),"Applicable","N/A")</f>
        <v/>
      </c>
      <c r="I99" s="40" t="inlineStr">
        <is>
          <t>SAST + DAST / malware scanner</t>
        </is>
      </c>
      <c r="J99" s="40" t="inlineStr">
        <is>
          <t>Deterministic, continuous</t>
        </is>
      </c>
      <c r="K99" s="42" t="inlineStr">
        <is>
          <t>Pipeline</t>
        </is>
      </c>
      <c r="L99" s="42" t="inlineStr">
        <is>
          <t>Not assessed</t>
        </is>
      </c>
      <c r="M99" s="40" t="n"/>
      <c r="N99" s="40" t="n"/>
      <c r="O99" s="42" t="inlineStr">
        <is>
          <t>High</t>
        </is>
      </c>
      <c r="P99" s="43">
        <f>IF(H99="N/A","N/A",INDEX(CRIT_MATRIX,MATCH(O99,CRIT_MATRIX_ROWS,0),MATCH(APP_RISK_TIER,CRIT_MATRIX_COLS,0)))</f>
        <v/>
      </c>
    </row>
    <row r="100" ht="39.75" customHeight="1" s="19">
      <c r="A100" s="42" t="inlineStr">
        <is>
          <t>V5.2.5</t>
        </is>
      </c>
      <c r="B100" s="40" t="inlineStr">
        <is>
          <t>V5 - File Handling</t>
        </is>
      </c>
      <c r="C100" s="40" t="inlineStr">
        <is>
          <t>V5.2 - File Upload and Content</t>
        </is>
      </c>
      <c r="D100" s="42" t="n">
        <v>3</v>
      </c>
      <c r="E100" s="40" t="inlineStr">
        <is>
          <t>Verify that the application does not allow uploading compressed files containing symlinks unless this is specifically required (in which case it will be necessary to enforce an allowlist of the files that can be symlinked to).</t>
        </is>
      </c>
      <c r="F100" s="40" t="inlineStr">
        <is>
          <t>If handles file upload/storage</t>
        </is>
      </c>
      <c r="G100" s="42" t="inlineStr">
        <is>
          <t>FILE_HANDLING="Yes"</t>
        </is>
      </c>
      <c r="H100" s="43">
        <f>IF(AND(FILE_HANDLING="Yes",D100&lt;=TARGET_LEVEL_NUM),"Applicable","N/A")</f>
        <v/>
      </c>
      <c r="I100" s="40" t="inlineStr">
        <is>
          <t>SAST + DAST / malware scanner</t>
        </is>
      </c>
      <c r="J100" s="40" t="inlineStr">
        <is>
          <t>Deterministic, continuous</t>
        </is>
      </c>
      <c r="K100" s="42" t="inlineStr">
        <is>
          <t>Pipeline</t>
        </is>
      </c>
      <c r="L100" s="42" t="inlineStr">
        <is>
          <t>Not assessed</t>
        </is>
      </c>
      <c r="M100" s="40" t="n"/>
      <c r="N100" s="40" t="n"/>
      <c r="O100" s="42" t="inlineStr">
        <is>
          <t>High</t>
        </is>
      </c>
      <c r="P100" s="43">
        <f>IF(H100="N/A","N/A",INDEX(CRIT_MATRIX,MATCH(O100,CRIT_MATRIX_ROWS,0),MATCH(APP_RISK_TIER,CRIT_MATRIX_COLS,0)))</f>
        <v/>
      </c>
    </row>
    <row r="101" ht="39.75" customHeight="1" s="19">
      <c r="A101" s="42" t="inlineStr">
        <is>
          <t>V5.2.6</t>
        </is>
      </c>
      <c r="B101" s="40" t="inlineStr">
        <is>
          <t>V5 - File Handling</t>
        </is>
      </c>
      <c r="C101" s="40" t="inlineStr">
        <is>
          <t>V5.2 - File Upload and Content</t>
        </is>
      </c>
      <c r="D101" s="42" t="n">
        <v>3</v>
      </c>
      <c r="E101" s="40" t="inlineStr">
        <is>
          <t>Verify that the application rejects uploaded images with a pixel size larger than the maximum allowed, to prevent pixel flood attacks.</t>
        </is>
      </c>
      <c r="F101" s="40" t="inlineStr">
        <is>
          <t>If handles file upload/storage</t>
        </is>
      </c>
      <c r="G101" s="42" t="inlineStr">
        <is>
          <t>FILE_HANDLING="Yes"</t>
        </is>
      </c>
      <c r="H101" s="43">
        <f>IF(AND(FILE_HANDLING="Yes",D101&lt;=TARGET_LEVEL_NUM),"Applicable","N/A")</f>
        <v/>
      </c>
      <c r="I101" s="40" t="inlineStr">
        <is>
          <t>SAST + DAST / malware scanner</t>
        </is>
      </c>
      <c r="J101" s="40" t="inlineStr">
        <is>
          <t>Deterministic, continuous</t>
        </is>
      </c>
      <c r="K101" s="42" t="inlineStr">
        <is>
          <t>Pipeline</t>
        </is>
      </c>
      <c r="L101" s="42" t="inlineStr">
        <is>
          <t>Not assessed</t>
        </is>
      </c>
      <c r="M101" s="40" t="n"/>
      <c r="N101" s="40" t="n"/>
      <c r="O101" s="42" t="inlineStr">
        <is>
          <t>High</t>
        </is>
      </c>
      <c r="P101" s="43">
        <f>IF(H101="N/A","N/A",INDEX(CRIT_MATRIX,MATCH(O101,CRIT_MATRIX_ROWS,0),MATCH(APP_RISK_TIER,CRIT_MATRIX_COLS,0)))</f>
        <v/>
      </c>
    </row>
    <row r="102" ht="39.75" customHeight="1" s="19">
      <c r="A102" s="42" t="inlineStr">
        <is>
          <t>V5.3.1</t>
        </is>
      </c>
      <c r="B102" s="40" t="inlineStr">
        <is>
          <t>V5 - File Handling</t>
        </is>
      </c>
      <c r="C102" s="40" t="inlineStr">
        <is>
          <t>V5.3 - File Storage</t>
        </is>
      </c>
      <c r="D102" s="42" t="n">
        <v>1</v>
      </c>
      <c r="E102" s="40" t="inlineStr">
        <is>
          <t>Verify that files uploaded or generated by untrusted input and stored in a public folder, are not executed as server-side program code when accessed directly with an HTTP request.</t>
        </is>
      </c>
      <c r="F102" s="40" t="inlineStr">
        <is>
          <t>If handles file upload/storage</t>
        </is>
      </c>
      <c r="G102" s="42" t="inlineStr">
        <is>
          <t>FILE_HANDLING="Yes"</t>
        </is>
      </c>
      <c r="H102" s="43">
        <f>IF(AND(FILE_HANDLING="Yes",D102&lt;=TARGET_LEVEL_NUM),"Applicable","N/A")</f>
        <v/>
      </c>
      <c r="I102" s="40" t="inlineStr">
        <is>
          <t>SAST + DAST / malware scanner</t>
        </is>
      </c>
      <c r="J102" s="40" t="inlineStr">
        <is>
          <t>Deterministic, continuous</t>
        </is>
      </c>
      <c r="K102" s="42" t="inlineStr">
        <is>
          <t>Pipeline</t>
        </is>
      </c>
      <c r="L102" s="42" t="inlineStr">
        <is>
          <t>Not assessed</t>
        </is>
      </c>
      <c r="M102" s="40" t="n"/>
      <c r="N102" s="40" t="n"/>
      <c r="O102" s="42" t="inlineStr">
        <is>
          <t>High</t>
        </is>
      </c>
      <c r="P102" s="43">
        <f>IF(H102="N/A","N/A",INDEX(CRIT_MATRIX,MATCH(O102,CRIT_MATRIX_ROWS,0),MATCH(APP_RISK_TIER,CRIT_MATRIX_COLS,0)))</f>
        <v/>
      </c>
    </row>
    <row r="103" ht="39.75" customHeight="1" s="19">
      <c r="A103" s="42" t="inlineStr">
        <is>
          <t>V5.3.2</t>
        </is>
      </c>
      <c r="B103" s="40" t="inlineStr">
        <is>
          <t>V5 - File Handling</t>
        </is>
      </c>
      <c r="C103" s="40" t="inlineStr">
        <is>
          <t>V5.3 - File Storage</t>
        </is>
      </c>
      <c r="D103" s="42" t="n">
        <v>1</v>
      </c>
      <c r="E103" s="40" t="inlineStr">
        <is>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is>
      </c>
      <c r="F103" s="40" t="inlineStr">
        <is>
          <t>If handles file upload/storage</t>
        </is>
      </c>
      <c r="G103" s="42" t="inlineStr">
        <is>
          <t>FILE_HANDLING="Yes"</t>
        </is>
      </c>
      <c r="H103" s="43">
        <f>IF(AND(FILE_HANDLING="Yes",D103&lt;=TARGET_LEVEL_NUM),"Applicable","N/A")</f>
        <v/>
      </c>
      <c r="I103" s="40" t="inlineStr">
        <is>
          <t>SAST + DAST / malware scanner</t>
        </is>
      </c>
      <c r="J103" s="40" t="inlineStr">
        <is>
          <t>Deterministic, continuous</t>
        </is>
      </c>
      <c r="K103" s="42" t="inlineStr">
        <is>
          <t>Pipeline</t>
        </is>
      </c>
      <c r="L103" s="42" t="inlineStr">
        <is>
          <t>Not assessed</t>
        </is>
      </c>
      <c r="M103" s="40" t="n"/>
      <c r="N103" s="40" t="n"/>
      <c r="O103" s="42" t="inlineStr">
        <is>
          <t>High</t>
        </is>
      </c>
      <c r="P103" s="43">
        <f>IF(H103="N/A","N/A",INDEX(CRIT_MATRIX,MATCH(O103,CRIT_MATRIX_ROWS,0),MATCH(APP_RISK_TIER,CRIT_MATRIX_COLS,0)))</f>
        <v/>
      </c>
    </row>
    <row r="104" ht="39.75" customHeight="1" s="19">
      <c r="A104" s="42" t="inlineStr">
        <is>
          <t>V5.3.3</t>
        </is>
      </c>
      <c r="B104" s="40" t="inlineStr">
        <is>
          <t>V5 - File Handling</t>
        </is>
      </c>
      <c r="C104" s="40" t="inlineStr">
        <is>
          <t>V5.3 - File Storage</t>
        </is>
      </c>
      <c r="D104" s="42" t="n">
        <v>3</v>
      </c>
      <c r="E104" s="40" t="inlineStr">
        <is>
          <t>Verify that server-side file processing, such as file decompression, ignores user-provided path information to prevent vulnerabilities such as zip slip.</t>
        </is>
      </c>
      <c r="F104" s="40" t="inlineStr">
        <is>
          <t>If handles file upload/storage</t>
        </is>
      </c>
      <c r="G104" s="42" t="inlineStr">
        <is>
          <t>FILE_HANDLING="Yes"</t>
        </is>
      </c>
      <c r="H104" s="43">
        <f>IF(AND(FILE_HANDLING="Yes",D104&lt;=TARGET_LEVEL_NUM),"Applicable","N/A")</f>
        <v/>
      </c>
      <c r="I104" s="40" t="inlineStr">
        <is>
          <t>SAST + DAST / malware scanner</t>
        </is>
      </c>
      <c r="J104" s="40" t="inlineStr">
        <is>
          <t>Deterministic, continuous</t>
        </is>
      </c>
      <c r="K104" s="42" t="inlineStr">
        <is>
          <t>Pipeline</t>
        </is>
      </c>
      <c r="L104" s="42" t="inlineStr">
        <is>
          <t>Not assessed</t>
        </is>
      </c>
      <c r="M104" s="40" t="n"/>
      <c r="N104" s="40" t="n"/>
      <c r="O104" s="42" t="inlineStr">
        <is>
          <t>High</t>
        </is>
      </c>
      <c r="P104" s="43">
        <f>IF(H104="N/A","N/A",INDEX(CRIT_MATRIX,MATCH(O104,CRIT_MATRIX_ROWS,0),MATCH(APP_RISK_TIER,CRIT_MATRIX_COLS,0)))</f>
        <v/>
      </c>
    </row>
    <row r="105" ht="39.75" customHeight="1" s="19">
      <c r="A105" s="42" t="inlineStr">
        <is>
          <t>V5.4.1</t>
        </is>
      </c>
      <c r="B105" s="40" t="inlineStr">
        <is>
          <t>V5 - File Handling</t>
        </is>
      </c>
      <c r="C105" s="40" t="inlineStr">
        <is>
          <t>V5.4 - File Download</t>
        </is>
      </c>
      <c r="D105" s="42" t="n">
        <v>2</v>
      </c>
      <c r="E105" s="40" t="inlineStr">
        <is>
          <t>Verify that the application validates or ignores user-submitted filenames, including in a JSON, JSONP, or URL parameter and specifies a filename in the Content-Disposition header field in the response.</t>
        </is>
      </c>
      <c r="F105" s="40" t="inlineStr">
        <is>
          <t>If handles file upload/storage</t>
        </is>
      </c>
      <c r="G105" s="42" t="inlineStr">
        <is>
          <t>FILE_HANDLING="Yes"</t>
        </is>
      </c>
      <c r="H105" s="43">
        <f>IF(AND(FILE_HANDLING="Yes",D105&lt;=TARGET_LEVEL_NUM),"Applicable","N/A")</f>
        <v/>
      </c>
      <c r="I105" s="40" t="inlineStr">
        <is>
          <t>SAST + DAST / malware scanner</t>
        </is>
      </c>
      <c r="J105" s="40" t="inlineStr">
        <is>
          <t>Deterministic, continuous</t>
        </is>
      </c>
      <c r="K105" s="42" t="inlineStr">
        <is>
          <t>Pipeline</t>
        </is>
      </c>
      <c r="L105" s="42" t="inlineStr">
        <is>
          <t>Not assessed</t>
        </is>
      </c>
      <c r="M105" s="40" t="n"/>
      <c r="N105" s="40" t="n"/>
      <c r="O105" s="42" t="inlineStr">
        <is>
          <t>High</t>
        </is>
      </c>
      <c r="P105" s="43">
        <f>IF(H105="N/A","N/A",INDEX(CRIT_MATRIX,MATCH(O105,CRIT_MATRIX_ROWS,0),MATCH(APP_RISK_TIER,CRIT_MATRIX_COLS,0)))</f>
        <v/>
      </c>
    </row>
    <row r="106" ht="39.75" customHeight="1" s="19">
      <c r="A106" s="42" t="inlineStr">
        <is>
          <t>V5.4.2</t>
        </is>
      </c>
      <c r="B106" s="40" t="inlineStr">
        <is>
          <t>V5 - File Handling</t>
        </is>
      </c>
      <c r="C106" s="40" t="inlineStr">
        <is>
          <t>V5.4 - File Download</t>
        </is>
      </c>
      <c r="D106" s="42" t="n">
        <v>2</v>
      </c>
      <c r="E106" s="40" t="inlineStr">
        <is>
          <t>Verify that file names served (e.g., in HTTP response header fields or email attachments) are encoded or sanitized (e.g., following RFC 6266) to preserve document structure and prevent injection attacks.</t>
        </is>
      </c>
      <c r="F106" s="40" t="inlineStr">
        <is>
          <t>If handles file upload/storage</t>
        </is>
      </c>
      <c r="G106" s="42" t="inlineStr">
        <is>
          <t>FILE_HANDLING="Yes"</t>
        </is>
      </c>
      <c r="H106" s="43">
        <f>IF(AND(FILE_HANDLING="Yes",D106&lt;=TARGET_LEVEL_NUM),"Applicable","N/A")</f>
        <v/>
      </c>
      <c r="I106" s="40" t="inlineStr">
        <is>
          <t>SAST + DAST / malware scanner</t>
        </is>
      </c>
      <c r="J106" s="40" t="inlineStr">
        <is>
          <t>Deterministic, continuous</t>
        </is>
      </c>
      <c r="K106" s="42" t="inlineStr">
        <is>
          <t>Pipeline</t>
        </is>
      </c>
      <c r="L106" s="42" t="inlineStr">
        <is>
          <t>Not assessed</t>
        </is>
      </c>
      <c r="M106" s="40" t="n"/>
      <c r="N106" s="40" t="n"/>
      <c r="O106" s="42" t="inlineStr">
        <is>
          <t>High</t>
        </is>
      </c>
      <c r="P106" s="43">
        <f>IF(H106="N/A","N/A",INDEX(CRIT_MATRIX,MATCH(O106,CRIT_MATRIX_ROWS,0),MATCH(APP_RISK_TIER,CRIT_MATRIX_COLS,0)))</f>
        <v/>
      </c>
    </row>
    <row r="107" ht="39.75" customHeight="1" s="19">
      <c r="A107" s="42" t="inlineStr">
        <is>
          <t>V5.4.3</t>
        </is>
      </c>
      <c r="B107" s="40" t="inlineStr">
        <is>
          <t>V5 - File Handling</t>
        </is>
      </c>
      <c r="C107" s="40" t="inlineStr">
        <is>
          <t>V5.4 - File Download</t>
        </is>
      </c>
      <c r="D107" s="42" t="n">
        <v>2</v>
      </c>
      <c r="E107" s="40" t="inlineStr">
        <is>
          <t>Verify that files obtained from untrusted sources are scanned by antivirus scanners to prevent serving of known malicious content.</t>
        </is>
      </c>
      <c r="F107" s="40" t="inlineStr">
        <is>
          <t>If handles file upload/storage</t>
        </is>
      </c>
      <c r="G107" s="42" t="inlineStr">
        <is>
          <t>FILE_HANDLING="Yes"</t>
        </is>
      </c>
      <c r="H107" s="43">
        <f>IF(AND(FILE_HANDLING="Yes",D107&lt;=TARGET_LEVEL_NUM),"Applicable","N/A")</f>
        <v/>
      </c>
      <c r="I107" s="40" t="inlineStr">
        <is>
          <t>SAST + DAST / malware scanner</t>
        </is>
      </c>
      <c r="J107" s="40" t="inlineStr">
        <is>
          <t>Deterministic, continuous</t>
        </is>
      </c>
      <c r="K107" s="42" t="inlineStr">
        <is>
          <t>Pipeline</t>
        </is>
      </c>
      <c r="L107" s="42" t="inlineStr">
        <is>
          <t>Not assessed</t>
        </is>
      </c>
      <c r="M107" s="40" t="n"/>
      <c r="N107" s="40" t="n"/>
      <c r="O107" s="42" t="inlineStr">
        <is>
          <t>High</t>
        </is>
      </c>
      <c r="P107" s="43">
        <f>IF(H107="N/A","N/A",INDEX(CRIT_MATRIX,MATCH(O107,CRIT_MATRIX_ROWS,0),MATCH(APP_RISK_TIER,CRIT_MATRIX_COLS,0)))</f>
        <v/>
      </c>
    </row>
    <row r="108" ht="39.75" customHeight="1" s="19">
      <c r="A108" s="42" t="inlineStr">
        <is>
          <t>V6.1.1</t>
        </is>
      </c>
      <c r="B108" s="40" t="inlineStr">
        <is>
          <t>V6 - Authentication</t>
        </is>
      </c>
      <c r="C108" s="40" t="inlineStr">
        <is>
          <t>V6.1 - Authentication Documentation</t>
        </is>
      </c>
      <c r="D108" s="42" t="n">
        <v>1</v>
      </c>
      <c r="E108" s="40" t="inlineStr">
        <is>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is>
      </c>
      <c r="F108" s="40" t="inlineStr">
        <is>
          <t>Always</t>
        </is>
      </c>
      <c r="G108" s="42" t="inlineStr">
        <is>
          <t>TRUE</t>
        </is>
      </c>
      <c r="H108" s="43">
        <f>IF(AND(TRUE(),D108&lt;=TARGET_LEVEL_NUM),"Applicable","N/A")</f>
        <v/>
      </c>
      <c r="I108" s="40" t="inlineStr">
        <is>
          <t>Architecture / documentation review</t>
        </is>
      </c>
      <c r="J108" s="40" t="inlineStr">
        <is>
          <t>Sampled, periodic</t>
        </is>
      </c>
      <c r="K108" s="42" t="inlineStr">
        <is>
          <t>Design/Governance</t>
        </is>
      </c>
      <c r="L108" s="42" t="inlineStr">
        <is>
          <t>Not assessed</t>
        </is>
      </c>
      <c r="M108" s="40" t="n"/>
      <c r="N108" s="40" t="n"/>
      <c r="O108" s="42" t="inlineStr">
        <is>
          <t>High</t>
        </is>
      </c>
      <c r="P108" s="43">
        <f>IF(H108="N/A","N/A",INDEX(CRIT_MATRIX,MATCH(O108,CRIT_MATRIX_ROWS,0),MATCH(APP_RISK_TIER,CRIT_MATRIX_COLS,0)))</f>
        <v/>
      </c>
    </row>
    <row r="109" ht="39.75" customHeight="1" s="19">
      <c r="A109" s="42" t="inlineStr">
        <is>
          <t>V6.1.2</t>
        </is>
      </c>
      <c r="B109" s="40" t="inlineStr">
        <is>
          <t>V6 - Authentication</t>
        </is>
      </c>
      <c r="C109" s="40" t="inlineStr">
        <is>
          <t>V6.1 - Authentication Documentation</t>
        </is>
      </c>
      <c r="D109" s="42" t="n">
        <v>2</v>
      </c>
      <c r="E109" s="40" t="inlineStr">
        <is>
          <t>Verify that a list of context-specific words is documented in order to prevent their use in passwords. The list could include permutations of organization names, product names, system identifiers, project codenames, department or role names, and similar.</t>
        </is>
      </c>
      <c r="F109" s="40" t="inlineStr">
        <is>
          <t>Always</t>
        </is>
      </c>
      <c r="G109" s="42" t="inlineStr">
        <is>
          <t>TRUE</t>
        </is>
      </c>
      <c r="H109" s="43">
        <f>IF(AND(TRUE(),D109&lt;=TARGET_LEVEL_NUM),"Applicable","N/A")</f>
        <v/>
      </c>
      <c r="I109" s="40" t="inlineStr">
        <is>
          <t>Architecture / documentation review</t>
        </is>
      </c>
      <c r="J109" s="40" t="inlineStr">
        <is>
          <t>Sampled, periodic</t>
        </is>
      </c>
      <c r="K109" s="42" t="inlineStr">
        <is>
          <t>Design/Governance</t>
        </is>
      </c>
      <c r="L109" s="42" t="inlineStr">
        <is>
          <t>Not assessed</t>
        </is>
      </c>
      <c r="M109" s="40" t="n"/>
      <c r="N109" s="40" t="n"/>
      <c r="O109" s="42" t="inlineStr">
        <is>
          <t>High</t>
        </is>
      </c>
      <c r="P109" s="43">
        <f>IF(H109="N/A","N/A",INDEX(CRIT_MATRIX,MATCH(O109,CRIT_MATRIX_ROWS,0),MATCH(APP_RISK_TIER,CRIT_MATRIX_COLS,0)))</f>
        <v/>
      </c>
    </row>
    <row r="110" ht="39.75" customHeight="1" s="19">
      <c r="A110" s="42" t="inlineStr">
        <is>
          <t>V6.1.3</t>
        </is>
      </c>
      <c r="B110" s="40" t="inlineStr">
        <is>
          <t>V6 - Authentication</t>
        </is>
      </c>
      <c r="C110" s="40" t="inlineStr">
        <is>
          <t>V6.1 - Authentication Documentation</t>
        </is>
      </c>
      <c r="D110" s="42" t="n">
        <v>2</v>
      </c>
      <c r="E110" s="40" t="inlineStr">
        <is>
          <t>Verify that, if the application includes multiple authentication pathways, these are all documented together with the security controls and authentication strength which must be consistently enforced across them.</t>
        </is>
      </c>
      <c r="F110" s="40" t="inlineStr">
        <is>
          <t>Always</t>
        </is>
      </c>
      <c r="G110" s="42" t="inlineStr">
        <is>
          <t>TRUE</t>
        </is>
      </c>
      <c r="H110" s="43">
        <f>IF(AND(TRUE(),D110&lt;=TARGET_LEVEL_NUM),"Applicable","N/A")</f>
        <v/>
      </c>
      <c r="I110" s="40" t="inlineStr">
        <is>
          <t>Architecture / documentation review</t>
        </is>
      </c>
      <c r="J110" s="40" t="inlineStr">
        <is>
          <t>Sampled, periodic</t>
        </is>
      </c>
      <c r="K110" s="42" t="inlineStr">
        <is>
          <t>Design/Governance</t>
        </is>
      </c>
      <c r="L110" s="42" t="inlineStr">
        <is>
          <t>Not assessed</t>
        </is>
      </c>
      <c r="M110" s="40" t="n"/>
      <c r="N110" s="40" t="n"/>
      <c r="O110" s="42" t="inlineStr">
        <is>
          <t>High</t>
        </is>
      </c>
      <c r="P110" s="43">
        <f>IF(H110="N/A","N/A",INDEX(CRIT_MATRIX,MATCH(O110,CRIT_MATRIX_ROWS,0),MATCH(APP_RISK_TIER,CRIT_MATRIX_COLS,0)))</f>
        <v/>
      </c>
    </row>
    <row r="111" ht="39.75" customHeight="1" s="19">
      <c r="A111" s="42" t="inlineStr">
        <is>
          <t>V6.2.1</t>
        </is>
      </c>
      <c r="B111" s="40" t="inlineStr">
        <is>
          <t>V6 - Authentication</t>
        </is>
      </c>
      <c r="C111" s="40" t="inlineStr">
        <is>
          <t>V6.2 - Password Security</t>
        </is>
      </c>
      <c r="D111" s="42" t="n">
        <v>1</v>
      </c>
      <c r="E111" s="40" t="inlineStr">
        <is>
          <t>Verify that user set passwords are at least 8 characters in length although a minimum of 15 characters is strongly recommended.</t>
        </is>
      </c>
      <c r="F111" s="40" t="inlineStr">
        <is>
          <t>Always</t>
        </is>
      </c>
      <c r="G111" s="42" t="inlineStr">
        <is>
          <t>TRUE</t>
        </is>
      </c>
      <c r="H111" s="43">
        <f>IF(AND(TRUE(),D111&lt;=TARGET_LEVEL_NUM),"Applicable","N/A")</f>
        <v/>
      </c>
      <c r="I111" s="40" t="inlineStr">
        <is>
          <t>SAST + integration testing</t>
        </is>
      </c>
      <c r="J111" s="40" t="inlineStr">
        <is>
          <t>Deterministic, continuous</t>
        </is>
      </c>
      <c r="K111" s="42" t="inlineStr">
        <is>
          <t>Pipeline</t>
        </is>
      </c>
      <c r="L111" s="42" t="inlineStr">
        <is>
          <t>Not assessed</t>
        </is>
      </c>
      <c r="M111" s="40" t="n"/>
      <c r="N111" s="40" t="n"/>
      <c r="O111" s="42" t="inlineStr">
        <is>
          <t>High</t>
        </is>
      </c>
      <c r="P111" s="43">
        <f>IF(H111="N/A","N/A",INDEX(CRIT_MATRIX,MATCH(O111,CRIT_MATRIX_ROWS,0),MATCH(APP_RISK_TIER,CRIT_MATRIX_COLS,0)))</f>
        <v/>
      </c>
    </row>
    <row r="112" ht="39.75" customHeight="1" s="19">
      <c r="A112" s="42" t="inlineStr">
        <is>
          <t>V6.2.2</t>
        </is>
      </c>
      <c r="B112" s="40" t="inlineStr">
        <is>
          <t>V6 - Authentication</t>
        </is>
      </c>
      <c r="C112" s="40" t="inlineStr">
        <is>
          <t>V6.2 - Password Security</t>
        </is>
      </c>
      <c r="D112" s="42" t="n">
        <v>1</v>
      </c>
      <c r="E112" s="40" t="inlineStr">
        <is>
          <t>Verify that users can change their password.</t>
        </is>
      </c>
      <c r="F112" s="40" t="inlineStr">
        <is>
          <t>Always</t>
        </is>
      </c>
      <c r="G112" s="42" t="inlineStr">
        <is>
          <t>TRUE</t>
        </is>
      </c>
      <c r="H112" s="43">
        <f>IF(AND(TRUE(),D112&lt;=TARGET_LEVEL_NUM),"Applicable","N/A")</f>
        <v/>
      </c>
      <c r="I112" s="40" t="inlineStr">
        <is>
          <t>SAST + integration testing</t>
        </is>
      </c>
      <c r="J112" s="40" t="inlineStr">
        <is>
          <t>Deterministic, continuous</t>
        </is>
      </c>
      <c r="K112" s="42" t="inlineStr">
        <is>
          <t>Pipeline</t>
        </is>
      </c>
      <c r="L112" s="42" t="inlineStr">
        <is>
          <t>Not assessed</t>
        </is>
      </c>
      <c r="M112" s="40" t="n"/>
      <c r="N112" s="40" t="n"/>
      <c r="O112" s="42" t="inlineStr">
        <is>
          <t>High</t>
        </is>
      </c>
      <c r="P112" s="43">
        <f>IF(H112="N/A","N/A",INDEX(CRIT_MATRIX,MATCH(O112,CRIT_MATRIX_ROWS,0),MATCH(APP_RISK_TIER,CRIT_MATRIX_COLS,0)))</f>
        <v/>
      </c>
    </row>
    <row r="113" ht="39.75" customHeight="1" s="19">
      <c r="A113" s="42" t="inlineStr">
        <is>
          <t>V6.2.3</t>
        </is>
      </c>
      <c r="B113" s="40" t="inlineStr">
        <is>
          <t>V6 - Authentication</t>
        </is>
      </c>
      <c r="C113" s="40" t="inlineStr">
        <is>
          <t>V6.2 - Password Security</t>
        </is>
      </c>
      <c r="D113" s="42" t="n">
        <v>1</v>
      </c>
      <c r="E113" s="40" t="inlineStr">
        <is>
          <t>Verify that password change functionality requires the user's current and new password.</t>
        </is>
      </c>
      <c r="F113" s="40" t="inlineStr">
        <is>
          <t>Always</t>
        </is>
      </c>
      <c r="G113" s="42" t="inlineStr">
        <is>
          <t>TRUE</t>
        </is>
      </c>
      <c r="H113" s="43">
        <f>IF(AND(TRUE(),D113&lt;=TARGET_LEVEL_NUM),"Applicable","N/A")</f>
        <v/>
      </c>
      <c r="I113" s="40" t="inlineStr">
        <is>
          <t>SAST + integration testing</t>
        </is>
      </c>
      <c r="J113" s="40" t="inlineStr">
        <is>
          <t>Deterministic, continuous</t>
        </is>
      </c>
      <c r="K113" s="42" t="inlineStr">
        <is>
          <t>Pipeline</t>
        </is>
      </c>
      <c r="L113" s="42" t="inlineStr">
        <is>
          <t>Not assessed</t>
        </is>
      </c>
      <c r="M113" s="40" t="n"/>
      <c r="N113" s="40" t="n"/>
      <c r="O113" s="42" t="inlineStr">
        <is>
          <t>High</t>
        </is>
      </c>
      <c r="P113" s="43">
        <f>IF(H113="N/A","N/A",INDEX(CRIT_MATRIX,MATCH(O113,CRIT_MATRIX_ROWS,0),MATCH(APP_RISK_TIER,CRIT_MATRIX_COLS,0)))</f>
        <v/>
      </c>
    </row>
    <row r="114" ht="39.75" customHeight="1" s="19">
      <c r="A114" s="42" t="inlineStr">
        <is>
          <t>V6.2.4</t>
        </is>
      </c>
      <c r="B114" s="40" t="inlineStr">
        <is>
          <t>V6 - Authentication</t>
        </is>
      </c>
      <c r="C114" s="40" t="inlineStr">
        <is>
          <t>V6.2 - Password Security</t>
        </is>
      </c>
      <c r="D114" s="42" t="n">
        <v>1</v>
      </c>
      <c r="E114" s="40" t="inlineStr">
        <is>
          <t>Verify that passwords submitted during account registration or password change are checked against an available set of, at least, the top 3000 passwords which match the application's password policy, e.g. minimum length.</t>
        </is>
      </c>
      <c r="F114" s="40" t="inlineStr">
        <is>
          <t>Always</t>
        </is>
      </c>
      <c r="G114" s="42" t="inlineStr">
        <is>
          <t>TRUE</t>
        </is>
      </c>
      <c r="H114" s="43">
        <f>IF(AND(TRUE(),D114&lt;=TARGET_LEVEL_NUM),"Applicable","N/A")</f>
        <v/>
      </c>
      <c r="I114" s="40" t="inlineStr">
        <is>
          <t>SAST + integration testing</t>
        </is>
      </c>
      <c r="J114" s="40" t="inlineStr">
        <is>
          <t>Deterministic, continuous</t>
        </is>
      </c>
      <c r="K114" s="42" t="inlineStr">
        <is>
          <t>Pipeline</t>
        </is>
      </c>
      <c r="L114" s="42" t="inlineStr">
        <is>
          <t>Not assessed</t>
        </is>
      </c>
      <c r="M114" s="40" t="n"/>
      <c r="N114" s="40" t="n"/>
      <c r="O114" s="42" t="inlineStr">
        <is>
          <t>High</t>
        </is>
      </c>
      <c r="P114" s="43">
        <f>IF(H114="N/A","N/A",INDEX(CRIT_MATRIX,MATCH(O114,CRIT_MATRIX_ROWS,0),MATCH(APP_RISK_TIER,CRIT_MATRIX_COLS,0)))</f>
        <v/>
      </c>
    </row>
    <row r="115" ht="39.75" customHeight="1" s="19">
      <c r="A115" s="42" t="inlineStr">
        <is>
          <t>V6.2.5</t>
        </is>
      </c>
      <c r="B115" s="40" t="inlineStr">
        <is>
          <t>V6 - Authentication</t>
        </is>
      </c>
      <c r="C115" s="40" t="inlineStr">
        <is>
          <t>V6.2 - Password Security</t>
        </is>
      </c>
      <c r="D115" s="42" t="n">
        <v>1</v>
      </c>
      <c r="E115" s="40" t="inlineStr">
        <is>
          <t>Verify that passwords of any composition can be used, without rules limiting the type of characters permitted. There must be no requirement for a minimum number of upper or lower case characters, numbers, or special characters.</t>
        </is>
      </c>
      <c r="F115" s="40" t="inlineStr">
        <is>
          <t>Always</t>
        </is>
      </c>
      <c r="G115" s="42" t="inlineStr">
        <is>
          <t>TRUE</t>
        </is>
      </c>
      <c r="H115" s="43">
        <f>IF(AND(TRUE(),D115&lt;=TARGET_LEVEL_NUM),"Applicable","N/A")</f>
        <v/>
      </c>
      <c r="I115" s="40" t="inlineStr">
        <is>
          <t>SAST + integration testing</t>
        </is>
      </c>
      <c r="J115" s="40" t="inlineStr">
        <is>
          <t>Deterministic, continuous</t>
        </is>
      </c>
      <c r="K115" s="42" t="inlineStr">
        <is>
          <t>Pipeline</t>
        </is>
      </c>
      <c r="L115" s="42" t="inlineStr">
        <is>
          <t>Not assessed</t>
        </is>
      </c>
      <c r="M115" s="40" t="n"/>
      <c r="N115" s="40" t="n"/>
      <c r="O115" s="42" t="inlineStr">
        <is>
          <t>High</t>
        </is>
      </c>
      <c r="P115" s="43">
        <f>IF(H115="N/A","N/A",INDEX(CRIT_MATRIX,MATCH(O115,CRIT_MATRIX_ROWS,0),MATCH(APP_RISK_TIER,CRIT_MATRIX_COLS,0)))</f>
        <v/>
      </c>
    </row>
    <row r="116" ht="39.75" customHeight="1" s="19">
      <c r="A116" s="42" t="inlineStr">
        <is>
          <t>V6.2.6</t>
        </is>
      </c>
      <c r="B116" s="40" t="inlineStr">
        <is>
          <t>V6 - Authentication</t>
        </is>
      </c>
      <c r="C116" s="40" t="inlineStr">
        <is>
          <t>V6.2 - Password Security</t>
        </is>
      </c>
      <c r="D116" s="42" t="n">
        <v>1</v>
      </c>
      <c r="E116" s="40" t="inlineStr">
        <is>
          <t>Verify that password input fields use type=password to mask the entry. Applications may allow the user to temporarily view the entire masked password, or the last typed character of the password.</t>
        </is>
      </c>
      <c r="F116" s="40" t="inlineStr">
        <is>
          <t>Always</t>
        </is>
      </c>
      <c r="G116" s="42" t="inlineStr">
        <is>
          <t>TRUE</t>
        </is>
      </c>
      <c r="H116" s="43">
        <f>IF(AND(TRUE(),D116&lt;=TARGET_LEVEL_NUM),"Applicable","N/A")</f>
        <v/>
      </c>
      <c r="I116" s="40" t="inlineStr">
        <is>
          <t>SAST + integration testing</t>
        </is>
      </c>
      <c r="J116" s="40" t="inlineStr">
        <is>
          <t>Deterministic, continuous</t>
        </is>
      </c>
      <c r="K116" s="42" t="inlineStr">
        <is>
          <t>Pipeline</t>
        </is>
      </c>
      <c r="L116" s="42" t="inlineStr">
        <is>
          <t>Not assessed</t>
        </is>
      </c>
      <c r="M116" s="40" t="n"/>
      <c r="N116" s="40" t="n"/>
      <c r="O116" s="42" t="inlineStr">
        <is>
          <t>High</t>
        </is>
      </c>
      <c r="P116" s="43">
        <f>IF(H116="N/A","N/A",INDEX(CRIT_MATRIX,MATCH(O116,CRIT_MATRIX_ROWS,0),MATCH(APP_RISK_TIER,CRIT_MATRIX_COLS,0)))</f>
        <v/>
      </c>
    </row>
    <row r="117" ht="39.75" customHeight="1" s="19">
      <c r="A117" s="42" t="inlineStr">
        <is>
          <t>V6.2.7</t>
        </is>
      </c>
      <c r="B117" s="40" t="inlineStr">
        <is>
          <t>V6 - Authentication</t>
        </is>
      </c>
      <c r="C117" s="40" t="inlineStr">
        <is>
          <t>V6.2 - Password Security</t>
        </is>
      </c>
      <c r="D117" s="42" t="n">
        <v>1</v>
      </c>
      <c r="E117" s="40" t="inlineStr">
        <is>
          <t>Verify that "paste" functionality, browser password helpers, and external password managers are permitted.</t>
        </is>
      </c>
      <c r="F117" s="40" t="inlineStr">
        <is>
          <t>Always</t>
        </is>
      </c>
      <c r="G117" s="42" t="inlineStr">
        <is>
          <t>TRUE</t>
        </is>
      </c>
      <c r="H117" s="43">
        <f>IF(AND(TRUE(),D117&lt;=TARGET_LEVEL_NUM),"Applicable","N/A")</f>
        <v/>
      </c>
      <c r="I117" s="40" t="inlineStr">
        <is>
          <t>SAST + integration testing</t>
        </is>
      </c>
      <c r="J117" s="40" t="inlineStr">
        <is>
          <t>Deterministic, continuous</t>
        </is>
      </c>
      <c r="K117" s="42" t="inlineStr">
        <is>
          <t>Pipeline</t>
        </is>
      </c>
      <c r="L117" s="42" t="inlineStr">
        <is>
          <t>Not assessed</t>
        </is>
      </c>
      <c r="M117" s="40" t="n"/>
      <c r="N117" s="40" t="n"/>
      <c r="O117" s="42" t="inlineStr">
        <is>
          <t>High</t>
        </is>
      </c>
      <c r="P117" s="43">
        <f>IF(H117="N/A","N/A",INDEX(CRIT_MATRIX,MATCH(O117,CRIT_MATRIX_ROWS,0),MATCH(APP_RISK_TIER,CRIT_MATRIX_COLS,0)))</f>
        <v/>
      </c>
    </row>
    <row r="118" ht="39.75" customHeight="1" s="19">
      <c r="A118" s="42" t="inlineStr">
        <is>
          <t>V6.2.8</t>
        </is>
      </c>
      <c r="B118" s="40" t="inlineStr">
        <is>
          <t>V6 - Authentication</t>
        </is>
      </c>
      <c r="C118" s="40" t="inlineStr">
        <is>
          <t>V6.2 - Password Security</t>
        </is>
      </c>
      <c r="D118" s="42" t="n">
        <v>1</v>
      </c>
      <c r="E118" s="40" t="inlineStr">
        <is>
          <t>Verify that the application verifies the user's password exactly as received from the user, without any modifications such as truncation or case transformation.</t>
        </is>
      </c>
      <c r="F118" s="40" t="inlineStr">
        <is>
          <t>Always</t>
        </is>
      </c>
      <c r="G118" s="42" t="inlineStr">
        <is>
          <t>TRUE</t>
        </is>
      </c>
      <c r="H118" s="43">
        <f>IF(AND(TRUE(),D118&lt;=TARGET_LEVEL_NUM),"Applicable","N/A")</f>
        <v/>
      </c>
      <c r="I118" s="40" t="inlineStr">
        <is>
          <t>SAST + integration testing</t>
        </is>
      </c>
      <c r="J118" s="40" t="inlineStr">
        <is>
          <t>Deterministic, continuous</t>
        </is>
      </c>
      <c r="K118" s="42" t="inlineStr">
        <is>
          <t>Pipeline</t>
        </is>
      </c>
      <c r="L118" s="42" t="inlineStr">
        <is>
          <t>Not assessed</t>
        </is>
      </c>
      <c r="M118" s="40" t="n"/>
      <c r="N118" s="40" t="n"/>
      <c r="O118" s="42" t="inlineStr">
        <is>
          <t>High</t>
        </is>
      </c>
      <c r="P118" s="43">
        <f>IF(H118="N/A","N/A",INDEX(CRIT_MATRIX,MATCH(O118,CRIT_MATRIX_ROWS,0),MATCH(APP_RISK_TIER,CRIT_MATRIX_COLS,0)))</f>
        <v/>
      </c>
    </row>
    <row r="119" ht="39.75" customHeight="1" s="19">
      <c r="A119" s="42" t="inlineStr">
        <is>
          <t>V6.2.9</t>
        </is>
      </c>
      <c r="B119" s="40" t="inlineStr">
        <is>
          <t>V6 - Authentication</t>
        </is>
      </c>
      <c r="C119" s="40" t="inlineStr">
        <is>
          <t>V6.2 - Password Security</t>
        </is>
      </c>
      <c r="D119" s="42" t="n">
        <v>2</v>
      </c>
      <c r="E119" s="40" t="inlineStr">
        <is>
          <t>Verify that passwords of at least 64 characters are permitted.</t>
        </is>
      </c>
      <c r="F119" s="40" t="inlineStr">
        <is>
          <t>Always</t>
        </is>
      </c>
      <c r="G119" s="42" t="inlineStr">
        <is>
          <t>TRUE</t>
        </is>
      </c>
      <c r="H119" s="43">
        <f>IF(AND(TRUE(),D119&lt;=TARGET_LEVEL_NUM),"Applicable","N/A")</f>
        <v/>
      </c>
      <c r="I119" s="40" t="inlineStr">
        <is>
          <t>SAST + integration testing</t>
        </is>
      </c>
      <c r="J119" s="40" t="inlineStr">
        <is>
          <t>Deterministic, continuous</t>
        </is>
      </c>
      <c r="K119" s="42" t="inlineStr">
        <is>
          <t>Pipeline</t>
        </is>
      </c>
      <c r="L119" s="42" t="inlineStr">
        <is>
          <t>Not assessed</t>
        </is>
      </c>
      <c r="M119" s="40" t="n"/>
      <c r="N119" s="40" t="n"/>
      <c r="O119" s="42" t="inlineStr">
        <is>
          <t>High</t>
        </is>
      </c>
      <c r="P119" s="43">
        <f>IF(H119="N/A","N/A",INDEX(CRIT_MATRIX,MATCH(O119,CRIT_MATRIX_ROWS,0),MATCH(APP_RISK_TIER,CRIT_MATRIX_COLS,0)))</f>
        <v/>
      </c>
    </row>
    <row r="120" ht="39.75" customHeight="1" s="19">
      <c r="A120" s="42" t="inlineStr">
        <is>
          <t>V6.2.10</t>
        </is>
      </c>
      <c r="B120" s="40" t="inlineStr">
        <is>
          <t>V6 - Authentication</t>
        </is>
      </c>
      <c r="C120" s="40" t="inlineStr">
        <is>
          <t>V6.2 - Password Security</t>
        </is>
      </c>
      <c r="D120" s="42" t="n">
        <v>2</v>
      </c>
      <c r="E120" s="40" t="inlineStr">
        <is>
          <t>Verify that a user's password stays valid until it is discovered to be compromised or the user rotates it. The application must not require periodic credential rotation.</t>
        </is>
      </c>
      <c r="F120" s="40" t="inlineStr">
        <is>
          <t>Always</t>
        </is>
      </c>
      <c r="G120" s="42" t="inlineStr">
        <is>
          <t>TRUE</t>
        </is>
      </c>
      <c r="H120" s="43">
        <f>IF(AND(TRUE(),D120&lt;=TARGET_LEVEL_NUM),"Applicable","N/A")</f>
        <v/>
      </c>
      <c r="I120" s="40" t="inlineStr">
        <is>
          <t>SAST + integration testing</t>
        </is>
      </c>
      <c r="J120" s="40" t="inlineStr">
        <is>
          <t>Deterministic, continuous</t>
        </is>
      </c>
      <c r="K120" s="42" t="inlineStr">
        <is>
          <t>Pipeline</t>
        </is>
      </c>
      <c r="L120" s="42" t="inlineStr">
        <is>
          <t>Not assessed</t>
        </is>
      </c>
      <c r="M120" s="40" t="n"/>
      <c r="N120" s="40" t="n"/>
      <c r="O120" s="42" t="inlineStr">
        <is>
          <t>High</t>
        </is>
      </c>
      <c r="P120" s="43">
        <f>IF(H120="N/A","N/A",INDEX(CRIT_MATRIX,MATCH(O120,CRIT_MATRIX_ROWS,0),MATCH(APP_RISK_TIER,CRIT_MATRIX_COLS,0)))</f>
        <v/>
      </c>
    </row>
    <row r="121" ht="39.75" customHeight="1" s="19">
      <c r="A121" s="42" t="inlineStr">
        <is>
          <t>V6.2.11</t>
        </is>
      </c>
      <c r="B121" s="40" t="inlineStr">
        <is>
          <t>V6 - Authentication</t>
        </is>
      </c>
      <c r="C121" s="40" t="inlineStr">
        <is>
          <t>V6.2 - Password Security</t>
        </is>
      </c>
      <c r="D121" s="42" t="n">
        <v>2</v>
      </c>
      <c r="E121" s="40" t="inlineStr">
        <is>
          <t>Verify that the documented list of context specific words is used to prevent easy to guess passwords being created.</t>
        </is>
      </c>
      <c r="F121" s="40" t="inlineStr">
        <is>
          <t>Always</t>
        </is>
      </c>
      <c r="G121" s="42" t="inlineStr">
        <is>
          <t>TRUE</t>
        </is>
      </c>
      <c r="H121" s="43">
        <f>IF(AND(TRUE(),D121&lt;=TARGET_LEVEL_NUM),"Applicable","N/A")</f>
        <v/>
      </c>
      <c r="I121" s="40" t="inlineStr">
        <is>
          <t>SAST + integration testing</t>
        </is>
      </c>
      <c r="J121" s="40" t="inlineStr">
        <is>
          <t>Deterministic, continuous</t>
        </is>
      </c>
      <c r="K121" s="42" t="inlineStr">
        <is>
          <t>Pipeline</t>
        </is>
      </c>
      <c r="L121" s="42" t="inlineStr">
        <is>
          <t>Not assessed</t>
        </is>
      </c>
      <c r="M121" s="40" t="n"/>
      <c r="N121" s="40" t="n"/>
      <c r="O121" s="42" t="inlineStr">
        <is>
          <t>High</t>
        </is>
      </c>
      <c r="P121" s="43">
        <f>IF(H121="N/A","N/A",INDEX(CRIT_MATRIX,MATCH(O121,CRIT_MATRIX_ROWS,0),MATCH(APP_RISK_TIER,CRIT_MATRIX_COLS,0)))</f>
        <v/>
      </c>
    </row>
    <row r="122" ht="39.75" customHeight="1" s="19">
      <c r="A122" s="42" t="inlineStr">
        <is>
          <t>V6.2.12</t>
        </is>
      </c>
      <c r="B122" s="40" t="inlineStr">
        <is>
          <t>V6 - Authentication</t>
        </is>
      </c>
      <c r="C122" s="40" t="inlineStr">
        <is>
          <t>V6.2 - Password Security</t>
        </is>
      </c>
      <c r="D122" s="42" t="n">
        <v>2</v>
      </c>
      <c r="E122" s="40" t="inlineStr">
        <is>
          <t>Verify that passwords submitted during account registration or password changes are checked against a set of breached passwords.</t>
        </is>
      </c>
      <c r="F122" s="40" t="inlineStr">
        <is>
          <t>Always</t>
        </is>
      </c>
      <c r="G122" s="42" t="inlineStr">
        <is>
          <t>TRUE</t>
        </is>
      </c>
      <c r="H122" s="43">
        <f>IF(AND(TRUE(),D122&lt;=TARGET_LEVEL_NUM),"Applicable","N/A")</f>
        <v/>
      </c>
      <c r="I122" s="40" t="inlineStr">
        <is>
          <t>SAST + integration testing</t>
        </is>
      </c>
      <c r="J122" s="40" t="inlineStr">
        <is>
          <t>Deterministic, continuous</t>
        </is>
      </c>
      <c r="K122" s="42" t="inlineStr">
        <is>
          <t>Pipeline</t>
        </is>
      </c>
      <c r="L122" s="42" t="inlineStr">
        <is>
          <t>Not assessed</t>
        </is>
      </c>
      <c r="M122" s="40" t="n"/>
      <c r="N122" s="40" t="n"/>
      <c r="O122" s="42" t="inlineStr">
        <is>
          <t>High</t>
        </is>
      </c>
      <c r="P122" s="43">
        <f>IF(H122="N/A","N/A",INDEX(CRIT_MATRIX,MATCH(O122,CRIT_MATRIX_ROWS,0),MATCH(APP_RISK_TIER,CRIT_MATRIX_COLS,0)))</f>
        <v/>
      </c>
    </row>
    <row r="123" ht="39.75" customHeight="1" s="19">
      <c r="A123" s="42" t="inlineStr">
        <is>
          <t>V6.3.1</t>
        </is>
      </c>
      <c r="B123" s="40" t="inlineStr">
        <is>
          <t>V6 - Authentication</t>
        </is>
      </c>
      <c r="C123" s="40" t="inlineStr">
        <is>
          <t>V6.3 - General Authentication Security</t>
        </is>
      </c>
      <c r="D123" s="42" t="n">
        <v>1</v>
      </c>
      <c r="E123" s="40" t="inlineStr">
        <is>
          <t>Verify that controls to prevent attacks such as credential stuffing and password brute force are implemented according to the application's security documentation.</t>
        </is>
      </c>
      <c r="F123" s="40" t="inlineStr">
        <is>
          <t>Always</t>
        </is>
      </c>
      <c r="G123" s="42" t="inlineStr">
        <is>
          <t>TRUE</t>
        </is>
      </c>
      <c r="H123" s="43">
        <f>IF(AND(TRUE(),D123&lt;=TARGET_LEVEL_NUM),"Applicable","N/A")</f>
        <v/>
      </c>
      <c r="I123" s="40" t="inlineStr">
        <is>
          <t>SAST + integration testing</t>
        </is>
      </c>
      <c r="J123" s="40" t="inlineStr">
        <is>
          <t>Deterministic, continuous</t>
        </is>
      </c>
      <c r="K123" s="42" t="inlineStr">
        <is>
          <t>Pipeline</t>
        </is>
      </c>
      <c r="L123" s="42" t="inlineStr">
        <is>
          <t>Not assessed</t>
        </is>
      </c>
      <c r="M123" s="40" t="n"/>
      <c r="N123" s="40" t="n"/>
      <c r="O123" s="42" t="inlineStr">
        <is>
          <t>High</t>
        </is>
      </c>
      <c r="P123" s="43">
        <f>IF(H123="N/A","N/A",INDEX(CRIT_MATRIX,MATCH(O123,CRIT_MATRIX_ROWS,0),MATCH(APP_RISK_TIER,CRIT_MATRIX_COLS,0)))</f>
        <v/>
      </c>
    </row>
    <row r="124" ht="39.75" customHeight="1" s="19">
      <c r="A124" s="42" t="inlineStr">
        <is>
          <t>V6.3.2</t>
        </is>
      </c>
      <c r="B124" s="40" t="inlineStr">
        <is>
          <t>V6 - Authentication</t>
        </is>
      </c>
      <c r="C124" s="40" t="inlineStr">
        <is>
          <t>V6.3 - General Authentication Security</t>
        </is>
      </c>
      <c r="D124" s="42" t="n">
        <v>1</v>
      </c>
      <c r="E124" s="40" t="inlineStr">
        <is>
          <t>Verify that default user accounts (e.g., "root", "admin", or "sa") are not present in the application or are disabled.</t>
        </is>
      </c>
      <c r="F124" s="40" t="inlineStr">
        <is>
          <t>Always</t>
        </is>
      </c>
      <c r="G124" s="42" t="inlineStr">
        <is>
          <t>TRUE</t>
        </is>
      </c>
      <c r="H124" s="43">
        <f>IF(AND(TRUE(),D124&lt;=TARGET_LEVEL_NUM),"Applicable","N/A")</f>
        <v/>
      </c>
      <c r="I124" s="40" t="inlineStr">
        <is>
          <t>SAST + integration testing</t>
        </is>
      </c>
      <c r="J124" s="40" t="inlineStr">
        <is>
          <t>Deterministic, continuous</t>
        </is>
      </c>
      <c r="K124" s="42" t="inlineStr">
        <is>
          <t>Pipeline</t>
        </is>
      </c>
      <c r="L124" s="42" t="inlineStr">
        <is>
          <t>Not assessed</t>
        </is>
      </c>
      <c r="M124" s="40" t="n"/>
      <c r="N124" s="40" t="n"/>
      <c r="O124" s="42" t="inlineStr">
        <is>
          <t>High</t>
        </is>
      </c>
      <c r="P124" s="43">
        <f>IF(H124="N/A","N/A",INDEX(CRIT_MATRIX,MATCH(O124,CRIT_MATRIX_ROWS,0),MATCH(APP_RISK_TIER,CRIT_MATRIX_COLS,0)))</f>
        <v/>
      </c>
    </row>
    <row r="125" ht="39.75" customHeight="1" s="19">
      <c r="A125" s="42" t="inlineStr">
        <is>
          <t>V6.3.3</t>
        </is>
      </c>
      <c r="B125" s="40" t="inlineStr">
        <is>
          <t>V6 - Authentication</t>
        </is>
      </c>
      <c r="C125" s="40" t="inlineStr">
        <is>
          <t>V6.3 - General Authentication Security</t>
        </is>
      </c>
      <c r="D125" s="42" t="n">
        <v>2</v>
      </c>
      <c r="E125" s="40" t="inlineStr">
        <is>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is>
      </c>
      <c r="F125" s="40" t="inlineStr">
        <is>
          <t>Always</t>
        </is>
      </c>
      <c r="G125" s="42" t="inlineStr">
        <is>
          <t>TRUE</t>
        </is>
      </c>
      <c r="H125" s="43">
        <f>IF(AND(TRUE(),D125&lt;=TARGET_LEVEL_NUM),"Applicable","N/A")</f>
        <v/>
      </c>
      <c r="I125" s="40" t="inlineStr">
        <is>
          <t>SAST + integration testing</t>
        </is>
      </c>
      <c r="J125" s="40" t="inlineStr">
        <is>
          <t>Deterministic, continuous</t>
        </is>
      </c>
      <c r="K125" s="42" t="inlineStr">
        <is>
          <t>Pipeline</t>
        </is>
      </c>
      <c r="L125" s="42" t="inlineStr">
        <is>
          <t>Not assessed</t>
        </is>
      </c>
      <c r="M125" s="40" t="n"/>
      <c r="N125" s="40" t="n"/>
      <c r="O125" s="42" t="inlineStr">
        <is>
          <t>High</t>
        </is>
      </c>
      <c r="P125" s="43">
        <f>IF(H125="N/A","N/A",INDEX(CRIT_MATRIX,MATCH(O125,CRIT_MATRIX_ROWS,0),MATCH(APP_RISK_TIER,CRIT_MATRIX_COLS,0)))</f>
        <v/>
      </c>
    </row>
    <row r="126" ht="39.75" customHeight="1" s="19">
      <c r="A126" s="42" t="inlineStr">
        <is>
          <t>V6.3.4</t>
        </is>
      </c>
      <c r="B126" s="40" t="inlineStr">
        <is>
          <t>V6 - Authentication</t>
        </is>
      </c>
      <c r="C126" s="40" t="inlineStr">
        <is>
          <t>V6.3 - General Authentication Security</t>
        </is>
      </c>
      <c r="D126" s="42" t="n">
        <v>2</v>
      </c>
      <c r="E126" s="40" t="inlineStr">
        <is>
          <t>Verify that, if the application includes multiple authentication pathways, there are no undocumented pathways and that security controls and authentication strength are enforced consistently.</t>
        </is>
      </c>
      <c r="F126" s="40" t="inlineStr">
        <is>
          <t>Always</t>
        </is>
      </c>
      <c r="G126" s="42" t="inlineStr">
        <is>
          <t>TRUE</t>
        </is>
      </c>
      <c r="H126" s="43">
        <f>IF(AND(TRUE(),D126&lt;=TARGET_LEVEL_NUM),"Applicable","N/A")</f>
        <v/>
      </c>
      <c r="I126" s="40" t="inlineStr">
        <is>
          <t>SAST + integration testing</t>
        </is>
      </c>
      <c r="J126" s="40" t="inlineStr">
        <is>
          <t>Deterministic, continuous</t>
        </is>
      </c>
      <c r="K126" s="42" t="inlineStr">
        <is>
          <t>Pipeline</t>
        </is>
      </c>
      <c r="L126" s="42" t="inlineStr">
        <is>
          <t>Not assessed</t>
        </is>
      </c>
      <c r="M126" s="40" t="n"/>
      <c r="N126" s="40" t="n"/>
      <c r="O126" s="42" t="inlineStr">
        <is>
          <t>High</t>
        </is>
      </c>
      <c r="P126" s="43">
        <f>IF(H126="N/A","N/A",INDEX(CRIT_MATRIX,MATCH(O126,CRIT_MATRIX_ROWS,0),MATCH(APP_RISK_TIER,CRIT_MATRIX_COLS,0)))</f>
        <v/>
      </c>
    </row>
    <row r="127" ht="39.75" customHeight="1" s="19">
      <c r="A127" s="42" t="inlineStr">
        <is>
          <t>V6.3.5</t>
        </is>
      </c>
      <c r="B127" s="40" t="inlineStr">
        <is>
          <t>V6 - Authentication</t>
        </is>
      </c>
      <c r="C127" s="40" t="inlineStr">
        <is>
          <t>V6.3 - General Authentication Security</t>
        </is>
      </c>
      <c r="D127" s="42" t="n">
        <v>3</v>
      </c>
      <c r="E127" s="40" t="inlineStr">
        <is>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is>
      </c>
      <c r="F127" s="40" t="inlineStr">
        <is>
          <t>Always</t>
        </is>
      </c>
      <c r="G127" s="42" t="inlineStr">
        <is>
          <t>TRUE</t>
        </is>
      </c>
      <c r="H127" s="43">
        <f>IF(AND(TRUE(),D127&lt;=TARGET_LEVEL_NUM),"Applicable","N/A")</f>
        <v/>
      </c>
      <c r="I127" s="40" t="inlineStr">
        <is>
          <t>SAST + integration testing</t>
        </is>
      </c>
      <c r="J127" s="40" t="inlineStr">
        <is>
          <t>Deterministic, continuous</t>
        </is>
      </c>
      <c r="K127" s="42" t="inlineStr">
        <is>
          <t>Pipeline</t>
        </is>
      </c>
      <c r="L127" s="42" t="inlineStr">
        <is>
          <t>Not assessed</t>
        </is>
      </c>
      <c r="M127" s="40" t="n"/>
      <c r="N127" s="40" t="n"/>
      <c r="O127" s="42" t="inlineStr">
        <is>
          <t>High</t>
        </is>
      </c>
      <c r="P127" s="43">
        <f>IF(H127="N/A","N/A",INDEX(CRIT_MATRIX,MATCH(O127,CRIT_MATRIX_ROWS,0),MATCH(APP_RISK_TIER,CRIT_MATRIX_COLS,0)))</f>
        <v/>
      </c>
    </row>
    <row r="128" ht="39.75" customHeight="1" s="19">
      <c r="A128" s="42" t="inlineStr">
        <is>
          <t>V6.3.6</t>
        </is>
      </c>
      <c r="B128" s="40" t="inlineStr">
        <is>
          <t>V6 - Authentication</t>
        </is>
      </c>
      <c r="C128" s="40" t="inlineStr">
        <is>
          <t>V6.3 - General Authentication Security</t>
        </is>
      </c>
      <c r="D128" s="42" t="n">
        <v>3</v>
      </c>
      <c r="E128" s="40" t="inlineStr">
        <is>
          <t>Verify that email is not used as either a single-factor or multi-factor authentication mechanism.</t>
        </is>
      </c>
      <c r="F128" s="40" t="inlineStr">
        <is>
          <t>Always</t>
        </is>
      </c>
      <c r="G128" s="42" t="inlineStr">
        <is>
          <t>TRUE</t>
        </is>
      </c>
      <c r="H128" s="43">
        <f>IF(AND(TRUE(),D128&lt;=TARGET_LEVEL_NUM),"Applicable","N/A")</f>
        <v/>
      </c>
      <c r="I128" s="40" t="inlineStr">
        <is>
          <t>SAST + integration testing</t>
        </is>
      </c>
      <c r="J128" s="40" t="inlineStr">
        <is>
          <t>Deterministic, continuous</t>
        </is>
      </c>
      <c r="K128" s="42" t="inlineStr">
        <is>
          <t>Pipeline</t>
        </is>
      </c>
      <c r="L128" s="42" t="inlineStr">
        <is>
          <t>Not assessed</t>
        </is>
      </c>
      <c r="M128" s="40" t="n"/>
      <c r="N128" s="40" t="n"/>
      <c r="O128" s="42" t="inlineStr">
        <is>
          <t>High</t>
        </is>
      </c>
      <c r="P128" s="43">
        <f>IF(H128="N/A","N/A",INDEX(CRIT_MATRIX,MATCH(O128,CRIT_MATRIX_ROWS,0),MATCH(APP_RISK_TIER,CRIT_MATRIX_COLS,0)))</f>
        <v/>
      </c>
    </row>
    <row r="129" ht="39.75" customHeight="1" s="19">
      <c r="A129" s="42" t="inlineStr">
        <is>
          <t>V6.3.7</t>
        </is>
      </c>
      <c r="B129" s="40" t="inlineStr">
        <is>
          <t>V6 - Authentication</t>
        </is>
      </c>
      <c r="C129" s="40" t="inlineStr">
        <is>
          <t>V6.3 - General Authentication Security</t>
        </is>
      </c>
      <c r="D129" s="42" t="n">
        <v>3</v>
      </c>
      <c r="E129" s="40" t="inlineStr">
        <is>
          <t>Verify that users are notified after updates to authentication details, such as credential resets or modification of the username or email address.</t>
        </is>
      </c>
      <c r="F129" s="40" t="inlineStr">
        <is>
          <t>Always</t>
        </is>
      </c>
      <c r="G129" s="42" t="inlineStr">
        <is>
          <t>TRUE</t>
        </is>
      </c>
      <c r="H129" s="43">
        <f>IF(AND(TRUE(),D129&lt;=TARGET_LEVEL_NUM),"Applicable","N/A")</f>
        <v/>
      </c>
      <c r="I129" s="40" t="inlineStr">
        <is>
          <t>SAST + integration testing</t>
        </is>
      </c>
      <c r="J129" s="40" t="inlineStr">
        <is>
          <t>Deterministic, continuous</t>
        </is>
      </c>
      <c r="K129" s="42" t="inlineStr">
        <is>
          <t>Pipeline</t>
        </is>
      </c>
      <c r="L129" s="42" t="inlineStr">
        <is>
          <t>Not assessed</t>
        </is>
      </c>
      <c r="M129" s="40" t="n"/>
      <c r="N129" s="40" t="n"/>
      <c r="O129" s="42" t="inlineStr">
        <is>
          <t>High</t>
        </is>
      </c>
      <c r="P129" s="43">
        <f>IF(H129="N/A","N/A",INDEX(CRIT_MATRIX,MATCH(O129,CRIT_MATRIX_ROWS,0),MATCH(APP_RISK_TIER,CRIT_MATRIX_COLS,0)))</f>
        <v/>
      </c>
    </row>
    <row r="130" ht="39.75" customHeight="1" s="19">
      <c r="A130" s="42" t="inlineStr">
        <is>
          <t>V6.3.8</t>
        </is>
      </c>
      <c r="B130" s="40" t="inlineStr">
        <is>
          <t>V6 - Authentication</t>
        </is>
      </c>
      <c r="C130" s="40" t="inlineStr">
        <is>
          <t>V6.3 - General Authentication Security</t>
        </is>
      </c>
      <c r="D130" s="42" t="n">
        <v>3</v>
      </c>
      <c r="E130" s="40" t="inlineStr">
        <is>
          <t>Verify that valid users cannot be deduced from failed authentication challenges, such as by basing on error messages, HTTP response codes, or different response times. Registration and forgot password functionality must also have this protection.</t>
        </is>
      </c>
      <c r="F130" s="40" t="inlineStr">
        <is>
          <t>Always</t>
        </is>
      </c>
      <c r="G130" s="42" t="inlineStr">
        <is>
          <t>TRUE</t>
        </is>
      </c>
      <c r="H130" s="43">
        <f>IF(AND(TRUE(),D130&lt;=TARGET_LEVEL_NUM),"Applicable","N/A")</f>
        <v/>
      </c>
      <c r="I130" s="40" t="inlineStr">
        <is>
          <t>SAST + integration testing</t>
        </is>
      </c>
      <c r="J130" s="40" t="inlineStr">
        <is>
          <t>Deterministic, continuous</t>
        </is>
      </c>
      <c r="K130" s="42" t="inlineStr">
        <is>
          <t>Pipeline</t>
        </is>
      </c>
      <c r="L130" s="42" t="inlineStr">
        <is>
          <t>Not assessed</t>
        </is>
      </c>
      <c r="M130" s="40" t="n"/>
      <c r="N130" s="40" t="n"/>
      <c r="O130" s="42" t="inlineStr">
        <is>
          <t>High</t>
        </is>
      </c>
      <c r="P130" s="43">
        <f>IF(H130="N/A","N/A",INDEX(CRIT_MATRIX,MATCH(O130,CRIT_MATRIX_ROWS,0),MATCH(APP_RISK_TIER,CRIT_MATRIX_COLS,0)))</f>
        <v/>
      </c>
    </row>
    <row r="131" ht="39.75" customHeight="1" s="19">
      <c r="A131" s="42" t="inlineStr">
        <is>
          <t>V6.4.1</t>
        </is>
      </c>
      <c r="B131" s="40" t="inlineStr">
        <is>
          <t>V6 - Authentication</t>
        </is>
      </c>
      <c r="C131" s="40" t="inlineStr">
        <is>
          <t>V6.4 - Authentication Factor Lifecycle and Recovery</t>
        </is>
      </c>
      <c r="D131" s="42" t="n">
        <v>1</v>
      </c>
      <c r="E131" s="40" t="inlineStr">
        <is>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is>
      </c>
      <c r="F131" s="40" t="inlineStr">
        <is>
          <t>Always</t>
        </is>
      </c>
      <c r="G131" s="42" t="inlineStr">
        <is>
          <t>TRUE</t>
        </is>
      </c>
      <c r="H131" s="43">
        <f>IF(AND(TRUE(),D131&lt;=TARGET_LEVEL_NUM),"Applicable","N/A")</f>
        <v/>
      </c>
      <c r="I131" s="40" t="inlineStr">
        <is>
          <t>SAST + integration testing</t>
        </is>
      </c>
      <c r="J131" s="40" t="inlineStr">
        <is>
          <t>Deterministic, continuous</t>
        </is>
      </c>
      <c r="K131" s="42" t="inlineStr">
        <is>
          <t>Pipeline</t>
        </is>
      </c>
      <c r="L131" s="42" t="inlineStr">
        <is>
          <t>Not assessed</t>
        </is>
      </c>
      <c r="M131" s="40" t="n"/>
      <c r="N131" s="40" t="n"/>
      <c r="O131" s="42" t="inlineStr">
        <is>
          <t>High</t>
        </is>
      </c>
      <c r="P131" s="43">
        <f>IF(H131="N/A","N/A",INDEX(CRIT_MATRIX,MATCH(O131,CRIT_MATRIX_ROWS,0),MATCH(APP_RISK_TIER,CRIT_MATRIX_COLS,0)))</f>
        <v/>
      </c>
    </row>
    <row r="132" ht="39.75" customHeight="1" s="19">
      <c r="A132" s="42" t="inlineStr">
        <is>
          <t>V6.4.2</t>
        </is>
      </c>
      <c r="B132" s="40" t="inlineStr">
        <is>
          <t>V6 - Authentication</t>
        </is>
      </c>
      <c r="C132" s="40" t="inlineStr">
        <is>
          <t>V6.4 - Authentication Factor Lifecycle and Recovery</t>
        </is>
      </c>
      <c r="D132" s="42" t="n">
        <v>1</v>
      </c>
      <c r="E132" s="40" t="inlineStr">
        <is>
          <t>Verify that password hints or knowledge-based authentication (so-called "secret questions") are not present.</t>
        </is>
      </c>
      <c r="F132" s="40" t="inlineStr">
        <is>
          <t>Always</t>
        </is>
      </c>
      <c r="G132" s="42" t="inlineStr">
        <is>
          <t>TRUE</t>
        </is>
      </c>
      <c r="H132" s="43">
        <f>IF(AND(TRUE(),D132&lt;=TARGET_LEVEL_NUM),"Applicable","N/A")</f>
        <v/>
      </c>
      <c r="I132" s="40" t="inlineStr">
        <is>
          <t>SAST + integration testing</t>
        </is>
      </c>
      <c r="J132" s="40" t="inlineStr">
        <is>
          <t>Deterministic, continuous</t>
        </is>
      </c>
      <c r="K132" s="42" t="inlineStr">
        <is>
          <t>Pipeline</t>
        </is>
      </c>
      <c r="L132" s="42" t="inlineStr">
        <is>
          <t>Not assessed</t>
        </is>
      </c>
      <c r="M132" s="40" t="n"/>
      <c r="N132" s="40" t="n"/>
      <c r="O132" s="42" t="inlineStr">
        <is>
          <t>High</t>
        </is>
      </c>
      <c r="P132" s="43">
        <f>IF(H132="N/A","N/A",INDEX(CRIT_MATRIX,MATCH(O132,CRIT_MATRIX_ROWS,0),MATCH(APP_RISK_TIER,CRIT_MATRIX_COLS,0)))</f>
        <v/>
      </c>
    </row>
    <row r="133" ht="39.75" customHeight="1" s="19">
      <c r="A133" s="42" t="inlineStr">
        <is>
          <t>V6.4.3</t>
        </is>
      </c>
      <c r="B133" s="40" t="inlineStr">
        <is>
          <t>V6 - Authentication</t>
        </is>
      </c>
      <c r="C133" s="40" t="inlineStr">
        <is>
          <t>V6.4 - Authentication Factor Lifecycle and Recovery</t>
        </is>
      </c>
      <c r="D133" s="42" t="n">
        <v>2</v>
      </c>
      <c r="E133" s="40" t="inlineStr">
        <is>
          <t>Verify that a secure process for resetting a forgotten password is implemented, that does not bypass any enabled multi-factor authentication mechanisms.</t>
        </is>
      </c>
      <c r="F133" s="40" t="inlineStr">
        <is>
          <t>Always</t>
        </is>
      </c>
      <c r="G133" s="42" t="inlineStr">
        <is>
          <t>TRUE</t>
        </is>
      </c>
      <c r="H133" s="43">
        <f>IF(AND(TRUE(),D133&lt;=TARGET_LEVEL_NUM),"Applicable","N/A")</f>
        <v/>
      </c>
      <c r="I133" s="40" t="inlineStr">
        <is>
          <t>SAST + integration testing</t>
        </is>
      </c>
      <c r="J133" s="40" t="inlineStr">
        <is>
          <t>Deterministic, continuous</t>
        </is>
      </c>
      <c r="K133" s="42" t="inlineStr">
        <is>
          <t>Pipeline</t>
        </is>
      </c>
      <c r="L133" s="42" t="inlineStr">
        <is>
          <t>Not assessed</t>
        </is>
      </c>
      <c r="M133" s="40" t="n"/>
      <c r="N133" s="40" t="n"/>
      <c r="O133" s="42" t="inlineStr">
        <is>
          <t>High</t>
        </is>
      </c>
      <c r="P133" s="43">
        <f>IF(H133="N/A","N/A",INDEX(CRIT_MATRIX,MATCH(O133,CRIT_MATRIX_ROWS,0),MATCH(APP_RISK_TIER,CRIT_MATRIX_COLS,0)))</f>
        <v/>
      </c>
    </row>
    <row r="134" ht="39.75" customHeight="1" s="19">
      <c r="A134" s="42" t="inlineStr">
        <is>
          <t>V6.4.4</t>
        </is>
      </c>
      <c r="B134" s="40" t="inlineStr">
        <is>
          <t>V6 - Authentication</t>
        </is>
      </c>
      <c r="C134" s="40" t="inlineStr">
        <is>
          <t>V6.4 - Authentication Factor Lifecycle and Recovery</t>
        </is>
      </c>
      <c r="D134" s="42" t="n">
        <v>2</v>
      </c>
      <c r="E134" s="40" t="inlineStr">
        <is>
          <t>Verify that if a multi-factor authentication factor is lost, evidence of identity proofing is performed at the same level as during enrollment.</t>
        </is>
      </c>
      <c r="F134" s="40" t="inlineStr">
        <is>
          <t>Always</t>
        </is>
      </c>
      <c r="G134" s="42" t="inlineStr">
        <is>
          <t>TRUE</t>
        </is>
      </c>
      <c r="H134" s="43">
        <f>IF(AND(TRUE(),D134&lt;=TARGET_LEVEL_NUM),"Applicable","N/A")</f>
        <v/>
      </c>
      <c r="I134" s="40" t="inlineStr">
        <is>
          <t>SAST + integration testing</t>
        </is>
      </c>
      <c r="J134" s="40" t="inlineStr">
        <is>
          <t>Deterministic, continuous</t>
        </is>
      </c>
      <c r="K134" s="42" t="inlineStr">
        <is>
          <t>Pipeline</t>
        </is>
      </c>
      <c r="L134" s="42" t="inlineStr">
        <is>
          <t>Not assessed</t>
        </is>
      </c>
      <c r="M134" s="40" t="n"/>
      <c r="N134" s="40" t="n"/>
      <c r="O134" s="42" t="inlineStr">
        <is>
          <t>High</t>
        </is>
      </c>
      <c r="P134" s="43">
        <f>IF(H134="N/A","N/A",INDEX(CRIT_MATRIX,MATCH(O134,CRIT_MATRIX_ROWS,0),MATCH(APP_RISK_TIER,CRIT_MATRIX_COLS,0)))</f>
        <v/>
      </c>
    </row>
    <row r="135" ht="39.75" customHeight="1" s="19">
      <c r="A135" s="42" t="inlineStr">
        <is>
          <t>V6.4.5</t>
        </is>
      </c>
      <c r="B135" s="40" t="inlineStr">
        <is>
          <t>V6 - Authentication</t>
        </is>
      </c>
      <c r="C135" s="40" t="inlineStr">
        <is>
          <t>V6.4 - Authentication Factor Lifecycle and Recovery</t>
        </is>
      </c>
      <c r="D135" s="42" t="n">
        <v>3</v>
      </c>
      <c r="E135" s="40" t="inlineStr">
        <is>
          <t>Verify that renewal instructions for authentication mechanisms which expire are sent with enough time to be carried out before the old authentication mechanism expires, configuring automated reminders if necessary.</t>
        </is>
      </c>
      <c r="F135" s="40" t="inlineStr">
        <is>
          <t>Always</t>
        </is>
      </c>
      <c r="G135" s="42" t="inlineStr">
        <is>
          <t>TRUE</t>
        </is>
      </c>
      <c r="H135" s="43">
        <f>IF(AND(TRUE(),D135&lt;=TARGET_LEVEL_NUM),"Applicable","N/A")</f>
        <v/>
      </c>
      <c r="I135" s="40" t="inlineStr">
        <is>
          <t>SAST + integration testing</t>
        </is>
      </c>
      <c r="J135" s="40" t="inlineStr">
        <is>
          <t>Deterministic, continuous</t>
        </is>
      </c>
      <c r="K135" s="42" t="inlineStr">
        <is>
          <t>Pipeline</t>
        </is>
      </c>
      <c r="L135" s="42" t="inlineStr">
        <is>
          <t>Not assessed</t>
        </is>
      </c>
      <c r="M135" s="40" t="n"/>
      <c r="N135" s="40" t="n"/>
      <c r="O135" s="42" t="inlineStr">
        <is>
          <t>High</t>
        </is>
      </c>
      <c r="P135" s="43">
        <f>IF(H135="N/A","N/A",INDEX(CRIT_MATRIX,MATCH(O135,CRIT_MATRIX_ROWS,0),MATCH(APP_RISK_TIER,CRIT_MATRIX_COLS,0)))</f>
        <v/>
      </c>
    </row>
    <row r="136" ht="39.75" customHeight="1" s="19">
      <c r="A136" s="42" t="inlineStr">
        <is>
          <t>V6.4.6</t>
        </is>
      </c>
      <c r="B136" s="40" t="inlineStr">
        <is>
          <t>V6 - Authentication</t>
        </is>
      </c>
      <c r="C136" s="40" t="inlineStr">
        <is>
          <t>V6.4 - Authentication Factor Lifecycle and Recovery</t>
        </is>
      </c>
      <c r="D136" s="42" t="n">
        <v>3</v>
      </c>
      <c r="E136" s="40" t="inlineStr">
        <is>
          <t>Verify that administrative users can initiate the password reset process for the user, but that this does not allow them to change or choose the user's password. This prevents a situation where they know the user's password.</t>
        </is>
      </c>
      <c r="F136" s="40" t="inlineStr">
        <is>
          <t>Always</t>
        </is>
      </c>
      <c r="G136" s="42" t="inlineStr">
        <is>
          <t>TRUE</t>
        </is>
      </c>
      <c r="H136" s="43">
        <f>IF(AND(TRUE(),D136&lt;=TARGET_LEVEL_NUM),"Applicable","N/A")</f>
        <v/>
      </c>
      <c r="I136" s="40" t="inlineStr">
        <is>
          <t>SAST + integration testing</t>
        </is>
      </c>
      <c r="J136" s="40" t="inlineStr">
        <is>
          <t>Deterministic, continuous</t>
        </is>
      </c>
      <c r="K136" s="42" t="inlineStr">
        <is>
          <t>Pipeline</t>
        </is>
      </c>
      <c r="L136" s="42" t="inlineStr">
        <is>
          <t>Not assessed</t>
        </is>
      </c>
      <c r="M136" s="40" t="n"/>
      <c r="N136" s="40" t="n"/>
      <c r="O136" s="42" t="inlineStr">
        <is>
          <t>High</t>
        </is>
      </c>
      <c r="P136" s="43">
        <f>IF(H136="N/A","N/A",INDEX(CRIT_MATRIX,MATCH(O136,CRIT_MATRIX_ROWS,0),MATCH(APP_RISK_TIER,CRIT_MATRIX_COLS,0)))</f>
        <v/>
      </c>
    </row>
    <row r="137" ht="39.75" customHeight="1" s="19">
      <c r="A137" s="42" t="inlineStr">
        <is>
          <t>V6.5.1</t>
        </is>
      </c>
      <c r="B137" s="40" t="inlineStr">
        <is>
          <t>V6 - Authentication</t>
        </is>
      </c>
      <c r="C137" s="40" t="inlineStr">
        <is>
          <t>V6.5 - General Multi-factor authentication requirements</t>
        </is>
      </c>
      <c r="D137" s="42" t="n">
        <v>2</v>
      </c>
      <c r="E137" s="40" t="inlineStr">
        <is>
          <t>Verify that lookup secrets, out-of-band authentication requests or codes, and time-based one-time passwords (TOTPs) are only successfully usable once.</t>
        </is>
      </c>
      <c r="F137" s="40" t="inlineStr">
        <is>
          <t>Always</t>
        </is>
      </c>
      <c r="G137" s="42" t="inlineStr">
        <is>
          <t>TRUE</t>
        </is>
      </c>
      <c r="H137" s="43">
        <f>IF(AND(TRUE(),D137&lt;=TARGET_LEVEL_NUM),"Applicable","N/A")</f>
        <v/>
      </c>
      <c r="I137" s="40" t="inlineStr">
        <is>
          <t>SAST + integration testing</t>
        </is>
      </c>
      <c r="J137" s="40" t="inlineStr">
        <is>
          <t>Deterministic, continuous</t>
        </is>
      </c>
      <c r="K137" s="42" t="inlineStr">
        <is>
          <t>Pipeline</t>
        </is>
      </c>
      <c r="L137" s="42" t="inlineStr">
        <is>
          <t>Not assessed</t>
        </is>
      </c>
      <c r="M137" s="40" t="n"/>
      <c r="N137" s="40" t="n"/>
      <c r="O137" s="42" t="inlineStr">
        <is>
          <t>High</t>
        </is>
      </c>
      <c r="P137" s="43">
        <f>IF(H137="N/A","N/A",INDEX(CRIT_MATRIX,MATCH(O137,CRIT_MATRIX_ROWS,0),MATCH(APP_RISK_TIER,CRIT_MATRIX_COLS,0)))</f>
        <v/>
      </c>
    </row>
    <row r="138" ht="39.75" customHeight="1" s="19">
      <c r="A138" s="42" t="inlineStr">
        <is>
          <t>V6.5.2</t>
        </is>
      </c>
      <c r="B138" s="40" t="inlineStr">
        <is>
          <t>V6 - Authentication</t>
        </is>
      </c>
      <c r="C138" s="40" t="inlineStr">
        <is>
          <t>V6.5 - General Multi-factor authentication requirements</t>
        </is>
      </c>
      <c r="D138" s="42" t="n">
        <v>2</v>
      </c>
      <c r="E138" s="40" t="inlineStr">
        <is>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is>
      </c>
      <c r="F138" s="40" t="inlineStr">
        <is>
          <t>Always</t>
        </is>
      </c>
      <c r="G138" s="42" t="inlineStr">
        <is>
          <t>TRUE</t>
        </is>
      </c>
      <c r="H138" s="43">
        <f>IF(AND(TRUE(),D138&lt;=TARGET_LEVEL_NUM),"Applicable","N/A")</f>
        <v/>
      </c>
      <c r="I138" s="40" t="inlineStr">
        <is>
          <t>SAST + integration testing</t>
        </is>
      </c>
      <c r="J138" s="40" t="inlineStr">
        <is>
          <t>Deterministic, continuous</t>
        </is>
      </c>
      <c r="K138" s="42" t="inlineStr">
        <is>
          <t>Pipeline</t>
        </is>
      </c>
      <c r="L138" s="42" t="inlineStr">
        <is>
          <t>Not assessed</t>
        </is>
      </c>
      <c r="M138" s="40" t="n"/>
      <c r="N138" s="40" t="n"/>
      <c r="O138" s="42" t="inlineStr">
        <is>
          <t>High</t>
        </is>
      </c>
      <c r="P138" s="43">
        <f>IF(H138="N/A","N/A",INDEX(CRIT_MATRIX,MATCH(O138,CRIT_MATRIX_ROWS,0),MATCH(APP_RISK_TIER,CRIT_MATRIX_COLS,0)))</f>
        <v/>
      </c>
    </row>
    <row r="139" ht="39.75" customHeight="1" s="19">
      <c r="A139" s="42" t="inlineStr">
        <is>
          <t>V6.5.3</t>
        </is>
      </c>
      <c r="B139" s="40" t="inlineStr">
        <is>
          <t>V6 - Authentication</t>
        </is>
      </c>
      <c r="C139" s="40" t="inlineStr">
        <is>
          <t>V6.5 - General Multi-factor authentication requirements</t>
        </is>
      </c>
      <c r="D139" s="42" t="n">
        <v>2</v>
      </c>
      <c r="E139" s="40" t="inlineStr">
        <is>
          <t>Verify that lookup secrets, out-of-band authentication code, and time-based one-time password seeds, are generated using a Cryptographically Secure Pseudorandom Number Generator (CSPRNG) to avoid predictable values.</t>
        </is>
      </c>
      <c r="F139" s="40" t="inlineStr">
        <is>
          <t>Always</t>
        </is>
      </c>
      <c r="G139" s="42" t="inlineStr">
        <is>
          <t>TRUE</t>
        </is>
      </c>
      <c r="H139" s="43">
        <f>IF(AND(TRUE(),D139&lt;=TARGET_LEVEL_NUM),"Applicable","N/A")</f>
        <v/>
      </c>
      <c r="I139" s="40" t="inlineStr">
        <is>
          <t>SAST + integration testing</t>
        </is>
      </c>
      <c r="J139" s="40" t="inlineStr">
        <is>
          <t>Deterministic, continuous</t>
        </is>
      </c>
      <c r="K139" s="42" t="inlineStr">
        <is>
          <t>Pipeline</t>
        </is>
      </c>
      <c r="L139" s="42" t="inlineStr">
        <is>
          <t>Not assessed</t>
        </is>
      </c>
      <c r="M139" s="40" t="n"/>
      <c r="N139" s="40" t="n"/>
      <c r="O139" s="42" t="inlineStr">
        <is>
          <t>High</t>
        </is>
      </c>
      <c r="P139" s="43">
        <f>IF(H139="N/A","N/A",INDEX(CRIT_MATRIX,MATCH(O139,CRIT_MATRIX_ROWS,0),MATCH(APP_RISK_TIER,CRIT_MATRIX_COLS,0)))</f>
        <v/>
      </c>
    </row>
    <row r="140" ht="39.75" customHeight="1" s="19">
      <c r="A140" s="42" t="inlineStr">
        <is>
          <t>V6.5.4</t>
        </is>
      </c>
      <c r="B140" s="40" t="inlineStr">
        <is>
          <t>V6 - Authentication</t>
        </is>
      </c>
      <c r="C140" s="40" t="inlineStr">
        <is>
          <t>V6.5 - General Multi-factor authentication requirements</t>
        </is>
      </c>
      <c r="D140" s="42" t="n">
        <v>2</v>
      </c>
      <c r="E140" s="40" t="inlineStr">
        <is>
          <t>Verify that lookup secrets and out-of-band authentication codes have a minimum of 20 bits of entropy (typically 4 random alphanumeric characters or 6 random digits is sufficient).</t>
        </is>
      </c>
      <c r="F140" s="40" t="inlineStr">
        <is>
          <t>Always</t>
        </is>
      </c>
      <c r="G140" s="42" t="inlineStr">
        <is>
          <t>TRUE</t>
        </is>
      </c>
      <c r="H140" s="43">
        <f>IF(AND(TRUE(),D140&lt;=TARGET_LEVEL_NUM),"Applicable","N/A")</f>
        <v/>
      </c>
      <c r="I140" s="40" t="inlineStr">
        <is>
          <t>SAST + integration testing</t>
        </is>
      </c>
      <c r="J140" s="40" t="inlineStr">
        <is>
          <t>Deterministic, continuous</t>
        </is>
      </c>
      <c r="K140" s="42" t="inlineStr">
        <is>
          <t>Pipeline</t>
        </is>
      </c>
      <c r="L140" s="42" t="inlineStr">
        <is>
          <t>Not assessed</t>
        </is>
      </c>
      <c r="M140" s="40" t="n"/>
      <c r="N140" s="40" t="n"/>
      <c r="O140" s="42" t="inlineStr">
        <is>
          <t>High</t>
        </is>
      </c>
      <c r="P140" s="43">
        <f>IF(H140="N/A","N/A",INDEX(CRIT_MATRIX,MATCH(O140,CRIT_MATRIX_ROWS,0),MATCH(APP_RISK_TIER,CRIT_MATRIX_COLS,0)))</f>
        <v/>
      </c>
    </row>
    <row r="141" ht="39.75" customHeight="1" s="19">
      <c r="A141" s="42" t="inlineStr">
        <is>
          <t>V6.5.5</t>
        </is>
      </c>
      <c r="B141" s="40" t="inlineStr">
        <is>
          <t>V6 - Authentication</t>
        </is>
      </c>
      <c r="C141" s="40" t="inlineStr">
        <is>
          <t>V6.5 - General Multi-factor authentication requirements</t>
        </is>
      </c>
      <c r="D141" s="42" t="n">
        <v>2</v>
      </c>
      <c r="E141" s="40" t="inlineStr">
        <is>
          <t>Verify that out-of-band authentication requests, codes, or tokens, as well as time-based one-time passwords (TOTPs) have a defined lifetime. Out of band requests must have a maximum lifetime of 10 minutes and for TOTP a maximum lifetime of 30 seconds.</t>
        </is>
      </c>
      <c r="F141" s="40" t="inlineStr">
        <is>
          <t>Always</t>
        </is>
      </c>
      <c r="G141" s="42" t="inlineStr">
        <is>
          <t>TRUE</t>
        </is>
      </c>
      <c r="H141" s="43">
        <f>IF(AND(TRUE(),D141&lt;=TARGET_LEVEL_NUM),"Applicable","N/A")</f>
        <v/>
      </c>
      <c r="I141" s="40" t="inlineStr">
        <is>
          <t>SAST + integration testing</t>
        </is>
      </c>
      <c r="J141" s="40" t="inlineStr">
        <is>
          <t>Deterministic, continuous</t>
        </is>
      </c>
      <c r="K141" s="42" t="inlineStr">
        <is>
          <t>Pipeline</t>
        </is>
      </c>
      <c r="L141" s="42" t="inlineStr">
        <is>
          <t>Not assessed</t>
        </is>
      </c>
      <c r="M141" s="40" t="n"/>
      <c r="N141" s="40" t="n"/>
      <c r="O141" s="42" t="inlineStr">
        <is>
          <t>High</t>
        </is>
      </c>
      <c r="P141" s="43">
        <f>IF(H141="N/A","N/A",INDEX(CRIT_MATRIX,MATCH(O141,CRIT_MATRIX_ROWS,0),MATCH(APP_RISK_TIER,CRIT_MATRIX_COLS,0)))</f>
        <v/>
      </c>
    </row>
    <row r="142" ht="39.75" customHeight="1" s="19">
      <c r="A142" s="42" t="inlineStr">
        <is>
          <t>V6.5.6</t>
        </is>
      </c>
      <c r="B142" s="40" t="inlineStr">
        <is>
          <t>V6 - Authentication</t>
        </is>
      </c>
      <c r="C142" s="40" t="inlineStr">
        <is>
          <t>V6.5 - General Multi-factor authentication requirements</t>
        </is>
      </c>
      <c r="D142" s="42" t="n">
        <v>3</v>
      </c>
      <c r="E142" s="40" t="inlineStr">
        <is>
          <t>Verify that any authentication factor (including physical devices) can be revoked in case of theft or other loss.</t>
        </is>
      </c>
      <c r="F142" s="40" t="inlineStr">
        <is>
          <t>Always</t>
        </is>
      </c>
      <c r="G142" s="42" t="inlineStr">
        <is>
          <t>TRUE</t>
        </is>
      </c>
      <c r="H142" s="43">
        <f>IF(AND(TRUE(),D142&lt;=TARGET_LEVEL_NUM),"Applicable","N/A")</f>
        <v/>
      </c>
      <c r="I142" s="40" t="inlineStr">
        <is>
          <t>SAST + integration testing</t>
        </is>
      </c>
      <c r="J142" s="40" t="inlineStr">
        <is>
          <t>Deterministic, continuous</t>
        </is>
      </c>
      <c r="K142" s="42" t="inlineStr">
        <is>
          <t>Pipeline</t>
        </is>
      </c>
      <c r="L142" s="42" t="inlineStr">
        <is>
          <t>Not assessed</t>
        </is>
      </c>
      <c r="M142" s="40" t="n"/>
      <c r="N142" s="40" t="n"/>
      <c r="O142" s="42" t="inlineStr">
        <is>
          <t>High</t>
        </is>
      </c>
      <c r="P142" s="43">
        <f>IF(H142="N/A","N/A",INDEX(CRIT_MATRIX,MATCH(O142,CRIT_MATRIX_ROWS,0),MATCH(APP_RISK_TIER,CRIT_MATRIX_COLS,0)))</f>
        <v/>
      </c>
    </row>
    <row r="143" ht="39.75" customHeight="1" s="19">
      <c r="A143" s="42" t="inlineStr">
        <is>
          <t>V6.5.7</t>
        </is>
      </c>
      <c r="B143" s="40" t="inlineStr">
        <is>
          <t>V6 - Authentication</t>
        </is>
      </c>
      <c r="C143" s="40" t="inlineStr">
        <is>
          <t>V6.5 - General Multi-factor authentication requirements</t>
        </is>
      </c>
      <c r="D143" s="42" t="n">
        <v>3</v>
      </c>
      <c r="E143" s="40" t="inlineStr">
        <is>
          <t>Verify that biometric authentication mechanisms are only used as secondary factors together with either something you have or something you know.</t>
        </is>
      </c>
      <c r="F143" s="40" t="inlineStr">
        <is>
          <t>Always</t>
        </is>
      </c>
      <c r="G143" s="42" t="inlineStr">
        <is>
          <t>TRUE</t>
        </is>
      </c>
      <c r="H143" s="43">
        <f>IF(AND(TRUE(),D143&lt;=TARGET_LEVEL_NUM),"Applicable","N/A")</f>
        <v/>
      </c>
      <c r="I143" s="40" t="inlineStr">
        <is>
          <t>SAST + integration testing</t>
        </is>
      </c>
      <c r="J143" s="40" t="inlineStr">
        <is>
          <t>Deterministic, continuous</t>
        </is>
      </c>
      <c r="K143" s="42" t="inlineStr">
        <is>
          <t>Pipeline</t>
        </is>
      </c>
      <c r="L143" s="42" t="inlineStr">
        <is>
          <t>Not assessed</t>
        </is>
      </c>
      <c r="M143" s="40" t="n"/>
      <c r="N143" s="40" t="n"/>
      <c r="O143" s="42" t="inlineStr">
        <is>
          <t>High</t>
        </is>
      </c>
      <c r="P143" s="43">
        <f>IF(H143="N/A","N/A",INDEX(CRIT_MATRIX,MATCH(O143,CRIT_MATRIX_ROWS,0),MATCH(APP_RISK_TIER,CRIT_MATRIX_COLS,0)))</f>
        <v/>
      </c>
    </row>
    <row r="144" ht="39.75" customHeight="1" s="19">
      <c r="A144" s="42" t="inlineStr">
        <is>
          <t>V6.5.8</t>
        </is>
      </c>
      <c r="B144" s="40" t="inlineStr">
        <is>
          <t>V6 - Authentication</t>
        </is>
      </c>
      <c r="C144" s="40" t="inlineStr">
        <is>
          <t>V6.5 - General Multi-factor authentication requirements</t>
        </is>
      </c>
      <c r="D144" s="42" t="n">
        <v>3</v>
      </c>
      <c r="E144" s="40" t="inlineStr">
        <is>
          <t>Verify that time-based one-time passwords (TOTPs) are checked based on a time source from a trusted service and not from an untrusted or client provided time.</t>
        </is>
      </c>
      <c r="F144" s="40" t="inlineStr">
        <is>
          <t>Always</t>
        </is>
      </c>
      <c r="G144" s="42" t="inlineStr">
        <is>
          <t>TRUE</t>
        </is>
      </c>
      <c r="H144" s="43">
        <f>IF(AND(TRUE(),D144&lt;=TARGET_LEVEL_NUM),"Applicable","N/A")</f>
        <v/>
      </c>
      <c r="I144" s="40" t="inlineStr">
        <is>
          <t>SAST + integration testing</t>
        </is>
      </c>
      <c r="J144" s="40" t="inlineStr">
        <is>
          <t>Deterministic, continuous</t>
        </is>
      </c>
      <c r="K144" s="42" t="inlineStr">
        <is>
          <t>Pipeline</t>
        </is>
      </c>
      <c r="L144" s="42" t="inlineStr">
        <is>
          <t>Not assessed</t>
        </is>
      </c>
      <c r="M144" s="40" t="n"/>
      <c r="N144" s="40" t="n"/>
      <c r="O144" s="42" t="inlineStr">
        <is>
          <t>High</t>
        </is>
      </c>
      <c r="P144" s="43">
        <f>IF(H144="N/A","N/A",INDEX(CRIT_MATRIX,MATCH(O144,CRIT_MATRIX_ROWS,0),MATCH(APP_RISK_TIER,CRIT_MATRIX_COLS,0)))</f>
        <v/>
      </c>
    </row>
    <row r="145" ht="39.75" customHeight="1" s="19">
      <c r="A145" s="42" t="inlineStr">
        <is>
          <t>V6.6.1</t>
        </is>
      </c>
      <c r="B145" s="40" t="inlineStr">
        <is>
          <t>V6 - Authentication</t>
        </is>
      </c>
      <c r="C145" s="40" t="inlineStr">
        <is>
          <t>V6.6 - Out-of-Band authentication mechanisms</t>
        </is>
      </c>
      <c r="D145" s="42" t="n">
        <v>2</v>
      </c>
      <c r="E145" s="40" t="inlineStr">
        <is>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is>
      </c>
      <c r="F145" s="40" t="inlineStr">
        <is>
          <t>Always</t>
        </is>
      </c>
      <c r="G145" s="42" t="inlineStr">
        <is>
          <t>TRUE</t>
        </is>
      </c>
      <c r="H145" s="43">
        <f>IF(AND(TRUE(),D145&lt;=TARGET_LEVEL_NUM),"Applicable","N/A")</f>
        <v/>
      </c>
      <c r="I145" s="40" t="inlineStr">
        <is>
          <t>SAST + integration testing</t>
        </is>
      </c>
      <c r="J145" s="40" t="inlineStr">
        <is>
          <t>Deterministic, continuous</t>
        </is>
      </c>
      <c r="K145" s="42" t="inlineStr">
        <is>
          <t>Pipeline</t>
        </is>
      </c>
      <c r="L145" s="42" t="inlineStr">
        <is>
          <t>Not assessed</t>
        </is>
      </c>
      <c r="M145" s="40" t="n"/>
      <c r="N145" s="40" t="n"/>
      <c r="O145" s="42" t="inlineStr">
        <is>
          <t>High</t>
        </is>
      </c>
      <c r="P145" s="43">
        <f>IF(H145="N/A","N/A",INDEX(CRIT_MATRIX,MATCH(O145,CRIT_MATRIX_ROWS,0),MATCH(APP_RISK_TIER,CRIT_MATRIX_COLS,0)))</f>
        <v/>
      </c>
    </row>
    <row r="146" ht="39.75" customHeight="1" s="19">
      <c r="A146" s="42" t="inlineStr">
        <is>
          <t>V6.6.2</t>
        </is>
      </c>
      <c r="B146" s="40" t="inlineStr">
        <is>
          <t>V6 - Authentication</t>
        </is>
      </c>
      <c r="C146" s="40" t="inlineStr">
        <is>
          <t>V6.6 - Out-of-Band authentication mechanisms</t>
        </is>
      </c>
      <c r="D146" s="42" t="n">
        <v>2</v>
      </c>
      <c r="E146" s="40" t="inlineStr">
        <is>
          <t>Verify that out-of-band authentication requests, codes, or tokens are bound to the original authentication request for which they were generated and are not usable for a previous or subsequent one.</t>
        </is>
      </c>
      <c r="F146" s="40" t="inlineStr">
        <is>
          <t>Always</t>
        </is>
      </c>
      <c r="G146" s="42" t="inlineStr">
        <is>
          <t>TRUE</t>
        </is>
      </c>
      <c r="H146" s="43">
        <f>IF(AND(TRUE(),D146&lt;=TARGET_LEVEL_NUM),"Applicable","N/A")</f>
        <v/>
      </c>
      <c r="I146" s="40" t="inlineStr">
        <is>
          <t>SAST + integration testing</t>
        </is>
      </c>
      <c r="J146" s="40" t="inlineStr">
        <is>
          <t>Deterministic, continuous</t>
        </is>
      </c>
      <c r="K146" s="42" t="inlineStr">
        <is>
          <t>Pipeline</t>
        </is>
      </c>
      <c r="L146" s="42" t="inlineStr">
        <is>
          <t>Not assessed</t>
        </is>
      </c>
      <c r="M146" s="40" t="n"/>
      <c r="N146" s="40" t="n"/>
      <c r="O146" s="42" t="inlineStr">
        <is>
          <t>High</t>
        </is>
      </c>
      <c r="P146" s="43">
        <f>IF(H146="N/A","N/A",INDEX(CRIT_MATRIX,MATCH(O146,CRIT_MATRIX_ROWS,0),MATCH(APP_RISK_TIER,CRIT_MATRIX_COLS,0)))</f>
        <v/>
      </c>
    </row>
    <row r="147" ht="39.75" customHeight="1" s="19">
      <c r="A147" s="42" t="inlineStr">
        <is>
          <t>V6.6.3</t>
        </is>
      </c>
      <c r="B147" s="40" t="inlineStr">
        <is>
          <t>V6 - Authentication</t>
        </is>
      </c>
      <c r="C147" s="40" t="inlineStr">
        <is>
          <t>V6.6 - Out-of-Band authentication mechanisms</t>
        </is>
      </c>
      <c r="D147" s="42" t="n">
        <v>2</v>
      </c>
      <c r="E147" s="40" t="inlineStr">
        <is>
          <t>Verify that a code based out-of-band authentication mechanism is protected against brute force attacks by using rate limiting. Consider also using a code with at least 64 bits of entropy.</t>
        </is>
      </c>
      <c r="F147" s="40" t="inlineStr">
        <is>
          <t>Always</t>
        </is>
      </c>
      <c r="G147" s="42" t="inlineStr">
        <is>
          <t>TRUE</t>
        </is>
      </c>
      <c r="H147" s="43">
        <f>IF(AND(TRUE(),D147&lt;=TARGET_LEVEL_NUM),"Applicable","N/A")</f>
        <v/>
      </c>
      <c r="I147" s="40" t="inlineStr">
        <is>
          <t>SAST + integration testing</t>
        </is>
      </c>
      <c r="J147" s="40" t="inlineStr">
        <is>
          <t>Deterministic, continuous</t>
        </is>
      </c>
      <c r="K147" s="42" t="inlineStr">
        <is>
          <t>Pipeline</t>
        </is>
      </c>
      <c r="L147" s="42" t="inlineStr">
        <is>
          <t>Not assessed</t>
        </is>
      </c>
      <c r="M147" s="40" t="n"/>
      <c r="N147" s="40" t="n"/>
      <c r="O147" s="42" t="inlineStr">
        <is>
          <t>High</t>
        </is>
      </c>
      <c r="P147" s="43">
        <f>IF(H147="N/A","N/A",INDEX(CRIT_MATRIX,MATCH(O147,CRIT_MATRIX_ROWS,0),MATCH(APP_RISK_TIER,CRIT_MATRIX_COLS,0)))</f>
        <v/>
      </c>
    </row>
    <row r="148" ht="39.75" customHeight="1" s="19">
      <c r="A148" s="42" t="inlineStr">
        <is>
          <t>V6.6.4</t>
        </is>
      </c>
      <c r="B148" s="40" t="inlineStr">
        <is>
          <t>V6 - Authentication</t>
        </is>
      </c>
      <c r="C148" s="40" t="inlineStr">
        <is>
          <t>V6.6 - Out-of-Band authentication mechanisms</t>
        </is>
      </c>
      <c r="D148" s="42" t="n">
        <v>3</v>
      </c>
      <c r="E148" s="40" t="inlineStr">
        <is>
          <t>Verify that, where push notifications are used for multi-factor authentication, rate limiting is used to prevent push bombing attacks. Number matching may also mitigate this risk.</t>
        </is>
      </c>
      <c r="F148" s="40" t="inlineStr">
        <is>
          <t>Always</t>
        </is>
      </c>
      <c r="G148" s="42" t="inlineStr">
        <is>
          <t>TRUE</t>
        </is>
      </c>
      <c r="H148" s="43">
        <f>IF(AND(TRUE(),D148&lt;=TARGET_LEVEL_NUM),"Applicable","N/A")</f>
        <v/>
      </c>
      <c r="I148" s="40" t="inlineStr">
        <is>
          <t>SAST + integration testing</t>
        </is>
      </c>
      <c r="J148" s="40" t="inlineStr">
        <is>
          <t>Deterministic, continuous</t>
        </is>
      </c>
      <c r="K148" s="42" t="inlineStr">
        <is>
          <t>Pipeline</t>
        </is>
      </c>
      <c r="L148" s="42" t="inlineStr">
        <is>
          <t>Not assessed</t>
        </is>
      </c>
      <c r="M148" s="40" t="n"/>
      <c r="N148" s="40" t="n"/>
      <c r="O148" s="42" t="inlineStr">
        <is>
          <t>High</t>
        </is>
      </c>
      <c r="P148" s="43">
        <f>IF(H148="N/A","N/A",INDEX(CRIT_MATRIX,MATCH(O148,CRIT_MATRIX_ROWS,0),MATCH(APP_RISK_TIER,CRIT_MATRIX_COLS,0)))</f>
        <v/>
      </c>
    </row>
    <row r="149" ht="39.75" customHeight="1" s="19">
      <c r="A149" s="42" t="inlineStr">
        <is>
          <t>V6.7.1</t>
        </is>
      </c>
      <c r="B149" s="40" t="inlineStr">
        <is>
          <t>V6 - Authentication</t>
        </is>
      </c>
      <c r="C149" s="40" t="inlineStr">
        <is>
          <t>V6.7 - Cryptographic authentication mechanism</t>
        </is>
      </c>
      <c r="D149" s="42" t="n">
        <v>3</v>
      </c>
      <c r="E149" s="40" t="inlineStr">
        <is>
          <t>Verify that the certificates used to verify cryptographic authentication assertions are stored in a way protects them from modification.</t>
        </is>
      </c>
      <c r="F149" s="40" t="inlineStr">
        <is>
          <t>Always</t>
        </is>
      </c>
      <c r="G149" s="42" t="inlineStr">
        <is>
          <t>TRUE</t>
        </is>
      </c>
      <c r="H149" s="43">
        <f>IF(AND(TRUE(),D149&lt;=TARGET_LEVEL_NUM),"Applicable","N/A")</f>
        <v/>
      </c>
      <c r="I149" s="40" t="inlineStr">
        <is>
          <t>SAST + integration testing</t>
        </is>
      </c>
      <c r="J149" s="40" t="inlineStr">
        <is>
          <t>Deterministic, continuous</t>
        </is>
      </c>
      <c r="K149" s="42" t="inlineStr">
        <is>
          <t>Pipeline</t>
        </is>
      </c>
      <c r="L149" s="42" t="inlineStr">
        <is>
          <t>Not assessed</t>
        </is>
      </c>
      <c r="M149" s="40" t="n"/>
      <c r="N149" s="40" t="n"/>
      <c r="O149" s="42" t="inlineStr">
        <is>
          <t>High</t>
        </is>
      </c>
      <c r="P149" s="43">
        <f>IF(H149="N/A","N/A",INDEX(CRIT_MATRIX,MATCH(O149,CRIT_MATRIX_ROWS,0),MATCH(APP_RISK_TIER,CRIT_MATRIX_COLS,0)))</f>
        <v/>
      </c>
    </row>
    <row r="150" ht="39.75" customHeight="1" s="19">
      <c r="A150" s="42" t="inlineStr">
        <is>
          <t>V6.7.2</t>
        </is>
      </c>
      <c r="B150" s="40" t="inlineStr">
        <is>
          <t>V6 - Authentication</t>
        </is>
      </c>
      <c r="C150" s="40" t="inlineStr">
        <is>
          <t>V6.7 - Cryptographic authentication mechanism</t>
        </is>
      </c>
      <c r="D150" s="42" t="n">
        <v>3</v>
      </c>
      <c r="E150" s="40" t="inlineStr">
        <is>
          <t>Verify that the challenge nonce is at least 64 bits in length, and statistically unique or unique over the lifetime of the cryptographic device.</t>
        </is>
      </c>
      <c r="F150" s="40" t="inlineStr">
        <is>
          <t>Always</t>
        </is>
      </c>
      <c r="G150" s="42" t="inlineStr">
        <is>
          <t>TRUE</t>
        </is>
      </c>
      <c r="H150" s="43">
        <f>IF(AND(TRUE(),D150&lt;=TARGET_LEVEL_NUM),"Applicable","N/A")</f>
        <v/>
      </c>
      <c r="I150" s="40" t="inlineStr">
        <is>
          <t>SAST + integration testing</t>
        </is>
      </c>
      <c r="J150" s="40" t="inlineStr">
        <is>
          <t>Deterministic, continuous</t>
        </is>
      </c>
      <c r="K150" s="42" t="inlineStr">
        <is>
          <t>Pipeline</t>
        </is>
      </c>
      <c r="L150" s="42" t="inlineStr">
        <is>
          <t>Not assessed</t>
        </is>
      </c>
      <c r="M150" s="40" t="n"/>
      <c r="N150" s="40" t="n"/>
      <c r="O150" s="42" t="inlineStr">
        <is>
          <t>High</t>
        </is>
      </c>
      <c r="P150" s="43">
        <f>IF(H150="N/A","N/A",INDEX(CRIT_MATRIX,MATCH(O150,CRIT_MATRIX_ROWS,0),MATCH(APP_RISK_TIER,CRIT_MATRIX_COLS,0)))</f>
        <v/>
      </c>
    </row>
    <row r="151" ht="39.75" customHeight="1" s="19">
      <c r="A151" s="42" t="inlineStr">
        <is>
          <t>V6.8.1</t>
        </is>
      </c>
      <c r="B151" s="40" t="inlineStr">
        <is>
          <t>V6 - Authentication</t>
        </is>
      </c>
      <c r="C151" s="40" t="inlineStr">
        <is>
          <t>V6.8 - Authentication with an Identity Provider</t>
        </is>
      </c>
      <c r="D151" s="42" t="n">
        <v>2</v>
      </c>
      <c r="E151" s="40" t="inlineStr">
        <is>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is>
      </c>
      <c r="F151" s="40" t="inlineStr">
        <is>
          <t>Always</t>
        </is>
      </c>
      <c r="G151" s="42" t="inlineStr">
        <is>
          <t>TRUE</t>
        </is>
      </c>
      <c r="H151" s="43">
        <f>IF(AND(TRUE(),D151&lt;=TARGET_LEVEL_NUM),"Applicable","N/A")</f>
        <v/>
      </c>
      <c r="I151" s="40" t="inlineStr">
        <is>
          <t>SAST + integration testing</t>
        </is>
      </c>
      <c r="J151" s="40" t="inlineStr">
        <is>
          <t>Deterministic, continuous</t>
        </is>
      </c>
      <c r="K151" s="42" t="inlineStr">
        <is>
          <t>Pipeline</t>
        </is>
      </c>
      <c r="L151" s="42" t="inlineStr">
        <is>
          <t>Not assessed</t>
        </is>
      </c>
      <c r="M151" s="40" t="n"/>
      <c r="N151" s="40" t="n"/>
      <c r="O151" s="42" t="inlineStr">
        <is>
          <t>High</t>
        </is>
      </c>
      <c r="P151" s="43">
        <f>IF(H151="N/A","N/A",INDEX(CRIT_MATRIX,MATCH(O151,CRIT_MATRIX_ROWS,0),MATCH(APP_RISK_TIER,CRIT_MATRIX_COLS,0)))</f>
        <v/>
      </c>
    </row>
    <row r="152" ht="39.75" customHeight="1" s="19">
      <c r="A152" s="42" t="inlineStr">
        <is>
          <t>V6.8.2</t>
        </is>
      </c>
      <c r="B152" s="40" t="inlineStr">
        <is>
          <t>V6 - Authentication</t>
        </is>
      </c>
      <c r="C152" s="40" t="inlineStr">
        <is>
          <t>V6.8 - Authentication with an Identity Provider</t>
        </is>
      </c>
      <c r="D152" s="42" t="n">
        <v>2</v>
      </c>
      <c r="E152" s="40" t="inlineStr">
        <is>
          <t>Verify that the presence and integrity of digital signatures on authentication assertions (for example on JWTs or SAML assertions) are always validated, rejecting any assertions that are unsigned or have invalid signatures.</t>
        </is>
      </c>
      <c r="F152" s="40" t="inlineStr">
        <is>
          <t>Always</t>
        </is>
      </c>
      <c r="G152" s="42" t="inlineStr">
        <is>
          <t>TRUE</t>
        </is>
      </c>
      <c r="H152" s="43">
        <f>IF(AND(TRUE(),D152&lt;=TARGET_LEVEL_NUM),"Applicable","N/A")</f>
        <v/>
      </c>
      <c r="I152" s="40" t="inlineStr">
        <is>
          <t>SAST + integration testing</t>
        </is>
      </c>
      <c r="J152" s="40" t="inlineStr">
        <is>
          <t>Deterministic, continuous</t>
        </is>
      </c>
      <c r="K152" s="42" t="inlineStr">
        <is>
          <t>Pipeline</t>
        </is>
      </c>
      <c r="L152" s="42" t="inlineStr">
        <is>
          <t>Not assessed</t>
        </is>
      </c>
      <c r="M152" s="40" t="n"/>
      <c r="N152" s="40" t="n"/>
      <c r="O152" s="42" t="inlineStr">
        <is>
          <t>High</t>
        </is>
      </c>
      <c r="P152" s="43">
        <f>IF(H152="N/A","N/A",INDEX(CRIT_MATRIX,MATCH(O152,CRIT_MATRIX_ROWS,0),MATCH(APP_RISK_TIER,CRIT_MATRIX_COLS,0)))</f>
        <v/>
      </c>
    </row>
    <row r="153" ht="39.75" customHeight="1" s="19">
      <c r="A153" s="42" t="inlineStr">
        <is>
          <t>V6.8.3</t>
        </is>
      </c>
      <c r="B153" s="40" t="inlineStr">
        <is>
          <t>V6 - Authentication</t>
        </is>
      </c>
      <c r="C153" s="40" t="inlineStr">
        <is>
          <t>V6.8 - Authentication with an Identity Provider</t>
        </is>
      </c>
      <c r="D153" s="42" t="n">
        <v>2</v>
      </c>
      <c r="E153" s="40" t="inlineStr">
        <is>
          <t>Verify that SAML assertions are uniquely processed and used only once within the validity period to prevent replay attacks.</t>
        </is>
      </c>
      <c r="F153" s="40" t="inlineStr">
        <is>
          <t>Always</t>
        </is>
      </c>
      <c r="G153" s="42" t="inlineStr">
        <is>
          <t>TRUE</t>
        </is>
      </c>
      <c r="H153" s="43">
        <f>IF(AND(TRUE(),D153&lt;=TARGET_LEVEL_NUM),"Applicable","N/A")</f>
        <v/>
      </c>
      <c r="I153" s="40" t="inlineStr">
        <is>
          <t>SAST + integration testing</t>
        </is>
      </c>
      <c r="J153" s="40" t="inlineStr">
        <is>
          <t>Deterministic, continuous</t>
        </is>
      </c>
      <c r="K153" s="42" t="inlineStr">
        <is>
          <t>Pipeline</t>
        </is>
      </c>
      <c r="L153" s="42" t="inlineStr">
        <is>
          <t>Not assessed</t>
        </is>
      </c>
      <c r="M153" s="40" t="n"/>
      <c r="N153" s="40" t="n"/>
      <c r="O153" s="42" t="inlineStr">
        <is>
          <t>High</t>
        </is>
      </c>
      <c r="P153" s="43">
        <f>IF(H153="N/A","N/A",INDEX(CRIT_MATRIX,MATCH(O153,CRIT_MATRIX_ROWS,0),MATCH(APP_RISK_TIER,CRIT_MATRIX_COLS,0)))</f>
        <v/>
      </c>
    </row>
    <row r="154" ht="39.75" customHeight="1" s="19">
      <c r="A154" s="42" t="inlineStr">
        <is>
          <t>V6.8.4</t>
        </is>
      </c>
      <c r="B154" s="40" t="inlineStr">
        <is>
          <t>V6 - Authentication</t>
        </is>
      </c>
      <c r="C154" s="40" t="inlineStr">
        <is>
          <t>V6.8 - Authentication with an Identity Provider</t>
        </is>
      </c>
      <c r="D154" s="42" t="n">
        <v>2</v>
      </c>
      <c r="E154" s="40" t="inlineStr">
        <is>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is>
      </c>
      <c r="F154" s="40" t="inlineStr">
        <is>
          <t>Always</t>
        </is>
      </c>
      <c r="G154" s="42" t="inlineStr">
        <is>
          <t>TRUE</t>
        </is>
      </c>
      <c r="H154" s="43">
        <f>IF(AND(TRUE(),D154&lt;=TARGET_LEVEL_NUM),"Applicable","N/A")</f>
        <v/>
      </c>
      <c r="I154" s="40" t="inlineStr">
        <is>
          <t>SAST + integration testing</t>
        </is>
      </c>
      <c r="J154" s="40" t="inlineStr">
        <is>
          <t>Deterministic, continuous</t>
        </is>
      </c>
      <c r="K154" s="42" t="inlineStr">
        <is>
          <t>Pipeline</t>
        </is>
      </c>
      <c r="L154" s="42" t="inlineStr">
        <is>
          <t>Not assessed</t>
        </is>
      </c>
      <c r="M154" s="40" t="n"/>
      <c r="N154" s="40" t="n"/>
      <c r="O154" s="42" t="inlineStr">
        <is>
          <t>High</t>
        </is>
      </c>
      <c r="P154" s="43">
        <f>IF(H154="N/A","N/A",INDEX(CRIT_MATRIX,MATCH(O154,CRIT_MATRIX_ROWS,0),MATCH(APP_RISK_TIER,CRIT_MATRIX_COLS,0)))</f>
        <v/>
      </c>
    </row>
    <row r="155" ht="39.75" customHeight="1" s="19">
      <c r="A155" s="42" t="inlineStr">
        <is>
          <t>V7.1.1</t>
        </is>
      </c>
      <c r="B155" s="40" t="inlineStr">
        <is>
          <t>V7 - Session Management</t>
        </is>
      </c>
      <c r="C155" s="40" t="inlineStr">
        <is>
          <t>V7.1 - Session Management Documentation</t>
        </is>
      </c>
      <c r="D155" s="42" t="n">
        <v>2</v>
      </c>
      <c r="E155" s="40" t="inlineStr">
        <is>
          <t>Verify that the user's session inactivity timeout and absolute maximum session lifetime are documented, are appropriate in combination with other controls, and that the documentation includes justification for any deviations from NIST SP 800-63B re-authentication requirements.</t>
        </is>
      </c>
      <c r="F155" s="40" t="inlineStr">
        <is>
          <t>If session is stateful</t>
        </is>
      </c>
      <c r="G155" s="42" t="inlineStr">
        <is>
          <t>SESSION_STATEFUL="Yes"</t>
        </is>
      </c>
      <c r="H155" s="43">
        <f>IF(AND(SESSION_STATEFUL="Yes",D155&lt;=TARGET_LEVEL_NUM),"Applicable","N/A")</f>
        <v/>
      </c>
      <c r="I155" s="40" t="inlineStr">
        <is>
          <t>Architecture / documentation review</t>
        </is>
      </c>
      <c r="J155" s="40" t="inlineStr">
        <is>
          <t>Sampled, periodic</t>
        </is>
      </c>
      <c r="K155" s="42" t="inlineStr">
        <is>
          <t>Design/Governance</t>
        </is>
      </c>
      <c r="L155" s="42" t="inlineStr">
        <is>
          <t>Not assessed</t>
        </is>
      </c>
      <c r="M155" s="40" t="n"/>
      <c r="N155" s="40" t="n"/>
      <c r="O155" s="42" t="inlineStr">
        <is>
          <t>High</t>
        </is>
      </c>
      <c r="P155" s="43">
        <f>IF(H155="N/A","N/A",INDEX(CRIT_MATRIX,MATCH(O155,CRIT_MATRIX_ROWS,0),MATCH(APP_RISK_TIER,CRIT_MATRIX_COLS,0)))</f>
        <v/>
      </c>
    </row>
    <row r="156" ht="39.75" customHeight="1" s="19">
      <c r="A156" s="42" t="inlineStr">
        <is>
          <t>V7.1.2</t>
        </is>
      </c>
      <c r="B156" s="40" t="inlineStr">
        <is>
          <t>V7 - Session Management</t>
        </is>
      </c>
      <c r="C156" s="40" t="inlineStr">
        <is>
          <t>V7.1 - Session Management Documentation</t>
        </is>
      </c>
      <c r="D156" s="42" t="n">
        <v>2</v>
      </c>
      <c r="E156" s="40" t="inlineStr">
        <is>
          <t>Verify that the documentation defines how many concurrent (parallel) sessions are allowed for one account as well as the intended behaviors and actions to be taken when the maximum number of active sessions is reached.</t>
        </is>
      </c>
      <c r="F156" s="40" t="inlineStr">
        <is>
          <t>If session is stateful</t>
        </is>
      </c>
      <c r="G156" s="42" t="inlineStr">
        <is>
          <t>SESSION_STATEFUL="Yes"</t>
        </is>
      </c>
      <c r="H156" s="43">
        <f>IF(AND(SESSION_STATEFUL="Yes",D156&lt;=TARGET_LEVEL_NUM),"Applicable","N/A")</f>
        <v/>
      </c>
      <c r="I156" s="40" t="inlineStr">
        <is>
          <t>Architecture / documentation review</t>
        </is>
      </c>
      <c r="J156" s="40" t="inlineStr">
        <is>
          <t>Sampled, periodic</t>
        </is>
      </c>
      <c r="K156" s="42" t="inlineStr">
        <is>
          <t>Design/Governance</t>
        </is>
      </c>
      <c r="L156" s="42" t="inlineStr">
        <is>
          <t>Not assessed</t>
        </is>
      </c>
      <c r="M156" s="40" t="n"/>
      <c r="N156" s="40" t="n"/>
      <c r="O156" s="42" t="inlineStr">
        <is>
          <t>High</t>
        </is>
      </c>
      <c r="P156" s="43">
        <f>IF(H156="N/A","N/A",INDEX(CRIT_MATRIX,MATCH(O156,CRIT_MATRIX_ROWS,0),MATCH(APP_RISK_TIER,CRIT_MATRIX_COLS,0)))</f>
        <v/>
      </c>
    </row>
    <row r="157" ht="39.75" customHeight="1" s="19">
      <c r="A157" s="42" t="inlineStr">
        <is>
          <t>V7.1.3</t>
        </is>
      </c>
      <c r="B157" s="40" t="inlineStr">
        <is>
          <t>V7 - Session Management</t>
        </is>
      </c>
      <c r="C157" s="40" t="inlineStr">
        <is>
          <t>V7.1 - Session Management Documentation</t>
        </is>
      </c>
      <c r="D157" s="42" t="n">
        <v>2</v>
      </c>
      <c r="E157" s="40" t="inlineStr">
        <is>
          <t>Verify that all systems that create and manage user sessions as part of a federated identity management ecosystem (such as SSO systems) are documented along with controls to coordinate session lifetimes, termination, and any other conditions that require re-authentication.</t>
        </is>
      </c>
      <c r="F157" s="40" t="inlineStr">
        <is>
          <t>If session is stateful</t>
        </is>
      </c>
      <c r="G157" s="42" t="inlineStr">
        <is>
          <t>SESSION_STATEFUL="Yes"</t>
        </is>
      </c>
      <c r="H157" s="43">
        <f>IF(AND(SESSION_STATEFUL="Yes",D157&lt;=TARGET_LEVEL_NUM),"Applicable","N/A")</f>
        <v/>
      </c>
      <c r="I157" s="40" t="inlineStr">
        <is>
          <t>Architecture / documentation review</t>
        </is>
      </c>
      <c r="J157" s="40" t="inlineStr">
        <is>
          <t>Sampled, periodic</t>
        </is>
      </c>
      <c r="K157" s="42" t="inlineStr">
        <is>
          <t>Design/Governance</t>
        </is>
      </c>
      <c r="L157" s="42" t="inlineStr">
        <is>
          <t>Not assessed</t>
        </is>
      </c>
      <c r="M157" s="40" t="n"/>
      <c r="N157" s="40" t="n"/>
      <c r="O157" s="42" t="inlineStr">
        <is>
          <t>High</t>
        </is>
      </c>
      <c r="P157" s="43">
        <f>IF(H157="N/A","N/A",INDEX(CRIT_MATRIX,MATCH(O157,CRIT_MATRIX_ROWS,0),MATCH(APP_RISK_TIER,CRIT_MATRIX_COLS,0)))</f>
        <v/>
      </c>
    </row>
    <row r="158" ht="39.75" customHeight="1" s="19">
      <c r="A158" s="42" t="inlineStr">
        <is>
          <t>V7.2.1</t>
        </is>
      </c>
      <c r="B158" s="40" t="inlineStr">
        <is>
          <t>V7 - Session Management</t>
        </is>
      </c>
      <c r="C158" s="40" t="inlineStr">
        <is>
          <t>V7.2 - Fundamental Session Management Security</t>
        </is>
      </c>
      <c r="D158" s="42" t="n">
        <v>1</v>
      </c>
      <c r="E158" s="40" t="inlineStr">
        <is>
          <t>Verify that the application performs all session token verification using a trusted, backend service.</t>
        </is>
      </c>
      <c r="F158" s="40" t="inlineStr">
        <is>
          <t>If session is stateful</t>
        </is>
      </c>
      <c r="G158" s="42" t="inlineStr">
        <is>
          <t>SESSION_STATEFUL="Yes"</t>
        </is>
      </c>
      <c r="H158" s="43">
        <f>IF(AND(SESSION_STATEFUL="Yes",D158&lt;=TARGET_LEVEL_NUM),"Applicable","N/A")</f>
        <v/>
      </c>
      <c r="I158" s="40" t="inlineStr">
        <is>
          <t>Integration testing</t>
        </is>
      </c>
      <c r="J158" s="40" t="inlineStr">
        <is>
          <t>Deterministic, continuous</t>
        </is>
      </c>
      <c r="K158" s="42" t="inlineStr">
        <is>
          <t>Pipeline</t>
        </is>
      </c>
      <c r="L158" s="42" t="inlineStr">
        <is>
          <t>Not assessed</t>
        </is>
      </c>
      <c r="M158" s="40" t="n"/>
      <c r="N158" s="40" t="n"/>
      <c r="O158" s="42" t="inlineStr">
        <is>
          <t>High</t>
        </is>
      </c>
      <c r="P158" s="43">
        <f>IF(H158="N/A","N/A",INDEX(CRIT_MATRIX,MATCH(O158,CRIT_MATRIX_ROWS,0),MATCH(APP_RISK_TIER,CRIT_MATRIX_COLS,0)))</f>
        <v/>
      </c>
    </row>
    <row r="159" ht="39.75" customHeight="1" s="19">
      <c r="A159" s="42" t="inlineStr">
        <is>
          <t>V7.2.2</t>
        </is>
      </c>
      <c r="B159" s="40" t="inlineStr">
        <is>
          <t>V7 - Session Management</t>
        </is>
      </c>
      <c r="C159" s="40" t="inlineStr">
        <is>
          <t>V7.2 - Fundamental Session Management Security</t>
        </is>
      </c>
      <c r="D159" s="42" t="n">
        <v>1</v>
      </c>
      <c r="E159" s="40" t="inlineStr">
        <is>
          <t>Verify that the application uses either self-contained or reference tokens that are dynamically generated for session management, i.e. not using static API secrets and keys.</t>
        </is>
      </c>
      <c r="F159" s="40" t="inlineStr">
        <is>
          <t>If session is stateful</t>
        </is>
      </c>
      <c r="G159" s="42" t="inlineStr">
        <is>
          <t>SESSION_STATEFUL="Yes"</t>
        </is>
      </c>
      <c r="H159" s="43">
        <f>IF(AND(SESSION_STATEFUL="Yes",D159&lt;=TARGET_LEVEL_NUM),"Applicable","N/A")</f>
        <v/>
      </c>
      <c r="I159" s="40" t="inlineStr">
        <is>
          <t>Integration testing</t>
        </is>
      </c>
      <c r="J159" s="40" t="inlineStr">
        <is>
          <t>Deterministic, continuous</t>
        </is>
      </c>
      <c r="K159" s="42" t="inlineStr">
        <is>
          <t>Pipeline</t>
        </is>
      </c>
      <c r="L159" s="42" t="inlineStr">
        <is>
          <t>Not assessed</t>
        </is>
      </c>
      <c r="M159" s="40" t="n"/>
      <c r="N159" s="40" t="n"/>
      <c r="O159" s="42" t="inlineStr">
        <is>
          <t>High</t>
        </is>
      </c>
      <c r="P159" s="43">
        <f>IF(H159="N/A","N/A",INDEX(CRIT_MATRIX,MATCH(O159,CRIT_MATRIX_ROWS,0),MATCH(APP_RISK_TIER,CRIT_MATRIX_COLS,0)))</f>
        <v/>
      </c>
    </row>
    <row r="160" ht="39.75" customHeight="1" s="19">
      <c r="A160" s="42" t="inlineStr">
        <is>
          <t>V7.2.3</t>
        </is>
      </c>
      <c r="B160" s="40" t="inlineStr">
        <is>
          <t>V7 - Session Management</t>
        </is>
      </c>
      <c r="C160" s="40" t="inlineStr">
        <is>
          <t>V7.2 - Fundamental Session Management Security</t>
        </is>
      </c>
      <c r="D160" s="42" t="n">
        <v>1</v>
      </c>
      <c r="E160" s="40" t="inlineStr">
        <is>
          <t>Verify that if reference tokens are used to represent user sessions, they are unique and generated using a cryptographically secure pseudo-random number generator (CSPRNG) and possess at least 128 bits of entropy.</t>
        </is>
      </c>
      <c r="F160" s="40" t="inlineStr">
        <is>
          <t>If session is stateful</t>
        </is>
      </c>
      <c r="G160" s="42" t="inlineStr">
        <is>
          <t>SESSION_STATEFUL="Yes"</t>
        </is>
      </c>
      <c r="H160" s="43">
        <f>IF(AND(SESSION_STATEFUL="Yes",D160&lt;=TARGET_LEVEL_NUM),"Applicable","N/A")</f>
        <v/>
      </c>
      <c r="I160" s="40" t="inlineStr">
        <is>
          <t>Integration testing</t>
        </is>
      </c>
      <c r="J160" s="40" t="inlineStr">
        <is>
          <t>Deterministic, continuous</t>
        </is>
      </c>
      <c r="K160" s="42" t="inlineStr">
        <is>
          <t>Pipeline</t>
        </is>
      </c>
      <c r="L160" s="42" t="inlineStr">
        <is>
          <t>Not assessed</t>
        </is>
      </c>
      <c r="M160" s="40" t="n"/>
      <c r="N160" s="40" t="n"/>
      <c r="O160" s="42" t="inlineStr">
        <is>
          <t>High</t>
        </is>
      </c>
      <c r="P160" s="43">
        <f>IF(H160="N/A","N/A",INDEX(CRIT_MATRIX,MATCH(O160,CRIT_MATRIX_ROWS,0),MATCH(APP_RISK_TIER,CRIT_MATRIX_COLS,0)))</f>
        <v/>
      </c>
    </row>
    <row r="161" ht="39.75" customHeight="1" s="19">
      <c r="A161" s="42" t="inlineStr">
        <is>
          <t>V7.2.4</t>
        </is>
      </c>
      <c r="B161" s="40" t="inlineStr">
        <is>
          <t>V7 - Session Management</t>
        </is>
      </c>
      <c r="C161" s="40" t="inlineStr">
        <is>
          <t>V7.2 - Fundamental Session Management Security</t>
        </is>
      </c>
      <c r="D161" s="42" t="n">
        <v>1</v>
      </c>
      <c r="E161" s="40" t="inlineStr">
        <is>
          <t>Verify that the application generates a new session token on user authentication, including re-authentication, and terminates the current session token.</t>
        </is>
      </c>
      <c r="F161" s="40" t="inlineStr">
        <is>
          <t>If session is stateful</t>
        </is>
      </c>
      <c r="G161" s="42" t="inlineStr">
        <is>
          <t>SESSION_STATEFUL="Yes"</t>
        </is>
      </c>
      <c r="H161" s="43">
        <f>IF(AND(SESSION_STATEFUL="Yes",D161&lt;=TARGET_LEVEL_NUM),"Applicable","N/A")</f>
        <v/>
      </c>
      <c r="I161" s="40" t="inlineStr">
        <is>
          <t>Integration testing</t>
        </is>
      </c>
      <c r="J161" s="40" t="inlineStr">
        <is>
          <t>Deterministic, continuous</t>
        </is>
      </c>
      <c r="K161" s="42" t="inlineStr">
        <is>
          <t>Pipeline</t>
        </is>
      </c>
      <c r="L161" s="42" t="inlineStr">
        <is>
          <t>Not assessed</t>
        </is>
      </c>
      <c r="M161" s="40" t="n"/>
      <c r="N161" s="40" t="n"/>
      <c r="O161" s="42" t="inlineStr">
        <is>
          <t>High</t>
        </is>
      </c>
      <c r="P161" s="43">
        <f>IF(H161="N/A","N/A",INDEX(CRIT_MATRIX,MATCH(O161,CRIT_MATRIX_ROWS,0),MATCH(APP_RISK_TIER,CRIT_MATRIX_COLS,0)))</f>
        <v/>
      </c>
    </row>
    <row r="162" ht="39.75" customHeight="1" s="19">
      <c r="A162" s="42" t="inlineStr">
        <is>
          <t>V7.3.1</t>
        </is>
      </c>
      <c r="B162" s="40" t="inlineStr">
        <is>
          <t>V7 - Session Management</t>
        </is>
      </c>
      <c r="C162" s="40" t="inlineStr">
        <is>
          <t>V7.3 - Session Timeout</t>
        </is>
      </c>
      <c r="D162" s="42" t="n">
        <v>2</v>
      </c>
      <c r="E162" s="40" t="inlineStr">
        <is>
          <t>Verify that there is an inactivity timeout such that re-authentication is enforced according to risk analysis and documented security decisions.</t>
        </is>
      </c>
      <c r="F162" s="40" t="inlineStr">
        <is>
          <t>If session is stateful</t>
        </is>
      </c>
      <c r="G162" s="42" t="inlineStr">
        <is>
          <t>SESSION_STATEFUL="Yes"</t>
        </is>
      </c>
      <c r="H162" s="43">
        <f>IF(AND(SESSION_STATEFUL="Yes",D162&lt;=TARGET_LEVEL_NUM),"Applicable","N/A")</f>
        <v/>
      </c>
      <c r="I162" s="40" t="inlineStr">
        <is>
          <t>Integration testing</t>
        </is>
      </c>
      <c r="J162" s="40" t="inlineStr">
        <is>
          <t>Deterministic, continuous</t>
        </is>
      </c>
      <c r="K162" s="42" t="inlineStr">
        <is>
          <t>Pipeline</t>
        </is>
      </c>
      <c r="L162" s="42" t="inlineStr">
        <is>
          <t>Not assessed</t>
        </is>
      </c>
      <c r="M162" s="40" t="n"/>
      <c r="N162" s="40" t="n"/>
      <c r="O162" s="42" t="inlineStr">
        <is>
          <t>High</t>
        </is>
      </c>
      <c r="P162" s="43">
        <f>IF(H162="N/A","N/A",INDEX(CRIT_MATRIX,MATCH(O162,CRIT_MATRIX_ROWS,0),MATCH(APP_RISK_TIER,CRIT_MATRIX_COLS,0)))</f>
        <v/>
      </c>
    </row>
    <row r="163" ht="39.75" customHeight="1" s="19">
      <c r="A163" s="42" t="inlineStr">
        <is>
          <t>V7.3.2</t>
        </is>
      </c>
      <c r="B163" s="40" t="inlineStr">
        <is>
          <t>V7 - Session Management</t>
        </is>
      </c>
      <c r="C163" s="40" t="inlineStr">
        <is>
          <t>V7.3 - Session Timeout</t>
        </is>
      </c>
      <c r="D163" s="42" t="n">
        <v>2</v>
      </c>
      <c r="E163" s="40" t="inlineStr">
        <is>
          <t>Verify that there is an absolute maximum session lifetime such that re-authentication is enforced according to risk analysis and documented security decisions.</t>
        </is>
      </c>
      <c r="F163" s="40" t="inlineStr">
        <is>
          <t>If session is stateful</t>
        </is>
      </c>
      <c r="G163" s="42" t="inlineStr">
        <is>
          <t>SESSION_STATEFUL="Yes"</t>
        </is>
      </c>
      <c r="H163" s="43">
        <f>IF(AND(SESSION_STATEFUL="Yes",D163&lt;=TARGET_LEVEL_NUM),"Applicable","N/A")</f>
        <v/>
      </c>
      <c r="I163" s="40" t="inlineStr">
        <is>
          <t>Integration testing</t>
        </is>
      </c>
      <c r="J163" s="40" t="inlineStr">
        <is>
          <t>Deterministic, continuous</t>
        </is>
      </c>
      <c r="K163" s="42" t="inlineStr">
        <is>
          <t>Pipeline</t>
        </is>
      </c>
      <c r="L163" s="42" t="inlineStr">
        <is>
          <t>Not assessed</t>
        </is>
      </c>
      <c r="M163" s="40" t="n"/>
      <c r="N163" s="40" t="n"/>
      <c r="O163" s="42" t="inlineStr">
        <is>
          <t>High</t>
        </is>
      </c>
      <c r="P163" s="43">
        <f>IF(H163="N/A","N/A",INDEX(CRIT_MATRIX,MATCH(O163,CRIT_MATRIX_ROWS,0),MATCH(APP_RISK_TIER,CRIT_MATRIX_COLS,0)))</f>
        <v/>
      </c>
    </row>
    <row r="164" ht="39.75" customHeight="1" s="19">
      <c r="A164" s="42" t="inlineStr">
        <is>
          <t>V7.4.1</t>
        </is>
      </c>
      <c r="B164" s="40" t="inlineStr">
        <is>
          <t>V7 - Session Management</t>
        </is>
      </c>
      <c r="C164" s="40" t="inlineStr">
        <is>
          <t>V7.4 - Session Termination</t>
        </is>
      </c>
      <c r="D164" s="42" t="n">
        <v>1</v>
      </c>
      <c r="E164" s="40" t="inlineStr">
        <is>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is>
      </c>
      <c r="F164" s="40" t="inlineStr">
        <is>
          <t>If session is stateful</t>
        </is>
      </c>
      <c r="G164" s="42" t="inlineStr">
        <is>
          <t>SESSION_STATEFUL="Yes"</t>
        </is>
      </c>
      <c r="H164" s="43">
        <f>IF(AND(SESSION_STATEFUL="Yes",D164&lt;=TARGET_LEVEL_NUM),"Applicable","N/A")</f>
        <v/>
      </c>
      <c r="I164" s="40" t="inlineStr">
        <is>
          <t>Integration testing</t>
        </is>
      </c>
      <c r="J164" s="40" t="inlineStr">
        <is>
          <t>Deterministic, continuous</t>
        </is>
      </c>
      <c r="K164" s="42" t="inlineStr">
        <is>
          <t>Pipeline</t>
        </is>
      </c>
      <c r="L164" s="42" t="inlineStr">
        <is>
          <t>Not assessed</t>
        </is>
      </c>
      <c r="M164" s="40" t="n"/>
      <c r="N164" s="40" t="n"/>
      <c r="O164" s="42" t="inlineStr">
        <is>
          <t>High</t>
        </is>
      </c>
      <c r="P164" s="43">
        <f>IF(H164="N/A","N/A",INDEX(CRIT_MATRIX,MATCH(O164,CRIT_MATRIX_ROWS,0),MATCH(APP_RISK_TIER,CRIT_MATRIX_COLS,0)))</f>
        <v/>
      </c>
    </row>
    <row r="165" ht="39.75" customHeight="1" s="19">
      <c r="A165" s="42" t="inlineStr">
        <is>
          <t>V7.4.2</t>
        </is>
      </c>
      <c r="B165" s="40" t="inlineStr">
        <is>
          <t>V7 - Session Management</t>
        </is>
      </c>
      <c r="C165" s="40" t="inlineStr">
        <is>
          <t>V7.4 - Session Termination</t>
        </is>
      </c>
      <c r="D165" s="42" t="n">
        <v>1</v>
      </c>
      <c r="E165" s="40" t="inlineStr">
        <is>
          <t>Verify that the application terminates all active sessions when a user account is disabled or deleted (such as an employee leaving the company).</t>
        </is>
      </c>
      <c r="F165" s="40" t="inlineStr">
        <is>
          <t>If session is stateful</t>
        </is>
      </c>
      <c r="G165" s="42" t="inlineStr">
        <is>
          <t>SESSION_STATEFUL="Yes"</t>
        </is>
      </c>
      <c r="H165" s="43">
        <f>IF(AND(SESSION_STATEFUL="Yes",D165&lt;=TARGET_LEVEL_NUM),"Applicable","N/A")</f>
        <v/>
      </c>
      <c r="I165" s="40" t="inlineStr">
        <is>
          <t>Integration testing</t>
        </is>
      </c>
      <c r="J165" s="40" t="inlineStr">
        <is>
          <t>Deterministic, continuous</t>
        </is>
      </c>
      <c r="K165" s="42" t="inlineStr">
        <is>
          <t>Pipeline</t>
        </is>
      </c>
      <c r="L165" s="42" t="inlineStr">
        <is>
          <t>Not assessed</t>
        </is>
      </c>
      <c r="M165" s="40" t="n"/>
      <c r="N165" s="40" t="n"/>
      <c r="O165" s="42" t="inlineStr">
        <is>
          <t>High</t>
        </is>
      </c>
      <c r="P165" s="43">
        <f>IF(H165="N/A","N/A",INDEX(CRIT_MATRIX,MATCH(O165,CRIT_MATRIX_ROWS,0),MATCH(APP_RISK_TIER,CRIT_MATRIX_COLS,0)))</f>
        <v/>
      </c>
    </row>
    <row r="166" ht="39.75" customHeight="1" s="19">
      <c r="A166" s="42" t="inlineStr">
        <is>
          <t>V7.4.3</t>
        </is>
      </c>
      <c r="B166" s="40" t="inlineStr">
        <is>
          <t>V7 - Session Management</t>
        </is>
      </c>
      <c r="C166" s="40" t="inlineStr">
        <is>
          <t>V7.4 - Session Termination</t>
        </is>
      </c>
      <c r="D166" s="42" t="n">
        <v>2</v>
      </c>
      <c r="E166" s="40" t="inlineStr">
        <is>
          <t>Verify that the application gives the option to terminate all other active sessions after a successful change or removal of any authentication factor (including password change via reset or recovery and, if present, an MFA settings update).</t>
        </is>
      </c>
      <c r="F166" s="40" t="inlineStr">
        <is>
          <t>If session is stateful</t>
        </is>
      </c>
      <c r="G166" s="42" t="inlineStr">
        <is>
          <t>SESSION_STATEFUL="Yes"</t>
        </is>
      </c>
      <c r="H166" s="43">
        <f>IF(AND(SESSION_STATEFUL="Yes",D166&lt;=TARGET_LEVEL_NUM),"Applicable","N/A")</f>
        <v/>
      </c>
      <c r="I166" s="40" t="inlineStr">
        <is>
          <t>Integration testing</t>
        </is>
      </c>
      <c r="J166" s="40" t="inlineStr">
        <is>
          <t>Deterministic, continuous</t>
        </is>
      </c>
      <c r="K166" s="42" t="inlineStr">
        <is>
          <t>Pipeline</t>
        </is>
      </c>
      <c r="L166" s="42" t="inlineStr">
        <is>
          <t>Not assessed</t>
        </is>
      </c>
      <c r="M166" s="40" t="n"/>
      <c r="N166" s="40" t="n"/>
      <c r="O166" s="42" t="inlineStr">
        <is>
          <t>High</t>
        </is>
      </c>
      <c r="P166" s="43">
        <f>IF(H166="N/A","N/A",INDEX(CRIT_MATRIX,MATCH(O166,CRIT_MATRIX_ROWS,0),MATCH(APP_RISK_TIER,CRIT_MATRIX_COLS,0)))</f>
        <v/>
      </c>
    </row>
    <row r="167" ht="39.75" customHeight="1" s="19">
      <c r="A167" s="42" t="inlineStr">
        <is>
          <t>V7.4.4</t>
        </is>
      </c>
      <c r="B167" s="40" t="inlineStr">
        <is>
          <t>V7 - Session Management</t>
        </is>
      </c>
      <c r="C167" s="40" t="inlineStr">
        <is>
          <t>V7.4 - Session Termination</t>
        </is>
      </c>
      <c r="D167" s="42" t="n">
        <v>2</v>
      </c>
      <c r="E167" s="40" t="inlineStr">
        <is>
          <t>Verify that all pages that require authentication have easy and visible access to logout functionality.</t>
        </is>
      </c>
      <c r="F167" s="40" t="inlineStr">
        <is>
          <t>If session is stateful</t>
        </is>
      </c>
      <c r="G167" s="42" t="inlineStr">
        <is>
          <t>SESSION_STATEFUL="Yes"</t>
        </is>
      </c>
      <c r="H167" s="43">
        <f>IF(AND(SESSION_STATEFUL="Yes",D167&lt;=TARGET_LEVEL_NUM),"Applicable","N/A")</f>
        <v/>
      </c>
      <c r="I167" s="40" t="inlineStr">
        <is>
          <t>Integration testing</t>
        </is>
      </c>
      <c r="J167" s="40" t="inlineStr">
        <is>
          <t>Deterministic, continuous</t>
        </is>
      </c>
      <c r="K167" s="42" t="inlineStr">
        <is>
          <t>Pipeline</t>
        </is>
      </c>
      <c r="L167" s="42" t="inlineStr">
        <is>
          <t>Not assessed</t>
        </is>
      </c>
      <c r="M167" s="40" t="n"/>
      <c r="N167" s="40" t="n"/>
      <c r="O167" s="42" t="inlineStr">
        <is>
          <t>High</t>
        </is>
      </c>
      <c r="P167" s="43">
        <f>IF(H167="N/A","N/A",INDEX(CRIT_MATRIX,MATCH(O167,CRIT_MATRIX_ROWS,0),MATCH(APP_RISK_TIER,CRIT_MATRIX_COLS,0)))</f>
        <v/>
      </c>
    </row>
    <row r="168" ht="39.75" customHeight="1" s="19">
      <c r="A168" s="42" t="inlineStr">
        <is>
          <t>V7.4.5</t>
        </is>
      </c>
      <c r="B168" s="40" t="inlineStr">
        <is>
          <t>V7 - Session Management</t>
        </is>
      </c>
      <c r="C168" s="40" t="inlineStr">
        <is>
          <t>V7.4 - Session Termination</t>
        </is>
      </c>
      <c r="D168" s="42" t="n">
        <v>2</v>
      </c>
      <c r="E168" s="40" t="inlineStr">
        <is>
          <t>Verify that application administrators are able to terminate active sessions for an individual user or for all users.</t>
        </is>
      </c>
      <c r="F168" s="40" t="inlineStr">
        <is>
          <t>If session is stateful</t>
        </is>
      </c>
      <c r="G168" s="42" t="inlineStr">
        <is>
          <t>SESSION_STATEFUL="Yes"</t>
        </is>
      </c>
      <c r="H168" s="43">
        <f>IF(AND(SESSION_STATEFUL="Yes",D168&lt;=TARGET_LEVEL_NUM),"Applicable","N/A")</f>
        <v/>
      </c>
      <c r="I168" s="40" t="inlineStr">
        <is>
          <t>Integration testing</t>
        </is>
      </c>
      <c r="J168" s="40" t="inlineStr">
        <is>
          <t>Deterministic, continuous</t>
        </is>
      </c>
      <c r="K168" s="42" t="inlineStr">
        <is>
          <t>Pipeline</t>
        </is>
      </c>
      <c r="L168" s="42" t="inlineStr">
        <is>
          <t>Not assessed</t>
        </is>
      </c>
      <c r="M168" s="40" t="n"/>
      <c r="N168" s="40" t="n"/>
      <c r="O168" s="42" t="inlineStr">
        <is>
          <t>High</t>
        </is>
      </c>
      <c r="P168" s="43">
        <f>IF(H168="N/A","N/A",INDEX(CRIT_MATRIX,MATCH(O168,CRIT_MATRIX_ROWS,0),MATCH(APP_RISK_TIER,CRIT_MATRIX_COLS,0)))</f>
        <v/>
      </c>
    </row>
    <row r="169" ht="39.75" customHeight="1" s="19">
      <c r="A169" s="42" t="inlineStr">
        <is>
          <t>V7.5.1</t>
        </is>
      </c>
      <c r="B169" s="40" t="inlineStr">
        <is>
          <t>V7 - Session Management</t>
        </is>
      </c>
      <c r="C169" s="40" t="inlineStr">
        <is>
          <t>V7.5 - Defenses Against Session Abuse</t>
        </is>
      </c>
      <c r="D169" s="42" t="n">
        <v>2</v>
      </c>
      <c r="E169" s="40" t="inlineStr">
        <is>
          <t>Verify that the application requires full re-authentication before allowing modifications to sensitive account attributes which may affect authentication such as email address, phone number, MFA configuration, or other information used in account recovery.</t>
        </is>
      </c>
      <c r="F169" s="40" t="inlineStr">
        <is>
          <t>If session is stateful</t>
        </is>
      </c>
      <c r="G169" s="42" t="inlineStr">
        <is>
          <t>SESSION_STATEFUL="Yes"</t>
        </is>
      </c>
      <c r="H169" s="43">
        <f>IF(AND(SESSION_STATEFUL="Yes",D169&lt;=TARGET_LEVEL_NUM),"Applicable","N/A")</f>
        <v/>
      </c>
      <c r="I169" s="40" t="inlineStr">
        <is>
          <t>Integration testing</t>
        </is>
      </c>
      <c r="J169" s="40" t="inlineStr">
        <is>
          <t>Deterministic, continuous</t>
        </is>
      </c>
      <c r="K169" s="42" t="inlineStr">
        <is>
          <t>Pipeline</t>
        </is>
      </c>
      <c r="L169" s="42" t="inlineStr">
        <is>
          <t>Not assessed</t>
        </is>
      </c>
      <c r="M169" s="40" t="n"/>
      <c r="N169" s="40" t="n"/>
      <c r="O169" s="42" t="inlineStr">
        <is>
          <t>High</t>
        </is>
      </c>
      <c r="P169" s="43">
        <f>IF(H169="N/A","N/A",INDEX(CRIT_MATRIX,MATCH(O169,CRIT_MATRIX_ROWS,0),MATCH(APP_RISK_TIER,CRIT_MATRIX_COLS,0)))</f>
        <v/>
      </c>
    </row>
    <row r="170" ht="39.75" customHeight="1" s="19">
      <c r="A170" s="42" t="inlineStr">
        <is>
          <t>V7.5.2</t>
        </is>
      </c>
      <c r="B170" s="40" t="inlineStr">
        <is>
          <t>V7 - Session Management</t>
        </is>
      </c>
      <c r="C170" s="40" t="inlineStr">
        <is>
          <t>V7.5 - Defenses Against Session Abuse</t>
        </is>
      </c>
      <c r="D170" s="42" t="n">
        <v>2</v>
      </c>
      <c r="E170" s="40" t="inlineStr">
        <is>
          <t>Verify that users are able to view and (having authenticated again with at least one factor) terminate any or all currently active sessions.</t>
        </is>
      </c>
      <c r="F170" s="40" t="inlineStr">
        <is>
          <t>If session is stateful</t>
        </is>
      </c>
      <c r="G170" s="42" t="inlineStr">
        <is>
          <t>SESSION_STATEFUL="Yes"</t>
        </is>
      </c>
      <c r="H170" s="43">
        <f>IF(AND(SESSION_STATEFUL="Yes",D170&lt;=TARGET_LEVEL_NUM),"Applicable","N/A")</f>
        <v/>
      </c>
      <c r="I170" s="40" t="inlineStr">
        <is>
          <t>Integration testing</t>
        </is>
      </c>
      <c r="J170" s="40" t="inlineStr">
        <is>
          <t>Deterministic, continuous</t>
        </is>
      </c>
      <c r="K170" s="42" t="inlineStr">
        <is>
          <t>Pipeline</t>
        </is>
      </c>
      <c r="L170" s="42" t="inlineStr">
        <is>
          <t>Not assessed</t>
        </is>
      </c>
      <c r="M170" s="40" t="n"/>
      <c r="N170" s="40" t="n"/>
      <c r="O170" s="42" t="inlineStr">
        <is>
          <t>High</t>
        </is>
      </c>
      <c r="P170" s="43">
        <f>IF(H170="N/A","N/A",INDEX(CRIT_MATRIX,MATCH(O170,CRIT_MATRIX_ROWS,0),MATCH(APP_RISK_TIER,CRIT_MATRIX_COLS,0)))</f>
        <v/>
      </c>
    </row>
    <row r="171" ht="39.75" customHeight="1" s="19">
      <c r="A171" s="42" t="inlineStr">
        <is>
          <t>V7.5.3</t>
        </is>
      </c>
      <c r="B171" s="40" t="inlineStr">
        <is>
          <t>V7 - Session Management</t>
        </is>
      </c>
      <c r="C171" s="40" t="inlineStr">
        <is>
          <t>V7.5 - Defenses Against Session Abuse</t>
        </is>
      </c>
      <c r="D171" s="42" t="n">
        <v>3</v>
      </c>
      <c r="E171" s="40" t="inlineStr">
        <is>
          <t>Verify that the application requires further authentication with at least one factor or secondary verification before performing highly sensitive transactions or operations.</t>
        </is>
      </c>
      <c r="F171" s="40" t="inlineStr">
        <is>
          <t>If session is stateful</t>
        </is>
      </c>
      <c r="G171" s="42" t="inlineStr">
        <is>
          <t>SESSION_STATEFUL="Yes"</t>
        </is>
      </c>
      <c r="H171" s="43">
        <f>IF(AND(SESSION_STATEFUL="Yes",D171&lt;=TARGET_LEVEL_NUM),"Applicable","N/A")</f>
        <v/>
      </c>
      <c r="I171" s="40" t="inlineStr">
        <is>
          <t>Integration testing</t>
        </is>
      </c>
      <c r="J171" s="40" t="inlineStr">
        <is>
          <t>Deterministic, continuous</t>
        </is>
      </c>
      <c r="K171" s="42" t="inlineStr">
        <is>
          <t>Pipeline</t>
        </is>
      </c>
      <c r="L171" s="42" t="inlineStr">
        <is>
          <t>Not assessed</t>
        </is>
      </c>
      <c r="M171" s="40" t="n"/>
      <c r="N171" s="40" t="n"/>
      <c r="O171" s="42" t="inlineStr">
        <is>
          <t>High</t>
        </is>
      </c>
      <c r="P171" s="43">
        <f>IF(H171="N/A","N/A",INDEX(CRIT_MATRIX,MATCH(O171,CRIT_MATRIX_ROWS,0),MATCH(APP_RISK_TIER,CRIT_MATRIX_COLS,0)))</f>
        <v/>
      </c>
    </row>
    <row r="172" ht="39.75" customHeight="1" s="19">
      <c r="A172" s="42" t="inlineStr">
        <is>
          <t>V7.6.1</t>
        </is>
      </c>
      <c r="B172" s="40" t="inlineStr">
        <is>
          <t>V7 - Session Management</t>
        </is>
      </c>
      <c r="C172" s="40" t="inlineStr">
        <is>
          <t>V7.6 - Federated Re-authentication</t>
        </is>
      </c>
      <c r="D172" s="42" t="n">
        <v>2</v>
      </c>
      <c r="E172" s="40" t="inlineStr">
        <is>
          <t>Verify that session lifetime and termination between Relying Parties (RPs) and Identity Providers (IdPs) behave as documented, requiring re-authentication as necessary such as when the maximum time between IdP authentication events is reached.</t>
        </is>
      </c>
      <c r="F172" s="40" t="inlineStr">
        <is>
          <t>If session is stateful</t>
        </is>
      </c>
      <c r="G172" s="42" t="inlineStr">
        <is>
          <t>SESSION_STATEFUL="Yes"</t>
        </is>
      </c>
      <c r="H172" s="43">
        <f>IF(AND(SESSION_STATEFUL="Yes",D172&lt;=TARGET_LEVEL_NUM),"Applicable","N/A")</f>
        <v/>
      </c>
      <c r="I172" s="40" t="inlineStr">
        <is>
          <t>Integration testing</t>
        </is>
      </c>
      <c r="J172" s="40" t="inlineStr">
        <is>
          <t>Deterministic, continuous</t>
        </is>
      </c>
      <c r="K172" s="42" t="inlineStr">
        <is>
          <t>Pipeline</t>
        </is>
      </c>
      <c r="L172" s="42" t="inlineStr">
        <is>
          <t>Not assessed</t>
        </is>
      </c>
      <c r="M172" s="40" t="n"/>
      <c r="N172" s="40" t="n"/>
      <c r="O172" s="42" t="inlineStr">
        <is>
          <t>High</t>
        </is>
      </c>
      <c r="P172" s="43">
        <f>IF(H172="N/A","N/A",INDEX(CRIT_MATRIX,MATCH(O172,CRIT_MATRIX_ROWS,0),MATCH(APP_RISK_TIER,CRIT_MATRIX_COLS,0)))</f>
        <v/>
      </c>
    </row>
    <row r="173" ht="39.75" customHeight="1" s="19">
      <c r="A173" s="42" t="inlineStr">
        <is>
          <t>V7.6.2</t>
        </is>
      </c>
      <c r="B173" s="40" t="inlineStr">
        <is>
          <t>V7 - Session Management</t>
        </is>
      </c>
      <c r="C173" s="40" t="inlineStr">
        <is>
          <t>V7.6 - Federated Re-authentication</t>
        </is>
      </c>
      <c r="D173" s="42" t="n">
        <v>2</v>
      </c>
      <c r="E173" s="40" t="inlineStr">
        <is>
          <t>Verify that creation of a session requires either the user's consent or an explicit action, preventing the creation of new application sessions without user interaction.</t>
        </is>
      </c>
      <c r="F173" s="40" t="inlineStr">
        <is>
          <t>If session is stateful</t>
        </is>
      </c>
      <c r="G173" s="42" t="inlineStr">
        <is>
          <t>SESSION_STATEFUL="Yes"</t>
        </is>
      </c>
      <c r="H173" s="43">
        <f>IF(AND(SESSION_STATEFUL="Yes",D173&lt;=TARGET_LEVEL_NUM),"Applicable","N/A")</f>
        <v/>
      </c>
      <c r="I173" s="40" t="inlineStr">
        <is>
          <t>Integration testing</t>
        </is>
      </c>
      <c r="J173" s="40" t="inlineStr">
        <is>
          <t>Deterministic, continuous</t>
        </is>
      </c>
      <c r="K173" s="42" t="inlineStr">
        <is>
          <t>Pipeline</t>
        </is>
      </c>
      <c r="L173" s="42" t="inlineStr">
        <is>
          <t>Not assessed</t>
        </is>
      </c>
      <c r="M173" s="40" t="n"/>
      <c r="N173" s="40" t="n"/>
      <c r="O173" s="42" t="inlineStr">
        <is>
          <t>High</t>
        </is>
      </c>
      <c r="P173" s="43">
        <f>IF(H173="N/A","N/A",INDEX(CRIT_MATRIX,MATCH(O173,CRIT_MATRIX_ROWS,0),MATCH(APP_RISK_TIER,CRIT_MATRIX_COLS,0)))</f>
        <v/>
      </c>
    </row>
    <row r="174" ht="39.75" customHeight="1" s="19">
      <c r="A174" s="42" t="inlineStr">
        <is>
          <t>V8.1.1</t>
        </is>
      </c>
      <c r="B174" s="40" t="inlineStr">
        <is>
          <t>V8 - Authorization</t>
        </is>
      </c>
      <c r="C174" s="40" t="inlineStr">
        <is>
          <t>V8.1 - Authorization Documentation</t>
        </is>
      </c>
      <c r="D174" s="42" t="n">
        <v>1</v>
      </c>
      <c r="E174" s="40" t="inlineStr">
        <is>
          <t>Verify that authorization documentation defines rules for restricting function-level and data-specific access based on consumer permissions and resource attributes.</t>
        </is>
      </c>
      <c r="F174" s="40" t="inlineStr">
        <is>
          <t>Always</t>
        </is>
      </c>
      <c r="G174" s="42" t="inlineStr">
        <is>
          <t>TRUE</t>
        </is>
      </c>
      <c r="H174" s="43">
        <f>IF(AND(TRUE(),D174&lt;=TARGET_LEVEL_NUM),"Applicable","N/A")</f>
        <v/>
      </c>
      <c r="I174" s="40" t="inlineStr">
        <is>
          <t>Architecture / documentation review</t>
        </is>
      </c>
      <c r="J174" s="40" t="inlineStr">
        <is>
          <t>Sampled, periodic</t>
        </is>
      </c>
      <c r="K174" s="42" t="inlineStr">
        <is>
          <t>Design/Governance</t>
        </is>
      </c>
      <c r="L174" s="42" t="inlineStr">
        <is>
          <t>Not assessed</t>
        </is>
      </c>
      <c r="M174" s="40" t="n"/>
      <c r="N174" s="40" t="n"/>
      <c r="O174" s="42" t="inlineStr">
        <is>
          <t>High</t>
        </is>
      </c>
      <c r="P174" s="43">
        <f>IF(H174="N/A","N/A",INDEX(CRIT_MATRIX,MATCH(O174,CRIT_MATRIX_ROWS,0),MATCH(APP_RISK_TIER,CRIT_MATRIX_COLS,0)))</f>
        <v/>
      </c>
    </row>
    <row r="175" ht="39.75" customHeight="1" s="19">
      <c r="A175" s="42" t="inlineStr">
        <is>
          <t>V8.1.2</t>
        </is>
      </c>
      <c r="B175" s="40" t="inlineStr">
        <is>
          <t>V8 - Authorization</t>
        </is>
      </c>
      <c r="C175" s="40" t="inlineStr">
        <is>
          <t>V8.1 - Authorization Documentation</t>
        </is>
      </c>
      <c r="D175" s="42" t="n">
        <v>2</v>
      </c>
      <c r="E175" s="40" t="inlineStr">
        <is>
          <t>Verify that authorization documentation defines rules for field-level access restrictions (both read and write) based on consumer permissions and resource attributes. Note that these rules might depend on other attribute values of the relevant data object, such as state or status.</t>
        </is>
      </c>
      <c r="F175" s="40" t="inlineStr">
        <is>
          <t>Always</t>
        </is>
      </c>
      <c r="G175" s="42" t="inlineStr">
        <is>
          <t>TRUE</t>
        </is>
      </c>
      <c r="H175" s="43">
        <f>IF(AND(TRUE(),D175&lt;=TARGET_LEVEL_NUM),"Applicable","N/A")</f>
        <v/>
      </c>
      <c r="I175" s="40" t="inlineStr">
        <is>
          <t>Architecture / documentation review</t>
        </is>
      </c>
      <c r="J175" s="40" t="inlineStr">
        <is>
          <t>Sampled, periodic</t>
        </is>
      </c>
      <c r="K175" s="42" t="inlineStr">
        <is>
          <t>Design/Governance</t>
        </is>
      </c>
      <c r="L175" s="42" t="inlineStr">
        <is>
          <t>Not assessed</t>
        </is>
      </c>
      <c r="M175" s="40" t="n"/>
      <c r="N175" s="40" t="n"/>
      <c r="O175" s="42" t="inlineStr">
        <is>
          <t>High</t>
        </is>
      </c>
      <c r="P175" s="43">
        <f>IF(H175="N/A","N/A",INDEX(CRIT_MATRIX,MATCH(O175,CRIT_MATRIX_ROWS,0),MATCH(APP_RISK_TIER,CRIT_MATRIX_COLS,0)))</f>
        <v/>
      </c>
    </row>
    <row r="176" ht="39.75" customHeight="1" s="19">
      <c r="A176" s="42" t="inlineStr">
        <is>
          <t>V8.1.3</t>
        </is>
      </c>
      <c r="B176" s="40" t="inlineStr">
        <is>
          <t>V8 - Authorization</t>
        </is>
      </c>
      <c r="C176" s="40" t="inlineStr">
        <is>
          <t>V8.1 - Authorization Documentation</t>
        </is>
      </c>
      <c r="D176" s="42" t="n">
        <v>3</v>
      </c>
      <c r="E176" s="40" t="inlineStr">
        <is>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is>
      </c>
      <c r="F176" s="40" t="inlineStr">
        <is>
          <t>Always</t>
        </is>
      </c>
      <c r="G176" s="42" t="inlineStr">
        <is>
          <t>TRUE</t>
        </is>
      </c>
      <c r="H176" s="43">
        <f>IF(AND(TRUE(),D176&lt;=TARGET_LEVEL_NUM),"Applicable","N/A")</f>
        <v/>
      </c>
      <c r="I176" s="40" t="inlineStr">
        <is>
          <t>Architecture / documentation review</t>
        </is>
      </c>
      <c r="J176" s="40" t="inlineStr">
        <is>
          <t>Sampled, periodic</t>
        </is>
      </c>
      <c r="K176" s="42" t="inlineStr">
        <is>
          <t>Design/Governance</t>
        </is>
      </c>
      <c r="L176" s="42" t="inlineStr">
        <is>
          <t>Not assessed</t>
        </is>
      </c>
      <c r="M176" s="40" t="n"/>
      <c r="N176" s="40" t="n"/>
      <c r="O176" s="42" t="inlineStr">
        <is>
          <t>High</t>
        </is>
      </c>
      <c r="P176" s="43">
        <f>IF(H176="N/A","N/A",INDEX(CRIT_MATRIX,MATCH(O176,CRIT_MATRIX_ROWS,0),MATCH(APP_RISK_TIER,CRIT_MATRIX_COLS,0)))</f>
        <v/>
      </c>
    </row>
    <row r="177" ht="39.75" customHeight="1" s="19">
      <c r="A177" s="42" t="inlineStr">
        <is>
          <t>V8.1.4</t>
        </is>
      </c>
      <c r="B177" s="40" t="inlineStr">
        <is>
          <t>V8 - Authorization</t>
        </is>
      </c>
      <c r="C177" s="40" t="inlineStr">
        <is>
          <t>V8.1 - Authorization Documentation</t>
        </is>
      </c>
      <c r="D177" s="42" t="n">
        <v>3</v>
      </c>
      <c r="E177" s="40" t="inlineStr">
        <is>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is>
      </c>
      <c r="F177" s="40" t="inlineStr">
        <is>
          <t>Always</t>
        </is>
      </c>
      <c r="G177" s="42" t="inlineStr">
        <is>
          <t>TRUE</t>
        </is>
      </c>
      <c r="H177" s="43">
        <f>IF(AND(TRUE(),D177&lt;=TARGET_LEVEL_NUM),"Applicable","N/A")</f>
        <v/>
      </c>
      <c r="I177" s="40" t="inlineStr">
        <is>
          <t>Architecture / documentation review</t>
        </is>
      </c>
      <c r="J177" s="40" t="inlineStr">
        <is>
          <t>Sampled, periodic</t>
        </is>
      </c>
      <c r="K177" s="42" t="inlineStr">
        <is>
          <t>Design/Governance</t>
        </is>
      </c>
      <c r="L177" s="42" t="inlineStr">
        <is>
          <t>Not assessed</t>
        </is>
      </c>
      <c r="M177" s="40" t="n"/>
      <c r="N177" s="40" t="n"/>
      <c r="O177" s="42" t="inlineStr">
        <is>
          <t>High</t>
        </is>
      </c>
      <c r="P177" s="43">
        <f>IF(H177="N/A","N/A",INDEX(CRIT_MATRIX,MATCH(O177,CRIT_MATRIX_ROWS,0),MATCH(APP_RISK_TIER,CRIT_MATRIX_COLS,0)))</f>
        <v/>
      </c>
    </row>
    <row r="178" ht="39.75" customHeight="1" s="19">
      <c r="A178" s="42" t="inlineStr">
        <is>
          <t>V8.2.1</t>
        </is>
      </c>
      <c r="B178" s="40" t="inlineStr">
        <is>
          <t>V8 - Authorization</t>
        </is>
      </c>
      <c r="C178" s="40" t="inlineStr">
        <is>
          <t>V8.2 - General Authorization Design</t>
        </is>
      </c>
      <c r="D178" s="42" t="n">
        <v>1</v>
      </c>
      <c r="E178" s="40" t="inlineStr">
        <is>
          <t>Verify that the application ensures that function-level access is restricted to consumers with explicit permissions.</t>
        </is>
      </c>
      <c r="F178" s="40" t="inlineStr">
        <is>
          <t>Always</t>
        </is>
      </c>
      <c r="G178" s="42" t="inlineStr">
        <is>
          <t>TRUE</t>
        </is>
      </c>
      <c r="H178" s="43">
        <f>IF(AND(TRUE(),D178&lt;=TARGET_LEVEL_NUM),"Applicable","N/A")</f>
        <v/>
      </c>
      <c r="I178" s="40" t="inlineStr">
        <is>
          <t>SAST + integration testing</t>
        </is>
      </c>
      <c r="J178" s="40" t="inlineStr">
        <is>
          <t>Deterministic, continuous</t>
        </is>
      </c>
      <c r="K178" s="42" t="inlineStr">
        <is>
          <t>Pipeline</t>
        </is>
      </c>
      <c r="L178" s="42" t="inlineStr">
        <is>
          <t>Not assessed</t>
        </is>
      </c>
      <c r="M178" s="40" t="n"/>
      <c r="N178" s="40" t="n"/>
      <c r="O178" s="42" t="inlineStr">
        <is>
          <t>High</t>
        </is>
      </c>
      <c r="P178" s="43">
        <f>IF(H178="N/A","N/A",INDEX(CRIT_MATRIX,MATCH(O178,CRIT_MATRIX_ROWS,0),MATCH(APP_RISK_TIER,CRIT_MATRIX_COLS,0)))</f>
        <v/>
      </c>
    </row>
    <row r="179" ht="39.75" customHeight="1" s="19">
      <c r="A179" s="42" t="inlineStr">
        <is>
          <t>V8.2.2</t>
        </is>
      </c>
      <c r="B179" s="40" t="inlineStr">
        <is>
          <t>V8 - Authorization</t>
        </is>
      </c>
      <c r="C179" s="40" t="inlineStr">
        <is>
          <t>V8.2 - General Authorization Design</t>
        </is>
      </c>
      <c r="D179" s="42" t="n">
        <v>1</v>
      </c>
      <c r="E179" s="40" t="inlineStr">
        <is>
          <t>Verify that the application ensures that data-specific access is restricted to consumers with explicit permissions to specific data items to mitigate insecure direct object reference (IDOR) and broken object level authorization (BOLA).</t>
        </is>
      </c>
      <c r="F179" s="40" t="inlineStr">
        <is>
          <t>Always</t>
        </is>
      </c>
      <c r="G179" s="42" t="inlineStr">
        <is>
          <t>TRUE</t>
        </is>
      </c>
      <c r="H179" s="43">
        <f>IF(AND(TRUE(),D179&lt;=TARGET_LEVEL_NUM),"Applicable","N/A")</f>
        <v/>
      </c>
      <c r="I179" s="40" t="inlineStr">
        <is>
          <t>SAST + integration testing</t>
        </is>
      </c>
      <c r="J179" s="40" t="inlineStr">
        <is>
          <t>Deterministic, continuous</t>
        </is>
      </c>
      <c r="K179" s="42" t="inlineStr">
        <is>
          <t>Pipeline</t>
        </is>
      </c>
      <c r="L179" s="42" t="inlineStr">
        <is>
          <t>Not assessed</t>
        </is>
      </c>
      <c r="M179" s="40" t="n"/>
      <c r="N179" s="40" t="n"/>
      <c r="O179" s="42" t="inlineStr">
        <is>
          <t>High</t>
        </is>
      </c>
      <c r="P179" s="43">
        <f>IF(H179="N/A","N/A",INDEX(CRIT_MATRIX,MATCH(O179,CRIT_MATRIX_ROWS,0),MATCH(APP_RISK_TIER,CRIT_MATRIX_COLS,0)))</f>
        <v/>
      </c>
    </row>
    <row r="180" ht="39.75" customHeight="1" s="19">
      <c r="A180" s="42" t="inlineStr">
        <is>
          <t>V8.2.3</t>
        </is>
      </c>
      <c r="B180" s="40" t="inlineStr">
        <is>
          <t>V8 - Authorization</t>
        </is>
      </c>
      <c r="C180" s="40" t="inlineStr">
        <is>
          <t>V8.2 - General Authorization Design</t>
        </is>
      </c>
      <c r="D180" s="42" t="n">
        <v>2</v>
      </c>
      <c r="E180" s="40" t="inlineStr">
        <is>
          <t>Verify that the application ensures that field-level access is restricted to consumers with explicit permissions to specific fields to mitigate broken object property level authorization (BOPLA).</t>
        </is>
      </c>
      <c r="F180" s="40" t="inlineStr">
        <is>
          <t>Always</t>
        </is>
      </c>
      <c r="G180" s="42" t="inlineStr">
        <is>
          <t>TRUE</t>
        </is>
      </c>
      <c r="H180" s="43">
        <f>IF(AND(TRUE(),D180&lt;=TARGET_LEVEL_NUM),"Applicable","N/A")</f>
        <v/>
      </c>
      <c r="I180" s="40" t="inlineStr">
        <is>
          <t>SAST + integration testing</t>
        </is>
      </c>
      <c r="J180" s="40" t="inlineStr">
        <is>
          <t>Deterministic, continuous</t>
        </is>
      </c>
      <c r="K180" s="42" t="inlineStr">
        <is>
          <t>Pipeline</t>
        </is>
      </c>
      <c r="L180" s="42" t="inlineStr">
        <is>
          <t>Not assessed</t>
        </is>
      </c>
      <c r="M180" s="40" t="n"/>
      <c r="N180" s="40" t="n"/>
      <c r="O180" s="42" t="inlineStr">
        <is>
          <t>High</t>
        </is>
      </c>
      <c r="P180" s="43">
        <f>IF(H180="N/A","N/A",INDEX(CRIT_MATRIX,MATCH(O180,CRIT_MATRIX_ROWS,0),MATCH(APP_RISK_TIER,CRIT_MATRIX_COLS,0)))</f>
        <v/>
      </c>
    </row>
    <row r="181" ht="39.75" customHeight="1" s="19">
      <c r="A181" s="42" t="inlineStr">
        <is>
          <t>V8.2.4</t>
        </is>
      </c>
      <c r="B181" s="40" t="inlineStr">
        <is>
          <t>V8 - Authorization</t>
        </is>
      </c>
      <c r="C181" s="40" t="inlineStr">
        <is>
          <t>V8.2 - General Authorization Design</t>
        </is>
      </c>
      <c r="D181" s="42" t="n">
        <v>3</v>
      </c>
      <c r="E181" s="40" t="inlineStr">
        <is>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is>
      </c>
      <c r="F181" s="40" t="inlineStr">
        <is>
          <t>Always</t>
        </is>
      </c>
      <c r="G181" s="42" t="inlineStr">
        <is>
          <t>TRUE</t>
        </is>
      </c>
      <c r="H181" s="43">
        <f>IF(AND(TRUE(),D181&lt;=TARGET_LEVEL_NUM),"Applicable","N/A")</f>
        <v/>
      </c>
      <c r="I181" s="40" t="inlineStr">
        <is>
          <t>SAST + integration testing</t>
        </is>
      </c>
      <c r="J181" s="40" t="inlineStr">
        <is>
          <t>Deterministic, continuous</t>
        </is>
      </c>
      <c r="K181" s="42" t="inlineStr">
        <is>
          <t>Pipeline</t>
        </is>
      </c>
      <c r="L181" s="42" t="inlineStr">
        <is>
          <t>Not assessed</t>
        </is>
      </c>
      <c r="M181" s="40" t="n"/>
      <c r="N181" s="40" t="n"/>
      <c r="O181" s="42" t="inlineStr">
        <is>
          <t>High</t>
        </is>
      </c>
      <c r="P181" s="43">
        <f>IF(H181="N/A","N/A",INDEX(CRIT_MATRIX,MATCH(O181,CRIT_MATRIX_ROWS,0),MATCH(APP_RISK_TIER,CRIT_MATRIX_COLS,0)))</f>
        <v/>
      </c>
    </row>
    <row r="182" ht="39.75" customHeight="1" s="19">
      <c r="A182" s="42" t="inlineStr">
        <is>
          <t>V8.3.1</t>
        </is>
      </c>
      <c r="B182" s="40" t="inlineStr">
        <is>
          <t>V8 - Authorization</t>
        </is>
      </c>
      <c r="C182" s="40" t="inlineStr">
        <is>
          <t>V8.3 - Operation Level Authorization</t>
        </is>
      </c>
      <c r="D182" s="42" t="n">
        <v>1</v>
      </c>
      <c r="E182" s="40" t="inlineStr">
        <is>
          <t>Verify that the application enforces authorization rules at a trusted service layer and doesn't rely on controls that an untrusted consumer could manipulate, such as client-side JavaScript.</t>
        </is>
      </c>
      <c r="F182" s="40" t="inlineStr">
        <is>
          <t>Always</t>
        </is>
      </c>
      <c r="G182" s="42" t="inlineStr">
        <is>
          <t>TRUE</t>
        </is>
      </c>
      <c r="H182" s="43">
        <f>IF(AND(TRUE(),D182&lt;=TARGET_LEVEL_NUM),"Applicable","N/A")</f>
        <v/>
      </c>
      <c r="I182" s="40" t="inlineStr">
        <is>
          <t>Pentest / authenticated DAST</t>
        </is>
      </c>
      <c r="J182" s="40" t="inlineStr">
        <is>
          <t>Sampled, periodic</t>
        </is>
      </c>
      <c r="K182" s="42" t="inlineStr">
        <is>
          <t>Periodic</t>
        </is>
      </c>
      <c r="L182" s="42" t="inlineStr">
        <is>
          <t>Not assessed</t>
        </is>
      </c>
      <c r="M182" s="40" t="n"/>
      <c r="N182" s="40" t="n"/>
      <c r="O182" s="42" t="inlineStr">
        <is>
          <t>High</t>
        </is>
      </c>
      <c r="P182" s="43">
        <f>IF(H182="N/A","N/A",INDEX(CRIT_MATRIX,MATCH(O182,CRIT_MATRIX_ROWS,0),MATCH(APP_RISK_TIER,CRIT_MATRIX_COLS,0)))</f>
        <v/>
      </c>
    </row>
    <row r="183" ht="39.75" customHeight="1" s="19">
      <c r="A183" s="42" t="inlineStr">
        <is>
          <t>V8.3.2</t>
        </is>
      </c>
      <c r="B183" s="40" t="inlineStr">
        <is>
          <t>V8 - Authorization</t>
        </is>
      </c>
      <c r="C183" s="40" t="inlineStr">
        <is>
          <t>V8.3 - Operation Level Authorization</t>
        </is>
      </c>
      <c r="D183" s="42" t="n">
        <v>3</v>
      </c>
      <c r="E183" s="40" t="inlineStr">
        <is>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is>
      </c>
      <c r="F183" s="40" t="inlineStr">
        <is>
          <t>Always</t>
        </is>
      </c>
      <c r="G183" s="42" t="inlineStr">
        <is>
          <t>TRUE</t>
        </is>
      </c>
      <c r="H183" s="43">
        <f>IF(AND(TRUE(),D183&lt;=TARGET_LEVEL_NUM),"Applicable","N/A")</f>
        <v/>
      </c>
      <c r="I183" s="40" t="inlineStr">
        <is>
          <t>Pentest / authenticated DAST</t>
        </is>
      </c>
      <c r="J183" s="40" t="inlineStr">
        <is>
          <t>Sampled, periodic</t>
        </is>
      </c>
      <c r="K183" s="42" t="inlineStr">
        <is>
          <t>Periodic</t>
        </is>
      </c>
      <c r="L183" s="42" t="inlineStr">
        <is>
          <t>Not assessed</t>
        </is>
      </c>
      <c r="M183" s="40" t="n"/>
      <c r="N183" s="40" t="n"/>
      <c r="O183" s="42" t="inlineStr">
        <is>
          <t>High</t>
        </is>
      </c>
      <c r="P183" s="43">
        <f>IF(H183="N/A","N/A",INDEX(CRIT_MATRIX,MATCH(O183,CRIT_MATRIX_ROWS,0),MATCH(APP_RISK_TIER,CRIT_MATRIX_COLS,0)))</f>
        <v/>
      </c>
    </row>
    <row r="184" ht="39.75" customHeight="1" s="19">
      <c r="A184" s="42" t="inlineStr">
        <is>
          <t>V8.3.3</t>
        </is>
      </c>
      <c r="B184" s="40" t="inlineStr">
        <is>
          <t>V8 - Authorization</t>
        </is>
      </c>
      <c r="C184" s="40" t="inlineStr">
        <is>
          <t>V8.3 - Operation Level Authorization</t>
        </is>
      </c>
      <c r="D184" s="42" t="n">
        <v>3</v>
      </c>
      <c r="E184" s="40" t="inlineStr">
        <is>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is>
      </c>
      <c r="F184" s="40" t="inlineStr">
        <is>
          <t>Always</t>
        </is>
      </c>
      <c r="G184" s="42" t="inlineStr">
        <is>
          <t>TRUE</t>
        </is>
      </c>
      <c r="H184" s="43">
        <f>IF(AND(TRUE(),D184&lt;=TARGET_LEVEL_NUM),"Applicable","N/A")</f>
        <v/>
      </c>
      <c r="I184" s="40" t="inlineStr">
        <is>
          <t>Pentest / authenticated DAST</t>
        </is>
      </c>
      <c r="J184" s="40" t="inlineStr">
        <is>
          <t>Sampled, periodic</t>
        </is>
      </c>
      <c r="K184" s="42" t="inlineStr">
        <is>
          <t>Periodic</t>
        </is>
      </c>
      <c r="L184" s="42" t="inlineStr">
        <is>
          <t>Not assessed</t>
        </is>
      </c>
      <c r="M184" s="40" t="n"/>
      <c r="N184" s="40" t="n"/>
      <c r="O184" s="42" t="inlineStr">
        <is>
          <t>High</t>
        </is>
      </c>
      <c r="P184" s="43">
        <f>IF(H184="N/A","N/A",INDEX(CRIT_MATRIX,MATCH(O184,CRIT_MATRIX_ROWS,0),MATCH(APP_RISK_TIER,CRIT_MATRIX_COLS,0)))</f>
        <v/>
      </c>
    </row>
    <row r="185" ht="39.75" customHeight="1" s="19">
      <c r="A185" s="42" t="inlineStr">
        <is>
          <t>V8.4.1</t>
        </is>
      </c>
      <c r="B185" s="40" t="inlineStr">
        <is>
          <t>V8 - Authorization</t>
        </is>
      </c>
      <c r="C185" s="40" t="inlineStr">
        <is>
          <t>V8.4 - Other Authorization Considerations</t>
        </is>
      </c>
      <c r="D185" s="42" t="n">
        <v>2</v>
      </c>
      <c r="E185" s="40" t="inlineStr">
        <is>
          <t>Verify that multi-tenant applications use cross-tenant controls to ensure consumer operations will never affect tenants with which they do not have permissions to interact.</t>
        </is>
      </c>
      <c r="F185" s="40" t="inlineStr">
        <is>
          <t>Always</t>
        </is>
      </c>
      <c r="G185" s="42" t="inlineStr">
        <is>
          <t>TRUE</t>
        </is>
      </c>
      <c r="H185" s="43">
        <f>IF(AND(TRUE(),D185&lt;=TARGET_LEVEL_NUM),"Applicable","N/A")</f>
        <v/>
      </c>
      <c r="I185" s="40" t="inlineStr">
        <is>
          <t>SAST + integration testing</t>
        </is>
      </c>
      <c r="J185" s="40" t="inlineStr">
        <is>
          <t>Deterministic, continuous</t>
        </is>
      </c>
      <c r="K185" s="42" t="inlineStr">
        <is>
          <t>Pipeline</t>
        </is>
      </c>
      <c r="L185" s="42" t="inlineStr">
        <is>
          <t>Not assessed</t>
        </is>
      </c>
      <c r="M185" s="40" t="n"/>
      <c r="N185" s="40" t="n"/>
      <c r="O185" s="42" t="inlineStr">
        <is>
          <t>High</t>
        </is>
      </c>
      <c r="P185" s="43">
        <f>IF(H185="N/A","N/A",INDEX(CRIT_MATRIX,MATCH(O185,CRIT_MATRIX_ROWS,0),MATCH(APP_RISK_TIER,CRIT_MATRIX_COLS,0)))</f>
        <v/>
      </c>
    </row>
    <row r="186" ht="39.75" customHeight="1" s="19">
      <c r="A186" s="42" t="inlineStr">
        <is>
          <t>V8.4.2</t>
        </is>
      </c>
      <c r="B186" s="40" t="inlineStr">
        <is>
          <t>V8 - Authorization</t>
        </is>
      </c>
      <c r="C186" s="40" t="inlineStr">
        <is>
          <t>V8.4 - Other Authorization Considerations</t>
        </is>
      </c>
      <c r="D186" s="42" t="n">
        <v>3</v>
      </c>
      <c r="E186" s="40" t="inlineStr">
        <is>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is>
      </c>
      <c r="F186" s="40" t="inlineStr">
        <is>
          <t>Always</t>
        </is>
      </c>
      <c r="G186" s="42" t="inlineStr">
        <is>
          <t>TRUE</t>
        </is>
      </c>
      <c r="H186" s="43">
        <f>IF(AND(TRUE(),D186&lt;=TARGET_LEVEL_NUM),"Applicable","N/A")</f>
        <v/>
      </c>
      <c r="I186" s="40" t="inlineStr">
        <is>
          <t>SAST + integration testing</t>
        </is>
      </c>
      <c r="J186" s="40" t="inlineStr">
        <is>
          <t>Deterministic, continuous</t>
        </is>
      </c>
      <c r="K186" s="42" t="inlineStr">
        <is>
          <t>Pipeline</t>
        </is>
      </c>
      <c r="L186" s="42" t="inlineStr">
        <is>
          <t>Not assessed</t>
        </is>
      </c>
      <c r="M186" s="40" t="n"/>
      <c r="N186" s="40" t="n"/>
      <c r="O186" s="42" t="inlineStr">
        <is>
          <t>High</t>
        </is>
      </c>
      <c r="P186" s="43">
        <f>IF(H186="N/A","N/A",INDEX(CRIT_MATRIX,MATCH(O186,CRIT_MATRIX_ROWS,0),MATCH(APP_RISK_TIER,CRIT_MATRIX_COLS,0)))</f>
        <v/>
      </c>
    </row>
    <row r="187" ht="39.75" customHeight="1" s="19">
      <c r="A187" s="42" t="inlineStr">
        <is>
          <t>V9.1.1</t>
        </is>
      </c>
      <c r="B187" s="40" t="inlineStr">
        <is>
          <t>V9 - Self-contained Tokens</t>
        </is>
      </c>
      <c r="C187" s="40" t="inlineStr">
        <is>
          <t>V9.1 - Token source and integrity</t>
        </is>
      </c>
      <c r="D187" s="42" t="n">
        <v>1</v>
      </c>
      <c r="E187" s="40" t="inlineStr">
        <is>
          <t>Verify that self-contained tokens are validated using their digital signature or MAC to protect against tampering before accepting the token's contents.</t>
        </is>
      </c>
      <c r="F187" s="40" t="inlineStr">
        <is>
          <t>If session is stateless (tokens)</t>
        </is>
      </c>
      <c r="G187" s="42" t="inlineStr">
        <is>
          <t>SESSION_STATEFUL="No"</t>
        </is>
      </c>
      <c r="H187" s="43">
        <f>IF(AND(SESSION_STATEFUL="No",D187&lt;=TARGET_LEVEL_NUM),"Applicable","N/A")</f>
        <v/>
      </c>
      <c r="I187" s="40" t="inlineStr">
        <is>
          <t>SAST + configuration review</t>
        </is>
      </c>
      <c r="J187" s="40" t="inlineStr">
        <is>
          <t>Deterministic, continuous</t>
        </is>
      </c>
      <c r="K187" s="42" t="inlineStr">
        <is>
          <t>Pipeline</t>
        </is>
      </c>
      <c r="L187" s="42" t="inlineStr">
        <is>
          <t>Not assessed</t>
        </is>
      </c>
      <c r="M187" s="40" t="n"/>
      <c r="N187" s="40" t="n"/>
      <c r="O187" s="42" t="inlineStr">
        <is>
          <t>High</t>
        </is>
      </c>
      <c r="P187" s="43">
        <f>IF(H187="N/A","N/A",INDEX(CRIT_MATRIX,MATCH(O187,CRIT_MATRIX_ROWS,0),MATCH(APP_RISK_TIER,CRIT_MATRIX_COLS,0)))</f>
        <v/>
      </c>
    </row>
    <row r="188" ht="39.75" customHeight="1" s="19">
      <c r="A188" s="42" t="inlineStr">
        <is>
          <t>V9.1.2</t>
        </is>
      </c>
      <c r="B188" s="40" t="inlineStr">
        <is>
          <t>V9 - Self-contained Tokens</t>
        </is>
      </c>
      <c r="C188" s="40" t="inlineStr">
        <is>
          <t>V9.1 - Token source and integrity</t>
        </is>
      </c>
      <c r="D188" s="42" t="n">
        <v>1</v>
      </c>
      <c r="E188" s="40" t="inlineStr">
        <is>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is>
      </c>
      <c r="F188" s="40" t="inlineStr">
        <is>
          <t>If session is stateless (tokens)</t>
        </is>
      </c>
      <c r="G188" s="42" t="inlineStr">
        <is>
          <t>SESSION_STATEFUL="No"</t>
        </is>
      </c>
      <c r="H188" s="43">
        <f>IF(AND(SESSION_STATEFUL="No",D188&lt;=TARGET_LEVEL_NUM),"Applicable","N/A")</f>
        <v/>
      </c>
      <c r="I188" s="40" t="inlineStr">
        <is>
          <t>SAST + configuration review</t>
        </is>
      </c>
      <c r="J188" s="40" t="inlineStr">
        <is>
          <t>Deterministic, continuous</t>
        </is>
      </c>
      <c r="K188" s="42" t="inlineStr">
        <is>
          <t>Pipeline</t>
        </is>
      </c>
      <c r="L188" s="42" t="inlineStr">
        <is>
          <t>Not assessed</t>
        </is>
      </c>
      <c r="M188" s="40" t="n"/>
      <c r="N188" s="40" t="n"/>
      <c r="O188" s="42" t="inlineStr">
        <is>
          <t>High</t>
        </is>
      </c>
      <c r="P188" s="43">
        <f>IF(H188="N/A","N/A",INDEX(CRIT_MATRIX,MATCH(O188,CRIT_MATRIX_ROWS,0),MATCH(APP_RISK_TIER,CRIT_MATRIX_COLS,0)))</f>
        <v/>
      </c>
    </row>
    <row r="189" ht="39.75" customHeight="1" s="19">
      <c r="A189" s="42" t="inlineStr">
        <is>
          <t>V9.1.3</t>
        </is>
      </c>
      <c r="B189" s="40" t="inlineStr">
        <is>
          <t>V9 - Self-contained Tokens</t>
        </is>
      </c>
      <c r="C189" s="40" t="inlineStr">
        <is>
          <t>V9.1 - Token source and integrity</t>
        </is>
      </c>
      <c r="D189" s="42" t="n">
        <v>1</v>
      </c>
      <c r="E189" s="40" t="inlineStr">
        <is>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is>
      </c>
      <c r="F189" s="40" t="inlineStr">
        <is>
          <t>If session is stateless (tokens)</t>
        </is>
      </c>
      <c r="G189" s="42" t="inlineStr">
        <is>
          <t>SESSION_STATEFUL="No"</t>
        </is>
      </c>
      <c r="H189" s="43">
        <f>IF(AND(SESSION_STATEFUL="No",D189&lt;=TARGET_LEVEL_NUM),"Applicable","N/A")</f>
        <v/>
      </c>
      <c r="I189" s="40" t="inlineStr">
        <is>
          <t>SAST + configuration review</t>
        </is>
      </c>
      <c r="J189" s="40" t="inlineStr">
        <is>
          <t>Deterministic, continuous</t>
        </is>
      </c>
      <c r="K189" s="42" t="inlineStr">
        <is>
          <t>Pipeline</t>
        </is>
      </c>
      <c r="L189" s="42" t="inlineStr">
        <is>
          <t>Not assessed</t>
        </is>
      </c>
      <c r="M189" s="40" t="n"/>
      <c r="N189" s="40" t="n"/>
      <c r="O189" s="42" t="inlineStr">
        <is>
          <t>High</t>
        </is>
      </c>
      <c r="P189" s="43">
        <f>IF(H189="N/A","N/A",INDEX(CRIT_MATRIX,MATCH(O189,CRIT_MATRIX_ROWS,0),MATCH(APP_RISK_TIER,CRIT_MATRIX_COLS,0)))</f>
        <v/>
      </c>
    </row>
    <row r="190" ht="39.75" customHeight="1" s="19">
      <c r="A190" s="42" t="inlineStr">
        <is>
          <t>V9.2.1</t>
        </is>
      </c>
      <c r="B190" s="40" t="inlineStr">
        <is>
          <t>V9 - Self-contained Tokens</t>
        </is>
      </c>
      <c r="C190" s="40" t="inlineStr">
        <is>
          <t>V9.2 - Token content</t>
        </is>
      </c>
      <c r="D190" s="42" t="n">
        <v>1</v>
      </c>
      <c r="E190" s="40" t="inlineStr">
        <is>
          <t>Verify that, if a validity time span is present in the token data, the token and its content are accepted only if the verification time is within this validity time span. For example, for JWTs, the claims 'nbf' and 'exp' must be verified.</t>
        </is>
      </c>
      <c r="F190" s="40" t="inlineStr">
        <is>
          <t>If session is stateless (tokens)</t>
        </is>
      </c>
      <c r="G190" s="42" t="inlineStr">
        <is>
          <t>SESSION_STATEFUL="No"</t>
        </is>
      </c>
      <c r="H190" s="43">
        <f>IF(AND(SESSION_STATEFUL="No",D190&lt;=TARGET_LEVEL_NUM),"Applicable","N/A")</f>
        <v/>
      </c>
      <c r="I190" s="40" t="inlineStr">
        <is>
          <t>SAST + configuration review</t>
        </is>
      </c>
      <c r="J190" s="40" t="inlineStr">
        <is>
          <t>Deterministic, continuous</t>
        </is>
      </c>
      <c r="K190" s="42" t="inlineStr">
        <is>
          <t>Pipeline</t>
        </is>
      </c>
      <c r="L190" s="42" t="inlineStr">
        <is>
          <t>Not assessed</t>
        </is>
      </c>
      <c r="M190" s="40" t="n"/>
      <c r="N190" s="40" t="n"/>
      <c r="O190" s="42" t="inlineStr">
        <is>
          <t>High</t>
        </is>
      </c>
      <c r="P190" s="43">
        <f>IF(H190="N/A","N/A",INDEX(CRIT_MATRIX,MATCH(O190,CRIT_MATRIX_ROWS,0),MATCH(APP_RISK_TIER,CRIT_MATRIX_COLS,0)))</f>
        <v/>
      </c>
    </row>
    <row r="191" ht="39.75" customHeight="1" s="19">
      <c r="A191" s="42" t="inlineStr">
        <is>
          <t>V9.2.2</t>
        </is>
      </c>
      <c r="B191" s="40" t="inlineStr">
        <is>
          <t>V9 - Self-contained Tokens</t>
        </is>
      </c>
      <c r="C191" s="40" t="inlineStr">
        <is>
          <t>V9.2 - Token content</t>
        </is>
      </c>
      <c r="D191" s="42" t="n">
        <v>2</v>
      </c>
      <c r="E191" s="40" t="inlineStr">
        <is>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is>
      </c>
      <c r="F191" s="40" t="inlineStr">
        <is>
          <t>If session is stateless (tokens)</t>
        </is>
      </c>
      <c r="G191" s="42" t="inlineStr">
        <is>
          <t>SESSION_STATEFUL="No"</t>
        </is>
      </c>
      <c r="H191" s="43">
        <f>IF(AND(SESSION_STATEFUL="No",D191&lt;=TARGET_LEVEL_NUM),"Applicable","N/A")</f>
        <v/>
      </c>
      <c r="I191" s="40" t="inlineStr">
        <is>
          <t>SAST + configuration review</t>
        </is>
      </c>
      <c r="J191" s="40" t="inlineStr">
        <is>
          <t>Deterministic, continuous</t>
        </is>
      </c>
      <c r="K191" s="42" t="inlineStr">
        <is>
          <t>Pipeline</t>
        </is>
      </c>
      <c r="L191" s="42" t="inlineStr">
        <is>
          <t>Not assessed</t>
        </is>
      </c>
      <c r="M191" s="40" t="n"/>
      <c r="N191" s="40" t="n"/>
      <c r="O191" s="42" t="inlineStr">
        <is>
          <t>High</t>
        </is>
      </c>
      <c r="P191" s="43">
        <f>IF(H191="N/A","N/A",INDEX(CRIT_MATRIX,MATCH(O191,CRIT_MATRIX_ROWS,0),MATCH(APP_RISK_TIER,CRIT_MATRIX_COLS,0)))</f>
        <v/>
      </c>
    </row>
    <row r="192" ht="39.75" customHeight="1" s="19">
      <c r="A192" s="42" t="inlineStr">
        <is>
          <t>V9.2.3</t>
        </is>
      </c>
      <c r="B192" s="40" t="inlineStr">
        <is>
          <t>V9 - Self-contained Tokens</t>
        </is>
      </c>
      <c r="C192" s="40" t="inlineStr">
        <is>
          <t>V9.2 - Token content</t>
        </is>
      </c>
      <c r="D192" s="42" t="n">
        <v>2</v>
      </c>
      <c r="E192" s="40" t="inlineStr">
        <is>
          <t>Verify that the service only accepts tokens which are intended for use with that service (audience). For JWTs, this can be achieved by validating the 'aud' claim against an allowlist defined in the service.</t>
        </is>
      </c>
      <c r="F192" s="40" t="inlineStr">
        <is>
          <t>If session is stateless (tokens)</t>
        </is>
      </c>
      <c r="G192" s="42" t="inlineStr">
        <is>
          <t>SESSION_STATEFUL="No"</t>
        </is>
      </c>
      <c r="H192" s="43">
        <f>IF(AND(SESSION_STATEFUL="No",D192&lt;=TARGET_LEVEL_NUM),"Applicable","N/A")</f>
        <v/>
      </c>
      <c r="I192" s="40" t="inlineStr">
        <is>
          <t>SAST + configuration review</t>
        </is>
      </c>
      <c r="J192" s="40" t="inlineStr">
        <is>
          <t>Deterministic, continuous</t>
        </is>
      </c>
      <c r="K192" s="42" t="inlineStr">
        <is>
          <t>Pipeline</t>
        </is>
      </c>
      <c r="L192" s="42" t="inlineStr">
        <is>
          <t>Not assessed</t>
        </is>
      </c>
      <c r="M192" s="40" t="n"/>
      <c r="N192" s="40" t="n"/>
      <c r="O192" s="42" t="inlineStr">
        <is>
          <t>High</t>
        </is>
      </c>
      <c r="P192" s="43">
        <f>IF(H192="N/A","N/A",INDEX(CRIT_MATRIX,MATCH(O192,CRIT_MATRIX_ROWS,0),MATCH(APP_RISK_TIER,CRIT_MATRIX_COLS,0)))</f>
        <v/>
      </c>
    </row>
    <row r="193" ht="39.75" customHeight="1" s="19">
      <c r="A193" s="42" t="inlineStr">
        <is>
          <t>V9.2.4</t>
        </is>
      </c>
      <c r="B193" s="40" t="inlineStr">
        <is>
          <t>V9 - Self-contained Tokens</t>
        </is>
      </c>
      <c r="C193" s="40" t="inlineStr">
        <is>
          <t>V9.2 - Token content</t>
        </is>
      </c>
      <c r="D193" s="42" t="n">
        <v>2</v>
      </c>
      <c r="E193" s="40" t="inlineStr">
        <is>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is>
      </c>
      <c r="F193" s="40" t="inlineStr">
        <is>
          <t>If session is stateless (tokens)</t>
        </is>
      </c>
      <c r="G193" s="42" t="inlineStr">
        <is>
          <t>SESSION_STATEFUL="No"</t>
        </is>
      </c>
      <c r="H193" s="43">
        <f>IF(AND(SESSION_STATEFUL="No",D193&lt;=TARGET_LEVEL_NUM),"Applicable","N/A")</f>
        <v/>
      </c>
      <c r="I193" s="40" t="inlineStr">
        <is>
          <t>SAST + configuration review</t>
        </is>
      </c>
      <c r="J193" s="40" t="inlineStr">
        <is>
          <t>Deterministic, continuous</t>
        </is>
      </c>
      <c r="K193" s="42" t="inlineStr">
        <is>
          <t>Pipeline</t>
        </is>
      </c>
      <c r="L193" s="42" t="inlineStr">
        <is>
          <t>Not assessed</t>
        </is>
      </c>
      <c r="M193" s="40" t="n"/>
      <c r="N193" s="40" t="n"/>
      <c r="O193" s="42" t="inlineStr">
        <is>
          <t>High</t>
        </is>
      </c>
      <c r="P193" s="43">
        <f>IF(H193="N/A","N/A",INDEX(CRIT_MATRIX,MATCH(O193,CRIT_MATRIX_ROWS,0),MATCH(APP_RISK_TIER,CRIT_MATRIX_COLS,0)))</f>
        <v/>
      </c>
    </row>
    <row r="194" ht="39.75" customHeight="1" s="19">
      <c r="A194" s="42" t="inlineStr">
        <is>
          <t>V10.1.1</t>
        </is>
      </c>
      <c r="B194" s="40" t="inlineStr">
        <is>
          <t>V10 - OAuth and OIDC</t>
        </is>
      </c>
      <c r="C194" s="40" t="inlineStr">
        <is>
          <t>V10.1 - Generic OAuth and OIDC Security</t>
        </is>
      </c>
      <c r="D194" s="42" t="n">
        <v>2</v>
      </c>
      <c r="E194" s="40" t="inlineStr">
        <is>
          <t>Verify that tokens are only sent to components that strictly need them. For example, when using a backend-for-frontend pattern for browser-based JavaScript applications, access and refresh tokens shall only be accessible for the backend.</t>
        </is>
      </c>
      <c r="F194" s="40" t="inlineStr">
        <is>
          <t>If uses OAuth/OIDC</t>
        </is>
      </c>
      <c r="G194" s="42" t="inlineStr">
        <is>
          <t>OAUTH_OIDC_USED="Yes"</t>
        </is>
      </c>
      <c r="H194" s="43">
        <f>IF(AND(OAUTH_OIDC_USED="Yes",D194&lt;=TARGET_LEVEL_NUM),"Applicable","N/A")</f>
        <v/>
      </c>
      <c r="I194" s="40" t="inlineStr">
        <is>
          <t>SAST + integration testing</t>
        </is>
      </c>
      <c r="J194" s="40" t="inlineStr">
        <is>
          <t>Deterministic, continuous</t>
        </is>
      </c>
      <c r="K194" s="42" t="inlineStr">
        <is>
          <t>Pipeline</t>
        </is>
      </c>
      <c r="L194" s="42" t="inlineStr">
        <is>
          <t>Not assessed</t>
        </is>
      </c>
      <c r="M194" s="40" t="n"/>
      <c r="N194" s="40" t="n"/>
      <c r="O194" s="42" t="inlineStr">
        <is>
          <t>High</t>
        </is>
      </c>
      <c r="P194" s="43">
        <f>IF(H194="N/A","N/A",INDEX(CRIT_MATRIX,MATCH(O194,CRIT_MATRIX_ROWS,0),MATCH(APP_RISK_TIER,CRIT_MATRIX_COLS,0)))</f>
        <v/>
      </c>
    </row>
    <row r="195" ht="39.75" customHeight="1" s="19">
      <c r="A195" s="42" t="inlineStr">
        <is>
          <t>V10.1.2</t>
        </is>
      </c>
      <c r="B195" s="40" t="inlineStr">
        <is>
          <t>V10 - OAuth and OIDC</t>
        </is>
      </c>
      <c r="C195" s="40" t="inlineStr">
        <is>
          <t>V10.1 - Generic OAuth and OIDC Security</t>
        </is>
      </c>
      <c r="D195" s="42" t="n">
        <v>2</v>
      </c>
      <c r="E195" s="40" t="inlineStr">
        <is>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is>
      </c>
      <c r="F195" s="40" t="inlineStr">
        <is>
          <t>If uses OAuth/OIDC</t>
        </is>
      </c>
      <c r="G195" s="42" t="inlineStr">
        <is>
          <t>OAUTH_OIDC_USED="Yes"</t>
        </is>
      </c>
      <c r="H195" s="43">
        <f>IF(AND(OAUTH_OIDC_USED="Yes",D195&lt;=TARGET_LEVEL_NUM),"Applicable","N/A")</f>
        <v/>
      </c>
      <c r="I195" s="40" t="inlineStr">
        <is>
          <t>SAST + integration testing</t>
        </is>
      </c>
      <c r="J195" s="40" t="inlineStr">
        <is>
          <t>Deterministic, continuous</t>
        </is>
      </c>
      <c r="K195" s="42" t="inlineStr">
        <is>
          <t>Pipeline</t>
        </is>
      </c>
      <c r="L195" s="42" t="inlineStr">
        <is>
          <t>Not assessed</t>
        </is>
      </c>
      <c r="M195" s="40" t="n"/>
      <c r="N195" s="40" t="n"/>
      <c r="O195" s="42" t="inlineStr">
        <is>
          <t>High</t>
        </is>
      </c>
      <c r="P195" s="43">
        <f>IF(H195="N/A","N/A",INDEX(CRIT_MATRIX,MATCH(O195,CRIT_MATRIX_ROWS,0),MATCH(APP_RISK_TIER,CRIT_MATRIX_COLS,0)))</f>
        <v/>
      </c>
    </row>
    <row r="196" ht="39.75" customHeight="1" s="19">
      <c r="A196" s="42" t="inlineStr">
        <is>
          <t>V10.2.1</t>
        </is>
      </c>
      <c r="B196" s="40" t="inlineStr">
        <is>
          <t>V10 - OAuth and OIDC</t>
        </is>
      </c>
      <c r="C196" s="40" t="inlineStr">
        <is>
          <t>V10.2 - OAuth Client</t>
        </is>
      </c>
      <c r="D196" s="42" t="n">
        <v>2</v>
      </c>
      <c r="E196" s="40" t="inlineStr">
        <is>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is>
      </c>
      <c r="F196" s="40" t="inlineStr">
        <is>
          <t>If uses OAuth/OIDC</t>
        </is>
      </c>
      <c r="G196" s="42" t="inlineStr">
        <is>
          <t>OAUTH_OIDC_USED="Yes"</t>
        </is>
      </c>
      <c r="H196" s="43">
        <f>IF(AND(OAUTH_OIDC_USED="Yes",D196&lt;=TARGET_LEVEL_NUM),"Applicable","N/A")</f>
        <v/>
      </c>
      <c r="I196" s="40" t="inlineStr">
        <is>
          <t>SAST + integration testing</t>
        </is>
      </c>
      <c r="J196" s="40" t="inlineStr">
        <is>
          <t>Deterministic, continuous</t>
        </is>
      </c>
      <c r="K196" s="42" t="inlineStr">
        <is>
          <t>Pipeline</t>
        </is>
      </c>
      <c r="L196" s="42" t="inlineStr">
        <is>
          <t>Not assessed</t>
        </is>
      </c>
      <c r="M196" s="40" t="n"/>
      <c r="N196" s="40" t="n"/>
      <c r="O196" s="42" t="inlineStr">
        <is>
          <t>High</t>
        </is>
      </c>
      <c r="P196" s="43">
        <f>IF(H196="N/A","N/A",INDEX(CRIT_MATRIX,MATCH(O196,CRIT_MATRIX_ROWS,0),MATCH(APP_RISK_TIER,CRIT_MATRIX_COLS,0)))</f>
        <v/>
      </c>
    </row>
    <row r="197" ht="39.75" customHeight="1" s="19">
      <c r="A197" s="42" t="inlineStr">
        <is>
          <t>V10.2.2</t>
        </is>
      </c>
      <c r="B197" s="40" t="inlineStr">
        <is>
          <t>V10 - OAuth and OIDC</t>
        </is>
      </c>
      <c r="C197" s="40" t="inlineStr">
        <is>
          <t>V10.2 - OAuth Client</t>
        </is>
      </c>
      <c r="D197" s="42" t="n">
        <v>2</v>
      </c>
      <c r="E197" s="40" t="inlineStr">
        <is>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is>
      </c>
      <c r="F197" s="40" t="inlineStr">
        <is>
          <t>If uses OAuth/OIDC</t>
        </is>
      </c>
      <c r="G197" s="42" t="inlineStr">
        <is>
          <t>OAUTH_OIDC_USED="Yes"</t>
        </is>
      </c>
      <c r="H197" s="43">
        <f>IF(AND(OAUTH_OIDC_USED="Yes",D197&lt;=TARGET_LEVEL_NUM),"Applicable","N/A")</f>
        <v/>
      </c>
      <c r="I197" s="40" t="inlineStr">
        <is>
          <t>SAST + integration testing</t>
        </is>
      </c>
      <c r="J197" s="40" t="inlineStr">
        <is>
          <t>Deterministic, continuous</t>
        </is>
      </c>
      <c r="K197" s="42" t="inlineStr">
        <is>
          <t>Pipeline</t>
        </is>
      </c>
      <c r="L197" s="42" t="inlineStr">
        <is>
          <t>Not assessed</t>
        </is>
      </c>
      <c r="M197" s="40" t="n"/>
      <c r="N197" s="40" t="n"/>
      <c r="O197" s="42" t="inlineStr">
        <is>
          <t>High</t>
        </is>
      </c>
      <c r="P197" s="43">
        <f>IF(H197="N/A","N/A",INDEX(CRIT_MATRIX,MATCH(O197,CRIT_MATRIX_ROWS,0),MATCH(APP_RISK_TIER,CRIT_MATRIX_COLS,0)))</f>
        <v/>
      </c>
    </row>
    <row r="198" ht="39.75" customHeight="1" s="19">
      <c r="A198" s="42" t="inlineStr">
        <is>
          <t>V10.2.3</t>
        </is>
      </c>
      <c r="B198" s="40" t="inlineStr">
        <is>
          <t>V10 - OAuth and OIDC</t>
        </is>
      </c>
      <c r="C198" s="40" t="inlineStr">
        <is>
          <t>V10.2 - OAuth Client</t>
        </is>
      </c>
      <c r="D198" s="42" t="n">
        <v>3</v>
      </c>
      <c r="E198" s="40" t="inlineStr">
        <is>
          <t>Verify that the OAuth client only requests the required scopes (or other authorization parameters) in requests to the authorization server.</t>
        </is>
      </c>
      <c r="F198" s="40" t="inlineStr">
        <is>
          <t>If uses OAuth/OIDC</t>
        </is>
      </c>
      <c r="G198" s="42" t="inlineStr">
        <is>
          <t>OAUTH_OIDC_USED="Yes"</t>
        </is>
      </c>
      <c r="H198" s="43">
        <f>IF(AND(OAUTH_OIDC_USED="Yes",D198&lt;=TARGET_LEVEL_NUM),"Applicable","N/A")</f>
        <v/>
      </c>
      <c r="I198" s="40" t="inlineStr">
        <is>
          <t>SAST + integration testing</t>
        </is>
      </c>
      <c r="J198" s="40" t="inlineStr">
        <is>
          <t>Deterministic, continuous</t>
        </is>
      </c>
      <c r="K198" s="42" t="inlineStr">
        <is>
          <t>Pipeline</t>
        </is>
      </c>
      <c r="L198" s="42" t="inlineStr">
        <is>
          <t>Not assessed</t>
        </is>
      </c>
      <c r="M198" s="40" t="n"/>
      <c r="N198" s="40" t="n"/>
      <c r="O198" s="42" t="inlineStr">
        <is>
          <t>High</t>
        </is>
      </c>
      <c r="P198" s="43">
        <f>IF(H198="N/A","N/A",INDEX(CRIT_MATRIX,MATCH(O198,CRIT_MATRIX_ROWS,0),MATCH(APP_RISK_TIER,CRIT_MATRIX_COLS,0)))</f>
        <v/>
      </c>
    </row>
    <row r="199" ht="39.75" customHeight="1" s="19">
      <c r="A199" s="42" t="inlineStr">
        <is>
          <t>V10.3.1</t>
        </is>
      </c>
      <c r="B199" s="40" t="inlineStr">
        <is>
          <t>V10 - OAuth and OIDC</t>
        </is>
      </c>
      <c r="C199" s="40" t="inlineStr">
        <is>
          <t>V10.3 - OAuth Resource Server</t>
        </is>
      </c>
      <c r="D199" s="42" t="n">
        <v>2</v>
      </c>
      <c r="E199" s="40" t="inlineStr">
        <is>
          <t>Verify that the resource server only accepts access tokens that are intended for use with that service (audience). The audience may be included in a structured access token (such as the 'aud' claim in JWT), or it can be checked using the token introspection endpoint.</t>
        </is>
      </c>
      <c r="F199" s="40" t="inlineStr">
        <is>
          <t>If uses OAuth/OIDC</t>
        </is>
      </c>
      <c r="G199" s="42" t="inlineStr">
        <is>
          <t>OAUTH_OIDC_USED="Yes"</t>
        </is>
      </c>
      <c r="H199" s="43">
        <f>IF(AND(OAUTH_OIDC_USED="Yes",D199&lt;=TARGET_LEVEL_NUM),"Applicable","N/A")</f>
        <v/>
      </c>
      <c r="I199" s="40" t="inlineStr">
        <is>
          <t>SAST + integration testing</t>
        </is>
      </c>
      <c r="J199" s="40" t="inlineStr">
        <is>
          <t>Deterministic, continuous</t>
        </is>
      </c>
      <c r="K199" s="42" t="inlineStr">
        <is>
          <t>Pipeline</t>
        </is>
      </c>
      <c r="L199" s="42" t="inlineStr">
        <is>
          <t>Not assessed</t>
        </is>
      </c>
      <c r="M199" s="40" t="n"/>
      <c r="N199" s="40" t="n"/>
      <c r="O199" s="42" t="inlineStr">
        <is>
          <t>High</t>
        </is>
      </c>
      <c r="P199" s="43">
        <f>IF(H199="N/A","N/A",INDEX(CRIT_MATRIX,MATCH(O199,CRIT_MATRIX_ROWS,0),MATCH(APP_RISK_TIER,CRIT_MATRIX_COLS,0)))</f>
        <v/>
      </c>
    </row>
    <row r="200" ht="39.75" customHeight="1" s="19">
      <c r="A200" s="42" t="inlineStr">
        <is>
          <t>V10.3.2</t>
        </is>
      </c>
      <c r="B200" s="40" t="inlineStr">
        <is>
          <t>V10 - OAuth and OIDC</t>
        </is>
      </c>
      <c r="C200" s="40" t="inlineStr">
        <is>
          <t>V10.3 - OAuth Resource Server</t>
        </is>
      </c>
      <c r="D200" s="42" t="n">
        <v>2</v>
      </c>
      <c r="E200" s="40" t="inlineStr">
        <is>
          <t>Verify that the resource server enforces authorization decisions based on claims from the access token that define delegated authorization. If claims such as 'sub', 'scope', and 'authorization_details' are present, they must be part of the decision.</t>
        </is>
      </c>
      <c r="F200" s="40" t="inlineStr">
        <is>
          <t>If uses OAuth/OIDC</t>
        </is>
      </c>
      <c r="G200" s="42" t="inlineStr">
        <is>
          <t>OAUTH_OIDC_USED="Yes"</t>
        </is>
      </c>
      <c r="H200" s="43">
        <f>IF(AND(OAUTH_OIDC_USED="Yes",D200&lt;=TARGET_LEVEL_NUM),"Applicable","N/A")</f>
        <v/>
      </c>
      <c r="I200" s="40" t="inlineStr">
        <is>
          <t>SAST + integration testing</t>
        </is>
      </c>
      <c r="J200" s="40" t="inlineStr">
        <is>
          <t>Deterministic, continuous</t>
        </is>
      </c>
      <c r="K200" s="42" t="inlineStr">
        <is>
          <t>Pipeline</t>
        </is>
      </c>
      <c r="L200" s="42" t="inlineStr">
        <is>
          <t>Not assessed</t>
        </is>
      </c>
      <c r="M200" s="40" t="n"/>
      <c r="N200" s="40" t="n"/>
      <c r="O200" s="42" t="inlineStr">
        <is>
          <t>High</t>
        </is>
      </c>
      <c r="P200" s="43">
        <f>IF(H200="N/A","N/A",INDEX(CRIT_MATRIX,MATCH(O200,CRIT_MATRIX_ROWS,0),MATCH(APP_RISK_TIER,CRIT_MATRIX_COLS,0)))</f>
        <v/>
      </c>
    </row>
    <row r="201" ht="39.75" customHeight="1" s="19">
      <c r="A201" s="42" t="inlineStr">
        <is>
          <t>V10.3.3</t>
        </is>
      </c>
      <c r="B201" s="40" t="inlineStr">
        <is>
          <t>V10 - OAuth and OIDC</t>
        </is>
      </c>
      <c r="C201" s="40" t="inlineStr">
        <is>
          <t>V10.3 - OAuth Resource Server</t>
        </is>
      </c>
      <c r="D201" s="42" t="n">
        <v>2</v>
      </c>
      <c r="E201" s="40" t="inlineStr">
        <is>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is>
      </c>
      <c r="F201" s="40" t="inlineStr">
        <is>
          <t>If uses OAuth/OIDC</t>
        </is>
      </c>
      <c r="G201" s="42" t="inlineStr">
        <is>
          <t>OAUTH_OIDC_USED="Yes"</t>
        </is>
      </c>
      <c r="H201" s="43">
        <f>IF(AND(OAUTH_OIDC_USED="Yes",D201&lt;=TARGET_LEVEL_NUM),"Applicable","N/A")</f>
        <v/>
      </c>
      <c r="I201" s="40" t="inlineStr">
        <is>
          <t>SAST + integration testing</t>
        </is>
      </c>
      <c r="J201" s="40" t="inlineStr">
        <is>
          <t>Deterministic, continuous</t>
        </is>
      </c>
      <c r="K201" s="42" t="inlineStr">
        <is>
          <t>Pipeline</t>
        </is>
      </c>
      <c r="L201" s="42" t="inlineStr">
        <is>
          <t>Not assessed</t>
        </is>
      </c>
      <c r="M201" s="40" t="n"/>
      <c r="N201" s="40" t="n"/>
      <c r="O201" s="42" t="inlineStr">
        <is>
          <t>High</t>
        </is>
      </c>
      <c r="P201" s="43">
        <f>IF(H201="N/A","N/A",INDEX(CRIT_MATRIX,MATCH(O201,CRIT_MATRIX_ROWS,0),MATCH(APP_RISK_TIER,CRIT_MATRIX_COLS,0)))</f>
        <v/>
      </c>
    </row>
    <row r="202" ht="39.75" customHeight="1" s="19">
      <c r="A202" s="42" t="inlineStr">
        <is>
          <t>V10.3.4</t>
        </is>
      </c>
      <c r="B202" s="40" t="inlineStr">
        <is>
          <t>V10 - OAuth and OIDC</t>
        </is>
      </c>
      <c r="C202" s="40" t="inlineStr">
        <is>
          <t>V10.3 - OAuth Resource Server</t>
        </is>
      </c>
      <c r="D202" s="42" t="n">
        <v>2</v>
      </c>
      <c r="E202" s="40" t="inlineStr">
        <is>
          <t>Verify that, if the resource server requires specific authentication strength, methods, or recentness, it verifies that the presented access token satisfies these constraints. For example, if present, using the OIDC 'acr', 'amr' and 'auth_time' claims respectively.</t>
        </is>
      </c>
      <c r="F202" s="40" t="inlineStr">
        <is>
          <t>If uses OAuth/OIDC</t>
        </is>
      </c>
      <c r="G202" s="42" t="inlineStr">
        <is>
          <t>OAUTH_OIDC_USED="Yes"</t>
        </is>
      </c>
      <c r="H202" s="43">
        <f>IF(AND(OAUTH_OIDC_USED="Yes",D202&lt;=TARGET_LEVEL_NUM),"Applicable","N/A")</f>
        <v/>
      </c>
      <c r="I202" s="40" t="inlineStr">
        <is>
          <t>SAST + integration testing</t>
        </is>
      </c>
      <c r="J202" s="40" t="inlineStr">
        <is>
          <t>Deterministic, continuous</t>
        </is>
      </c>
      <c r="K202" s="42" t="inlineStr">
        <is>
          <t>Pipeline</t>
        </is>
      </c>
      <c r="L202" s="42" t="inlineStr">
        <is>
          <t>Not assessed</t>
        </is>
      </c>
      <c r="M202" s="40" t="n"/>
      <c r="N202" s="40" t="n"/>
      <c r="O202" s="42" t="inlineStr">
        <is>
          <t>High</t>
        </is>
      </c>
      <c r="P202" s="43">
        <f>IF(H202="N/A","N/A",INDEX(CRIT_MATRIX,MATCH(O202,CRIT_MATRIX_ROWS,0),MATCH(APP_RISK_TIER,CRIT_MATRIX_COLS,0)))</f>
        <v/>
      </c>
    </row>
    <row r="203" ht="39.75" customHeight="1" s="19">
      <c r="A203" s="42" t="inlineStr">
        <is>
          <t>V10.3.5</t>
        </is>
      </c>
      <c r="B203" s="40" t="inlineStr">
        <is>
          <t>V10 - OAuth and OIDC</t>
        </is>
      </c>
      <c r="C203" s="40" t="inlineStr">
        <is>
          <t>V10.3 - OAuth Resource Server</t>
        </is>
      </c>
      <c r="D203" s="42" t="n">
        <v>3</v>
      </c>
      <c r="E203" s="40" t="inlineStr">
        <is>
          <t>Verify that the resource server prevents the use of stolen access tokens or replay of access tokens (from unauthorized parties) by requiring sender-constrained access tokens, either Mutual TLS for OAuth 2 or OAuth 2 Demonstration of Proof of Possession (DPoP).</t>
        </is>
      </c>
      <c r="F203" s="40" t="inlineStr">
        <is>
          <t>If uses OAuth/OIDC</t>
        </is>
      </c>
      <c r="G203" s="42" t="inlineStr">
        <is>
          <t>OAUTH_OIDC_USED="Yes"</t>
        </is>
      </c>
      <c r="H203" s="43">
        <f>IF(AND(OAUTH_OIDC_USED="Yes",D203&lt;=TARGET_LEVEL_NUM),"Applicable","N/A")</f>
        <v/>
      </c>
      <c r="I203" s="40" t="inlineStr">
        <is>
          <t>SAST + integration testing</t>
        </is>
      </c>
      <c r="J203" s="40" t="inlineStr">
        <is>
          <t>Deterministic, continuous</t>
        </is>
      </c>
      <c r="K203" s="42" t="inlineStr">
        <is>
          <t>Pipeline</t>
        </is>
      </c>
      <c r="L203" s="42" t="inlineStr">
        <is>
          <t>Not assessed</t>
        </is>
      </c>
      <c r="M203" s="40" t="n"/>
      <c r="N203" s="40" t="n"/>
      <c r="O203" s="42" t="inlineStr">
        <is>
          <t>High</t>
        </is>
      </c>
      <c r="P203" s="43">
        <f>IF(H203="N/A","N/A",INDEX(CRIT_MATRIX,MATCH(O203,CRIT_MATRIX_ROWS,0),MATCH(APP_RISK_TIER,CRIT_MATRIX_COLS,0)))</f>
        <v/>
      </c>
    </row>
    <row r="204" ht="39.75" customHeight="1" s="19">
      <c r="A204" s="42" t="inlineStr">
        <is>
          <t>V10.4.1</t>
        </is>
      </c>
      <c r="B204" s="40" t="inlineStr">
        <is>
          <t>V10 - OAuth and OIDC</t>
        </is>
      </c>
      <c r="C204" s="40" t="inlineStr">
        <is>
          <t>V10.4 - OAuth Authorization Server</t>
        </is>
      </c>
      <c r="D204" s="42" t="n">
        <v>1</v>
      </c>
      <c r="E204" s="40" t="inlineStr">
        <is>
          <t>Verify that the authorization server validates redirect URIs based on a client-specific allowlist of pre-registered URIs using exact string comparison.</t>
        </is>
      </c>
      <c r="F204" s="40" t="inlineStr">
        <is>
          <t>If uses OAuth/OIDC</t>
        </is>
      </c>
      <c r="G204" s="42" t="inlineStr">
        <is>
          <t>OAUTH_OIDC_USED="Yes"</t>
        </is>
      </c>
      <c r="H204" s="43">
        <f>IF(AND(OAUTH_OIDC_USED="Yes",D204&lt;=TARGET_LEVEL_NUM),"Applicable","N/A")</f>
        <v/>
      </c>
      <c r="I204" s="40" t="inlineStr">
        <is>
          <t>SAST + integration testing</t>
        </is>
      </c>
      <c r="J204" s="40" t="inlineStr">
        <is>
          <t>Deterministic, continuous</t>
        </is>
      </c>
      <c r="K204" s="42" t="inlineStr">
        <is>
          <t>Pipeline</t>
        </is>
      </c>
      <c r="L204" s="42" t="inlineStr">
        <is>
          <t>Not assessed</t>
        </is>
      </c>
      <c r="M204" s="40" t="n"/>
      <c r="N204" s="40" t="n"/>
      <c r="O204" s="42" t="inlineStr">
        <is>
          <t>High</t>
        </is>
      </c>
      <c r="P204" s="43">
        <f>IF(H204="N/A","N/A",INDEX(CRIT_MATRIX,MATCH(O204,CRIT_MATRIX_ROWS,0),MATCH(APP_RISK_TIER,CRIT_MATRIX_COLS,0)))</f>
        <v/>
      </c>
    </row>
    <row r="205" ht="39.75" customHeight="1" s="19">
      <c r="A205" s="42" t="inlineStr">
        <is>
          <t>V10.4.2</t>
        </is>
      </c>
      <c r="B205" s="40" t="inlineStr">
        <is>
          <t>V10 - OAuth and OIDC</t>
        </is>
      </c>
      <c r="C205" s="40" t="inlineStr">
        <is>
          <t>V10.4 - OAuth Authorization Server</t>
        </is>
      </c>
      <c r="D205" s="42" t="n">
        <v>1</v>
      </c>
      <c r="E205" s="40" t="inlineStr">
        <is>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is>
      </c>
      <c r="F205" s="40" t="inlineStr">
        <is>
          <t>If uses OAuth/OIDC</t>
        </is>
      </c>
      <c r="G205" s="42" t="inlineStr">
        <is>
          <t>OAUTH_OIDC_USED="Yes"</t>
        </is>
      </c>
      <c r="H205" s="43">
        <f>IF(AND(OAUTH_OIDC_USED="Yes",D205&lt;=TARGET_LEVEL_NUM),"Applicable","N/A")</f>
        <v/>
      </c>
      <c r="I205" s="40" t="inlineStr">
        <is>
          <t>SAST + integration testing</t>
        </is>
      </c>
      <c r="J205" s="40" t="inlineStr">
        <is>
          <t>Deterministic, continuous</t>
        </is>
      </c>
      <c r="K205" s="42" t="inlineStr">
        <is>
          <t>Pipeline</t>
        </is>
      </c>
      <c r="L205" s="42" t="inlineStr">
        <is>
          <t>Not assessed</t>
        </is>
      </c>
      <c r="M205" s="40" t="n"/>
      <c r="N205" s="40" t="n"/>
      <c r="O205" s="42" t="inlineStr">
        <is>
          <t>High</t>
        </is>
      </c>
      <c r="P205" s="43">
        <f>IF(H205="N/A","N/A",INDEX(CRIT_MATRIX,MATCH(O205,CRIT_MATRIX_ROWS,0),MATCH(APP_RISK_TIER,CRIT_MATRIX_COLS,0)))</f>
        <v/>
      </c>
    </row>
    <row r="206" ht="39.75" customHeight="1" s="19">
      <c r="A206" s="42" t="inlineStr">
        <is>
          <t>V10.4.3</t>
        </is>
      </c>
      <c r="B206" s="40" t="inlineStr">
        <is>
          <t>V10 - OAuth and OIDC</t>
        </is>
      </c>
      <c r="C206" s="40" t="inlineStr">
        <is>
          <t>V10.4 - OAuth Authorization Server</t>
        </is>
      </c>
      <c r="D206" s="42" t="n">
        <v>1</v>
      </c>
      <c r="E206" s="40" t="inlineStr">
        <is>
          <t>Verify that the authorization code is short-lived. The maximum lifetime can be up to 10 minutes for L1 and L2 applications and up to 1 minute for L3 applications.</t>
        </is>
      </c>
      <c r="F206" s="40" t="inlineStr">
        <is>
          <t>If uses OAuth/OIDC</t>
        </is>
      </c>
      <c r="G206" s="42" t="inlineStr">
        <is>
          <t>OAUTH_OIDC_USED="Yes"</t>
        </is>
      </c>
      <c r="H206" s="43">
        <f>IF(AND(OAUTH_OIDC_USED="Yes",D206&lt;=TARGET_LEVEL_NUM),"Applicable","N/A")</f>
        <v/>
      </c>
      <c r="I206" s="40" t="inlineStr">
        <is>
          <t>SAST + integration testing</t>
        </is>
      </c>
      <c r="J206" s="40" t="inlineStr">
        <is>
          <t>Deterministic, continuous</t>
        </is>
      </c>
      <c r="K206" s="42" t="inlineStr">
        <is>
          <t>Pipeline</t>
        </is>
      </c>
      <c r="L206" s="42" t="inlineStr">
        <is>
          <t>Not assessed</t>
        </is>
      </c>
      <c r="M206" s="40" t="n"/>
      <c r="N206" s="40" t="n"/>
      <c r="O206" s="42" t="inlineStr">
        <is>
          <t>High</t>
        </is>
      </c>
      <c r="P206" s="43">
        <f>IF(H206="N/A","N/A",INDEX(CRIT_MATRIX,MATCH(O206,CRIT_MATRIX_ROWS,0),MATCH(APP_RISK_TIER,CRIT_MATRIX_COLS,0)))</f>
        <v/>
      </c>
    </row>
    <row r="207" ht="39.75" customHeight="1" s="19">
      <c r="A207" s="42" t="inlineStr">
        <is>
          <t>V10.4.4</t>
        </is>
      </c>
      <c r="B207" s="40" t="inlineStr">
        <is>
          <t>V10 - OAuth and OIDC</t>
        </is>
      </c>
      <c r="C207" s="40" t="inlineStr">
        <is>
          <t>V10.4 - OAuth Authorization Server</t>
        </is>
      </c>
      <c r="D207" s="42" t="n">
        <v>1</v>
      </c>
      <c r="E207" s="40" t="inlineStr">
        <is>
          <t>Verify that for a given client, the authorization server only allows the usage of grants that this client needs to use. Note that the grants 'token' (Implicit flow) and 'password' (Resource Owner Password Credentials flow) must no longer be used.</t>
        </is>
      </c>
      <c r="F207" s="40" t="inlineStr">
        <is>
          <t>If uses OAuth/OIDC</t>
        </is>
      </c>
      <c r="G207" s="42" t="inlineStr">
        <is>
          <t>OAUTH_OIDC_USED="Yes"</t>
        </is>
      </c>
      <c r="H207" s="43">
        <f>IF(AND(OAUTH_OIDC_USED="Yes",D207&lt;=TARGET_LEVEL_NUM),"Applicable","N/A")</f>
        <v/>
      </c>
      <c r="I207" s="40" t="inlineStr">
        <is>
          <t>SAST + integration testing</t>
        </is>
      </c>
      <c r="J207" s="40" t="inlineStr">
        <is>
          <t>Deterministic, continuous</t>
        </is>
      </c>
      <c r="K207" s="42" t="inlineStr">
        <is>
          <t>Pipeline</t>
        </is>
      </c>
      <c r="L207" s="42" t="inlineStr">
        <is>
          <t>Not assessed</t>
        </is>
      </c>
      <c r="M207" s="40" t="n"/>
      <c r="N207" s="40" t="n"/>
      <c r="O207" s="42" t="inlineStr">
        <is>
          <t>High</t>
        </is>
      </c>
      <c r="P207" s="43">
        <f>IF(H207="N/A","N/A",INDEX(CRIT_MATRIX,MATCH(O207,CRIT_MATRIX_ROWS,0),MATCH(APP_RISK_TIER,CRIT_MATRIX_COLS,0)))</f>
        <v/>
      </c>
    </row>
    <row r="208" ht="39.75" customHeight="1" s="19">
      <c r="A208" s="42" t="inlineStr">
        <is>
          <t>V10.4.5</t>
        </is>
      </c>
      <c r="B208" s="40" t="inlineStr">
        <is>
          <t>V10 - OAuth and OIDC</t>
        </is>
      </c>
      <c r="C208" s="40" t="inlineStr">
        <is>
          <t>V10.4 - OAuth Authorization Server</t>
        </is>
      </c>
      <c r="D208" s="42" t="n">
        <v>1</v>
      </c>
      <c r="E208" s="40" t="inlineStr">
        <is>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is>
      </c>
      <c r="F208" s="40" t="inlineStr">
        <is>
          <t>If uses OAuth/OIDC</t>
        </is>
      </c>
      <c r="G208" s="42" t="inlineStr">
        <is>
          <t>OAUTH_OIDC_USED="Yes"</t>
        </is>
      </c>
      <c r="H208" s="43">
        <f>IF(AND(OAUTH_OIDC_USED="Yes",D208&lt;=TARGET_LEVEL_NUM),"Applicable","N/A")</f>
        <v/>
      </c>
      <c r="I208" s="40" t="inlineStr">
        <is>
          <t>SAST + integration testing</t>
        </is>
      </c>
      <c r="J208" s="40" t="inlineStr">
        <is>
          <t>Deterministic, continuous</t>
        </is>
      </c>
      <c r="K208" s="42" t="inlineStr">
        <is>
          <t>Pipeline</t>
        </is>
      </c>
      <c r="L208" s="42" t="inlineStr">
        <is>
          <t>Not assessed</t>
        </is>
      </c>
      <c r="M208" s="40" t="n"/>
      <c r="N208" s="40" t="n"/>
      <c r="O208" s="42" t="inlineStr">
        <is>
          <t>High</t>
        </is>
      </c>
      <c r="P208" s="43">
        <f>IF(H208="N/A","N/A",INDEX(CRIT_MATRIX,MATCH(O208,CRIT_MATRIX_ROWS,0),MATCH(APP_RISK_TIER,CRIT_MATRIX_COLS,0)))</f>
        <v/>
      </c>
    </row>
    <row r="209" ht="39.75" customHeight="1" s="19">
      <c r="A209" s="42" t="inlineStr">
        <is>
          <t>V10.4.6</t>
        </is>
      </c>
      <c r="B209" s="40" t="inlineStr">
        <is>
          <t>V10 - OAuth and OIDC</t>
        </is>
      </c>
      <c r="C209" s="40" t="inlineStr">
        <is>
          <t>V10.4 - OAuth Authorization Server</t>
        </is>
      </c>
      <c r="D209" s="42" t="n">
        <v>2</v>
      </c>
      <c r="E209" s="40" t="inlineStr">
        <is>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is>
      </c>
      <c r="F209" s="40" t="inlineStr">
        <is>
          <t>If uses OAuth/OIDC</t>
        </is>
      </c>
      <c r="G209" s="42" t="inlineStr">
        <is>
          <t>OAUTH_OIDC_USED="Yes"</t>
        </is>
      </c>
      <c r="H209" s="43">
        <f>IF(AND(OAUTH_OIDC_USED="Yes",D209&lt;=TARGET_LEVEL_NUM),"Applicable","N/A")</f>
        <v/>
      </c>
      <c r="I209" s="40" t="inlineStr">
        <is>
          <t>SAST + integration testing</t>
        </is>
      </c>
      <c r="J209" s="40" t="inlineStr">
        <is>
          <t>Deterministic, continuous</t>
        </is>
      </c>
      <c r="K209" s="42" t="inlineStr">
        <is>
          <t>Pipeline</t>
        </is>
      </c>
      <c r="L209" s="42" t="inlineStr">
        <is>
          <t>Not assessed</t>
        </is>
      </c>
      <c r="M209" s="40" t="n"/>
      <c r="N209" s="40" t="n"/>
      <c r="O209" s="42" t="inlineStr">
        <is>
          <t>High</t>
        </is>
      </c>
      <c r="P209" s="43">
        <f>IF(H209="N/A","N/A",INDEX(CRIT_MATRIX,MATCH(O209,CRIT_MATRIX_ROWS,0),MATCH(APP_RISK_TIER,CRIT_MATRIX_COLS,0)))</f>
        <v/>
      </c>
    </row>
    <row r="210" ht="39.75" customHeight="1" s="19">
      <c r="A210" s="42" t="inlineStr">
        <is>
          <t>V10.4.7</t>
        </is>
      </c>
      <c r="B210" s="40" t="inlineStr">
        <is>
          <t>V10 - OAuth and OIDC</t>
        </is>
      </c>
      <c r="C210" s="40" t="inlineStr">
        <is>
          <t>V10.4 - OAuth Authorization Server</t>
        </is>
      </c>
      <c r="D210" s="42" t="n">
        <v>2</v>
      </c>
      <c r="E210" s="40" t="inlineStr">
        <is>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is>
      </c>
      <c r="F210" s="40" t="inlineStr">
        <is>
          <t>If uses OAuth/OIDC</t>
        </is>
      </c>
      <c r="G210" s="42" t="inlineStr">
        <is>
          <t>OAUTH_OIDC_USED="Yes"</t>
        </is>
      </c>
      <c r="H210" s="43">
        <f>IF(AND(OAUTH_OIDC_USED="Yes",D210&lt;=TARGET_LEVEL_NUM),"Applicable","N/A")</f>
        <v/>
      </c>
      <c r="I210" s="40" t="inlineStr">
        <is>
          <t>SAST + integration testing</t>
        </is>
      </c>
      <c r="J210" s="40" t="inlineStr">
        <is>
          <t>Deterministic, continuous</t>
        </is>
      </c>
      <c r="K210" s="42" t="inlineStr">
        <is>
          <t>Pipeline</t>
        </is>
      </c>
      <c r="L210" s="42" t="inlineStr">
        <is>
          <t>Not assessed</t>
        </is>
      </c>
      <c r="M210" s="40" t="n"/>
      <c r="N210" s="40" t="n"/>
      <c r="O210" s="42" t="inlineStr">
        <is>
          <t>High</t>
        </is>
      </c>
      <c r="P210" s="43">
        <f>IF(H210="N/A","N/A",INDEX(CRIT_MATRIX,MATCH(O210,CRIT_MATRIX_ROWS,0),MATCH(APP_RISK_TIER,CRIT_MATRIX_COLS,0)))</f>
        <v/>
      </c>
    </row>
    <row r="211" ht="39.75" customHeight="1" s="19">
      <c r="A211" s="42" t="inlineStr">
        <is>
          <t>V10.4.8</t>
        </is>
      </c>
      <c r="B211" s="40" t="inlineStr">
        <is>
          <t>V10 - OAuth and OIDC</t>
        </is>
      </c>
      <c r="C211" s="40" t="inlineStr">
        <is>
          <t>V10.4 - OAuth Authorization Server</t>
        </is>
      </c>
      <c r="D211" s="42" t="n">
        <v>2</v>
      </c>
      <c r="E211" s="40" t="inlineStr">
        <is>
          <t>Verify that refresh tokens have an absolute expiration, including if sliding refresh token expiration is applied.</t>
        </is>
      </c>
      <c r="F211" s="40" t="inlineStr">
        <is>
          <t>If uses OAuth/OIDC</t>
        </is>
      </c>
      <c r="G211" s="42" t="inlineStr">
        <is>
          <t>OAUTH_OIDC_USED="Yes"</t>
        </is>
      </c>
      <c r="H211" s="43">
        <f>IF(AND(OAUTH_OIDC_USED="Yes",D211&lt;=TARGET_LEVEL_NUM),"Applicable","N/A")</f>
        <v/>
      </c>
      <c r="I211" s="40" t="inlineStr">
        <is>
          <t>SAST + integration testing</t>
        </is>
      </c>
      <c r="J211" s="40" t="inlineStr">
        <is>
          <t>Deterministic, continuous</t>
        </is>
      </c>
      <c r="K211" s="42" t="inlineStr">
        <is>
          <t>Pipeline</t>
        </is>
      </c>
      <c r="L211" s="42" t="inlineStr">
        <is>
          <t>Not assessed</t>
        </is>
      </c>
      <c r="M211" s="40" t="n"/>
      <c r="N211" s="40" t="n"/>
      <c r="O211" s="42" t="inlineStr">
        <is>
          <t>High</t>
        </is>
      </c>
      <c r="P211" s="43">
        <f>IF(H211="N/A","N/A",INDEX(CRIT_MATRIX,MATCH(O211,CRIT_MATRIX_ROWS,0),MATCH(APP_RISK_TIER,CRIT_MATRIX_COLS,0)))</f>
        <v/>
      </c>
    </row>
    <row r="212" ht="39.75" customHeight="1" s="19">
      <c r="A212" s="42" t="inlineStr">
        <is>
          <t>V10.4.9</t>
        </is>
      </c>
      <c r="B212" s="40" t="inlineStr">
        <is>
          <t>V10 - OAuth and OIDC</t>
        </is>
      </c>
      <c r="C212" s="40" t="inlineStr">
        <is>
          <t>V10.4 - OAuth Authorization Server</t>
        </is>
      </c>
      <c r="D212" s="42" t="n">
        <v>2</v>
      </c>
      <c r="E212" s="40" t="inlineStr">
        <is>
          <t>Verify that refresh tokens and reference access tokens can be revoked by an authorized user using the authorization server user interface, to mitigate the risk of malicious clients or stolen tokens.</t>
        </is>
      </c>
      <c r="F212" s="40" t="inlineStr">
        <is>
          <t>If uses OAuth/OIDC</t>
        </is>
      </c>
      <c r="G212" s="42" t="inlineStr">
        <is>
          <t>OAUTH_OIDC_USED="Yes"</t>
        </is>
      </c>
      <c r="H212" s="43">
        <f>IF(AND(OAUTH_OIDC_USED="Yes",D212&lt;=TARGET_LEVEL_NUM),"Applicable","N/A")</f>
        <v/>
      </c>
      <c r="I212" s="40" t="inlineStr">
        <is>
          <t>SAST + integration testing</t>
        </is>
      </c>
      <c r="J212" s="40" t="inlineStr">
        <is>
          <t>Deterministic, continuous</t>
        </is>
      </c>
      <c r="K212" s="42" t="inlineStr">
        <is>
          <t>Pipeline</t>
        </is>
      </c>
      <c r="L212" s="42" t="inlineStr">
        <is>
          <t>Not assessed</t>
        </is>
      </c>
      <c r="M212" s="40" t="n"/>
      <c r="N212" s="40" t="n"/>
      <c r="O212" s="42" t="inlineStr">
        <is>
          <t>High</t>
        </is>
      </c>
      <c r="P212" s="43">
        <f>IF(H212="N/A","N/A",INDEX(CRIT_MATRIX,MATCH(O212,CRIT_MATRIX_ROWS,0),MATCH(APP_RISK_TIER,CRIT_MATRIX_COLS,0)))</f>
        <v/>
      </c>
    </row>
    <row r="213" ht="39.75" customHeight="1" s="19">
      <c r="A213" s="42" t="inlineStr">
        <is>
          <t>V10.4.10</t>
        </is>
      </c>
      <c r="B213" s="40" t="inlineStr">
        <is>
          <t>V10 - OAuth and OIDC</t>
        </is>
      </c>
      <c r="C213" s="40" t="inlineStr">
        <is>
          <t>V10.4 - OAuth Authorization Server</t>
        </is>
      </c>
      <c r="D213" s="42" t="n">
        <v>2</v>
      </c>
      <c r="E213" s="40" t="inlineStr">
        <is>
          <t>Verify that confidential client is authenticated for client-to-authorized server backchannel requests such as token requests, pushed authorization requests (PAR), and token revocation requests.</t>
        </is>
      </c>
      <c r="F213" s="40" t="inlineStr">
        <is>
          <t>If uses OAuth/OIDC</t>
        </is>
      </c>
      <c r="G213" s="42" t="inlineStr">
        <is>
          <t>OAUTH_OIDC_USED="Yes"</t>
        </is>
      </c>
      <c r="H213" s="43">
        <f>IF(AND(OAUTH_OIDC_USED="Yes",D213&lt;=TARGET_LEVEL_NUM),"Applicable","N/A")</f>
        <v/>
      </c>
      <c r="I213" s="40" t="inlineStr">
        <is>
          <t>SAST + integration testing</t>
        </is>
      </c>
      <c r="J213" s="40" t="inlineStr">
        <is>
          <t>Deterministic, continuous</t>
        </is>
      </c>
      <c r="K213" s="42" t="inlineStr">
        <is>
          <t>Pipeline</t>
        </is>
      </c>
      <c r="L213" s="42" t="inlineStr">
        <is>
          <t>Not assessed</t>
        </is>
      </c>
      <c r="M213" s="40" t="n"/>
      <c r="N213" s="40" t="n"/>
      <c r="O213" s="42" t="inlineStr">
        <is>
          <t>High</t>
        </is>
      </c>
      <c r="P213" s="43">
        <f>IF(H213="N/A","N/A",INDEX(CRIT_MATRIX,MATCH(O213,CRIT_MATRIX_ROWS,0),MATCH(APP_RISK_TIER,CRIT_MATRIX_COLS,0)))</f>
        <v/>
      </c>
    </row>
    <row r="214" ht="39.75" customHeight="1" s="19">
      <c r="A214" s="42" t="inlineStr">
        <is>
          <t>V10.4.11</t>
        </is>
      </c>
      <c r="B214" s="40" t="inlineStr">
        <is>
          <t>V10 - OAuth and OIDC</t>
        </is>
      </c>
      <c r="C214" s="40" t="inlineStr">
        <is>
          <t>V10.4 - OAuth Authorization Server</t>
        </is>
      </c>
      <c r="D214" s="42" t="n">
        <v>2</v>
      </c>
      <c r="E214" s="40" t="inlineStr">
        <is>
          <t>Verify that the authorization server configuration only assigns the required scopes to the OAuth client.</t>
        </is>
      </c>
      <c r="F214" s="40" t="inlineStr">
        <is>
          <t>If uses OAuth/OIDC</t>
        </is>
      </c>
      <c r="G214" s="42" t="inlineStr">
        <is>
          <t>OAUTH_OIDC_USED="Yes"</t>
        </is>
      </c>
      <c r="H214" s="43">
        <f>IF(AND(OAUTH_OIDC_USED="Yes",D214&lt;=TARGET_LEVEL_NUM),"Applicable","N/A")</f>
        <v/>
      </c>
      <c r="I214" s="40" t="inlineStr">
        <is>
          <t>SAST + integration testing</t>
        </is>
      </c>
      <c r="J214" s="40" t="inlineStr">
        <is>
          <t>Deterministic, continuous</t>
        </is>
      </c>
      <c r="K214" s="42" t="inlineStr">
        <is>
          <t>Pipeline</t>
        </is>
      </c>
      <c r="L214" s="42" t="inlineStr">
        <is>
          <t>Not assessed</t>
        </is>
      </c>
      <c r="M214" s="40" t="n"/>
      <c r="N214" s="40" t="n"/>
      <c r="O214" s="42" t="inlineStr">
        <is>
          <t>High</t>
        </is>
      </c>
      <c r="P214" s="43">
        <f>IF(H214="N/A","N/A",INDEX(CRIT_MATRIX,MATCH(O214,CRIT_MATRIX_ROWS,0),MATCH(APP_RISK_TIER,CRIT_MATRIX_COLS,0)))</f>
        <v/>
      </c>
    </row>
    <row r="215" ht="39.75" customHeight="1" s="19">
      <c r="A215" s="42" t="inlineStr">
        <is>
          <t>V10.4.12</t>
        </is>
      </c>
      <c r="B215" s="40" t="inlineStr">
        <is>
          <t>V10 - OAuth and OIDC</t>
        </is>
      </c>
      <c r="C215" s="40" t="inlineStr">
        <is>
          <t>V10.4 - OAuth Authorization Server</t>
        </is>
      </c>
      <c r="D215" s="42" t="n">
        <v>3</v>
      </c>
      <c r="E215" s="40" t="inlineStr">
        <is>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is>
      </c>
      <c r="F215" s="40" t="inlineStr">
        <is>
          <t>If uses OAuth/OIDC</t>
        </is>
      </c>
      <c r="G215" s="42" t="inlineStr">
        <is>
          <t>OAUTH_OIDC_USED="Yes"</t>
        </is>
      </c>
      <c r="H215" s="43">
        <f>IF(AND(OAUTH_OIDC_USED="Yes",D215&lt;=TARGET_LEVEL_NUM),"Applicable","N/A")</f>
        <v/>
      </c>
      <c r="I215" s="40" t="inlineStr">
        <is>
          <t>SAST + integration testing</t>
        </is>
      </c>
      <c r="J215" s="40" t="inlineStr">
        <is>
          <t>Deterministic, continuous</t>
        </is>
      </c>
      <c r="K215" s="42" t="inlineStr">
        <is>
          <t>Pipeline</t>
        </is>
      </c>
      <c r="L215" s="42" t="inlineStr">
        <is>
          <t>Not assessed</t>
        </is>
      </c>
      <c r="M215" s="40" t="n"/>
      <c r="N215" s="40" t="n"/>
      <c r="O215" s="42" t="inlineStr">
        <is>
          <t>High</t>
        </is>
      </c>
      <c r="P215" s="43">
        <f>IF(H215="N/A","N/A",INDEX(CRIT_MATRIX,MATCH(O215,CRIT_MATRIX_ROWS,0),MATCH(APP_RISK_TIER,CRIT_MATRIX_COLS,0)))</f>
        <v/>
      </c>
    </row>
    <row r="216" ht="39.75" customHeight="1" s="19">
      <c r="A216" s="42" t="inlineStr">
        <is>
          <t>V10.4.13</t>
        </is>
      </c>
      <c r="B216" s="40" t="inlineStr">
        <is>
          <t>V10 - OAuth and OIDC</t>
        </is>
      </c>
      <c r="C216" s="40" t="inlineStr">
        <is>
          <t>V10.4 - OAuth Authorization Server</t>
        </is>
      </c>
      <c r="D216" s="42" t="n">
        <v>3</v>
      </c>
      <c r="E216" s="40" t="inlineStr">
        <is>
          <t>Verify that grant type 'code' is always used together with pushed authorization requests (PAR).</t>
        </is>
      </c>
      <c r="F216" s="40" t="inlineStr">
        <is>
          <t>If uses OAuth/OIDC</t>
        </is>
      </c>
      <c r="G216" s="42" t="inlineStr">
        <is>
          <t>OAUTH_OIDC_USED="Yes"</t>
        </is>
      </c>
      <c r="H216" s="43">
        <f>IF(AND(OAUTH_OIDC_USED="Yes",D216&lt;=TARGET_LEVEL_NUM),"Applicable","N/A")</f>
        <v/>
      </c>
      <c r="I216" s="40" t="inlineStr">
        <is>
          <t>SAST + integration testing</t>
        </is>
      </c>
      <c r="J216" s="40" t="inlineStr">
        <is>
          <t>Deterministic, continuous</t>
        </is>
      </c>
      <c r="K216" s="42" t="inlineStr">
        <is>
          <t>Pipeline</t>
        </is>
      </c>
      <c r="L216" s="42" t="inlineStr">
        <is>
          <t>Not assessed</t>
        </is>
      </c>
      <c r="M216" s="40" t="n"/>
      <c r="N216" s="40" t="n"/>
      <c r="O216" s="42" t="inlineStr">
        <is>
          <t>High</t>
        </is>
      </c>
      <c r="P216" s="43">
        <f>IF(H216="N/A","N/A",INDEX(CRIT_MATRIX,MATCH(O216,CRIT_MATRIX_ROWS,0),MATCH(APP_RISK_TIER,CRIT_MATRIX_COLS,0)))</f>
        <v/>
      </c>
    </row>
    <row r="217" ht="39.75" customHeight="1" s="19">
      <c r="A217" s="42" t="inlineStr">
        <is>
          <t>V10.4.14</t>
        </is>
      </c>
      <c r="B217" s="40" t="inlineStr">
        <is>
          <t>V10 - OAuth and OIDC</t>
        </is>
      </c>
      <c r="C217" s="40" t="inlineStr">
        <is>
          <t>V10.4 - OAuth Authorization Server</t>
        </is>
      </c>
      <c r="D217" s="42" t="n">
        <v>3</v>
      </c>
      <c r="E217" s="40" t="inlineStr">
        <is>
          <t>Verify that the authorization server issues only sender-constrained (Proof-of-Possession) access tokens, either with certificate-bound access tokens using mutual TLS (mTLS) or DPoP-bound access tokens (Demonstration of Proof of Possession).</t>
        </is>
      </c>
      <c r="F217" s="40" t="inlineStr">
        <is>
          <t>If uses OAuth/OIDC</t>
        </is>
      </c>
      <c r="G217" s="42" t="inlineStr">
        <is>
          <t>OAUTH_OIDC_USED="Yes"</t>
        </is>
      </c>
      <c r="H217" s="43">
        <f>IF(AND(OAUTH_OIDC_USED="Yes",D217&lt;=TARGET_LEVEL_NUM),"Applicable","N/A")</f>
        <v/>
      </c>
      <c r="I217" s="40" t="inlineStr">
        <is>
          <t>SAST + integration testing</t>
        </is>
      </c>
      <c r="J217" s="40" t="inlineStr">
        <is>
          <t>Deterministic, continuous</t>
        </is>
      </c>
      <c r="K217" s="42" t="inlineStr">
        <is>
          <t>Pipeline</t>
        </is>
      </c>
      <c r="L217" s="42" t="inlineStr">
        <is>
          <t>Not assessed</t>
        </is>
      </c>
      <c r="M217" s="40" t="n"/>
      <c r="N217" s="40" t="n"/>
      <c r="O217" s="42" t="inlineStr">
        <is>
          <t>High</t>
        </is>
      </c>
      <c r="P217" s="43">
        <f>IF(H217="N/A","N/A",INDEX(CRIT_MATRIX,MATCH(O217,CRIT_MATRIX_ROWS,0),MATCH(APP_RISK_TIER,CRIT_MATRIX_COLS,0)))</f>
        <v/>
      </c>
    </row>
    <row r="218" ht="39.75" customHeight="1" s="19">
      <c r="A218" s="42" t="inlineStr">
        <is>
          <t>V10.4.15</t>
        </is>
      </c>
      <c r="B218" s="40" t="inlineStr">
        <is>
          <t>V10 - OAuth and OIDC</t>
        </is>
      </c>
      <c r="C218" s="40" t="inlineStr">
        <is>
          <t>V10.4 - OAuth Authorization Server</t>
        </is>
      </c>
      <c r="D218" s="42" t="n">
        <v>3</v>
      </c>
      <c r="E218" s="40" t="inlineStr">
        <is>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is>
      </c>
      <c r="F218" s="40" t="inlineStr">
        <is>
          <t>If uses OAuth/OIDC</t>
        </is>
      </c>
      <c r="G218" s="42" t="inlineStr">
        <is>
          <t>OAUTH_OIDC_USED="Yes"</t>
        </is>
      </c>
      <c r="H218" s="43">
        <f>IF(AND(OAUTH_OIDC_USED="Yes",D218&lt;=TARGET_LEVEL_NUM),"Applicable","N/A")</f>
        <v/>
      </c>
      <c r="I218" s="40" t="inlineStr">
        <is>
          <t>SAST + integration testing</t>
        </is>
      </c>
      <c r="J218" s="40" t="inlineStr">
        <is>
          <t>Deterministic, continuous</t>
        </is>
      </c>
      <c r="K218" s="42" t="inlineStr">
        <is>
          <t>Pipeline</t>
        </is>
      </c>
      <c r="L218" s="42" t="inlineStr">
        <is>
          <t>Not assessed</t>
        </is>
      </c>
      <c r="M218" s="40" t="n"/>
      <c r="N218" s="40" t="n"/>
      <c r="O218" s="42" t="inlineStr">
        <is>
          <t>High</t>
        </is>
      </c>
      <c r="P218" s="43">
        <f>IF(H218="N/A","N/A",INDEX(CRIT_MATRIX,MATCH(O218,CRIT_MATRIX_ROWS,0),MATCH(APP_RISK_TIER,CRIT_MATRIX_COLS,0)))</f>
        <v/>
      </c>
    </row>
    <row r="219" ht="39.75" customHeight="1" s="19">
      <c r="A219" s="42" t="inlineStr">
        <is>
          <t>V10.4.16</t>
        </is>
      </c>
      <c r="B219" s="40" t="inlineStr">
        <is>
          <t>V10 - OAuth and OIDC</t>
        </is>
      </c>
      <c r="C219" s="40" t="inlineStr">
        <is>
          <t>V10.4 - OAuth Authorization Server</t>
        </is>
      </c>
      <c r="D219" s="42" t="n">
        <v>3</v>
      </c>
      <c r="E219" s="40" t="inlineStr">
        <is>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is>
      </c>
      <c r="F219" s="40" t="inlineStr">
        <is>
          <t>If uses OAuth/OIDC</t>
        </is>
      </c>
      <c r="G219" s="42" t="inlineStr">
        <is>
          <t>OAUTH_OIDC_USED="Yes"</t>
        </is>
      </c>
      <c r="H219" s="43">
        <f>IF(AND(OAUTH_OIDC_USED="Yes",D219&lt;=TARGET_LEVEL_NUM),"Applicable","N/A")</f>
        <v/>
      </c>
      <c r="I219" s="40" t="inlineStr">
        <is>
          <t>SAST + integration testing</t>
        </is>
      </c>
      <c r="J219" s="40" t="inlineStr">
        <is>
          <t>Deterministic, continuous</t>
        </is>
      </c>
      <c r="K219" s="42" t="inlineStr">
        <is>
          <t>Pipeline</t>
        </is>
      </c>
      <c r="L219" s="42" t="inlineStr">
        <is>
          <t>Not assessed</t>
        </is>
      </c>
      <c r="M219" s="40" t="n"/>
      <c r="N219" s="40" t="n"/>
      <c r="O219" s="42" t="inlineStr">
        <is>
          <t>High</t>
        </is>
      </c>
      <c r="P219" s="43">
        <f>IF(H219="N/A","N/A",INDEX(CRIT_MATRIX,MATCH(O219,CRIT_MATRIX_ROWS,0),MATCH(APP_RISK_TIER,CRIT_MATRIX_COLS,0)))</f>
        <v/>
      </c>
    </row>
    <row r="220" ht="39.75" customHeight="1" s="19">
      <c r="A220" s="42" t="inlineStr">
        <is>
          <t>V10.5.1</t>
        </is>
      </c>
      <c r="B220" s="40" t="inlineStr">
        <is>
          <t>V10 - OAuth and OIDC</t>
        </is>
      </c>
      <c r="C220" s="40" t="inlineStr">
        <is>
          <t>V10.5 - OIDC Client</t>
        </is>
      </c>
      <c r="D220" s="42" t="n">
        <v>2</v>
      </c>
      <c r="E220" s="40" t="inlineStr">
        <is>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is>
      </c>
      <c r="F220" s="40" t="inlineStr">
        <is>
          <t>If uses OAuth/OIDC</t>
        </is>
      </c>
      <c r="G220" s="42" t="inlineStr">
        <is>
          <t>OAUTH_OIDC_USED="Yes"</t>
        </is>
      </c>
      <c r="H220" s="43">
        <f>IF(AND(OAUTH_OIDC_USED="Yes",D220&lt;=TARGET_LEVEL_NUM),"Applicable","N/A")</f>
        <v/>
      </c>
      <c r="I220" s="40" t="inlineStr">
        <is>
          <t>SAST + integration testing</t>
        </is>
      </c>
      <c r="J220" s="40" t="inlineStr">
        <is>
          <t>Deterministic, continuous</t>
        </is>
      </c>
      <c r="K220" s="42" t="inlineStr">
        <is>
          <t>Pipeline</t>
        </is>
      </c>
      <c r="L220" s="42" t="inlineStr">
        <is>
          <t>Not assessed</t>
        </is>
      </c>
      <c r="M220" s="40" t="n"/>
      <c r="N220" s="40" t="n"/>
      <c r="O220" s="42" t="inlineStr">
        <is>
          <t>High</t>
        </is>
      </c>
      <c r="P220" s="43">
        <f>IF(H220="N/A","N/A",INDEX(CRIT_MATRIX,MATCH(O220,CRIT_MATRIX_ROWS,0),MATCH(APP_RISK_TIER,CRIT_MATRIX_COLS,0)))</f>
        <v/>
      </c>
    </row>
    <row r="221" ht="39.75" customHeight="1" s="19">
      <c r="A221" s="42" t="inlineStr">
        <is>
          <t>V10.5.2</t>
        </is>
      </c>
      <c r="B221" s="40" t="inlineStr">
        <is>
          <t>V10 - OAuth and OIDC</t>
        </is>
      </c>
      <c r="C221" s="40" t="inlineStr">
        <is>
          <t>V10.5 - OIDC Client</t>
        </is>
      </c>
      <c r="D221" s="42" t="n">
        <v>2</v>
      </c>
      <c r="E221" s="40" t="inlineStr">
        <is>
          <t>Verify that the client uniquely identifies the user from ID Token claims, usually the 'sub' claim, which cannot be reassigned to other users (for the scope of an identity provider).</t>
        </is>
      </c>
      <c r="F221" s="40" t="inlineStr">
        <is>
          <t>If uses OAuth/OIDC</t>
        </is>
      </c>
      <c r="G221" s="42" t="inlineStr">
        <is>
          <t>OAUTH_OIDC_USED="Yes"</t>
        </is>
      </c>
      <c r="H221" s="43">
        <f>IF(AND(OAUTH_OIDC_USED="Yes",D221&lt;=TARGET_LEVEL_NUM),"Applicable","N/A")</f>
        <v/>
      </c>
      <c r="I221" s="40" t="inlineStr">
        <is>
          <t>SAST + integration testing</t>
        </is>
      </c>
      <c r="J221" s="40" t="inlineStr">
        <is>
          <t>Deterministic, continuous</t>
        </is>
      </c>
      <c r="K221" s="42" t="inlineStr">
        <is>
          <t>Pipeline</t>
        </is>
      </c>
      <c r="L221" s="42" t="inlineStr">
        <is>
          <t>Not assessed</t>
        </is>
      </c>
      <c r="M221" s="40" t="n"/>
      <c r="N221" s="40" t="n"/>
      <c r="O221" s="42" t="inlineStr">
        <is>
          <t>High</t>
        </is>
      </c>
      <c r="P221" s="43">
        <f>IF(H221="N/A","N/A",INDEX(CRIT_MATRIX,MATCH(O221,CRIT_MATRIX_ROWS,0),MATCH(APP_RISK_TIER,CRIT_MATRIX_COLS,0)))</f>
        <v/>
      </c>
    </row>
    <row r="222" ht="39.75" customHeight="1" s="19">
      <c r="A222" s="42" t="inlineStr">
        <is>
          <t>V10.5.3</t>
        </is>
      </c>
      <c r="B222" s="40" t="inlineStr">
        <is>
          <t>V10 - OAuth and OIDC</t>
        </is>
      </c>
      <c r="C222" s="40" t="inlineStr">
        <is>
          <t>V10.5 - OIDC Client</t>
        </is>
      </c>
      <c r="D222" s="42" t="n">
        <v>2</v>
      </c>
      <c r="E222" s="40" t="inlineStr">
        <is>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is>
      </c>
      <c r="F222" s="40" t="inlineStr">
        <is>
          <t>If uses OAuth/OIDC</t>
        </is>
      </c>
      <c r="G222" s="42" t="inlineStr">
        <is>
          <t>OAUTH_OIDC_USED="Yes"</t>
        </is>
      </c>
      <c r="H222" s="43">
        <f>IF(AND(OAUTH_OIDC_USED="Yes",D222&lt;=TARGET_LEVEL_NUM),"Applicable","N/A")</f>
        <v/>
      </c>
      <c r="I222" s="40" t="inlineStr">
        <is>
          <t>SAST + integration testing</t>
        </is>
      </c>
      <c r="J222" s="40" t="inlineStr">
        <is>
          <t>Deterministic, continuous</t>
        </is>
      </c>
      <c r="K222" s="42" t="inlineStr">
        <is>
          <t>Pipeline</t>
        </is>
      </c>
      <c r="L222" s="42" t="inlineStr">
        <is>
          <t>Not assessed</t>
        </is>
      </c>
      <c r="M222" s="40" t="n"/>
      <c r="N222" s="40" t="n"/>
      <c r="O222" s="42" t="inlineStr">
        <is>
          <t>High</t>
        </is>
      </c>
      <c r="P222" s="43">
        <f>IF(H222="N/A","N/A",INDEX(CRIT_MATRIX,MATCH(O222,CRIT_MATRIX_ROWS,0),MATCH(APP_RISK_TIER,CRIT_MATRIX_COLS,0)))</f>
        <v/>
      </c>
    </row>
    <row r="223" ht="39.75" customHeight="1" s="19">
      <c r="A223" s="42" t="inlineStr">
        <is>
          <t>V10.5.4</t>
        </is>
      </c>
      <c r="B223" s="40" t="inlineStr">
        <is>
          <t>V10 - OAuth and OIDC</t>
        </is>
      </c>
      <c r="C223" s="40" t="inlineStr">
        <is>
          <t>V10.5 - OIDC Client</t>
        </is>
      </c>
      <c r="D223" s="42" t="n">
        <v>2</v>
      </c>
      <c r="E223" s="40" t="inlineStr">
        <is>
          <t>Verify that the client validates that the ID Token is intended to be used for that client (audience) by checking that the 'aud' claim from the token is equal to the 'client_id' value for the client.</t>
        </is>
      </c>
      <c r="F223" s="40" t="inlineStr">
        <is>
          <t>If uses OAuth/OIDC</t>
        </is>
      </c>
      <c r="G223" s="42" t="inlineStr">
        <is>
          <t>OAUTH_OIDC_USED="Yes"</t>
        </is>
      </c>
      <c r="H223" s="43">
        <f>IF(AND(OAUTH_OIDC_USED="Yes",D223&lt;=TARGET_LEVEL_NUM),"Applicable","N/A")</f>
        <v/>
      </c>
      <c r="I223" s="40" t="inlineStr">
        <is>
          <t>SAST + integration testing</t>
        </is>
      </c>
      <c r="J223" s="40" t="inlineStr">
        <is>
          <t>Deterministic, continuous</t>
        </is>
      </c>
      <c r="K223" s="42" t="inlineStr">
        <is>
          <t>Pipeline</t>
        </is>
      </c>
      <c r="L223" s="42" t="inlineStr">
        <is>
          <t>Not assessed</t>
        </is>
      </c>
      <c r="M223" s="40" t="n"/>
      <c r="N223" s="40" t="n"/>
      <c r="O223" s="42" t="inlineStr">
        <is>
          <t>High</t>
        </is>
      </c>
      <c r="P223" s="43">
        <f>IF(H223="N/A","N/A",INDEX(CRIT_MATRIX,MATCH(O223,CRIT_MATRIX_ROWS,0),MATCH(APP_RISK_TIER,CRIT_MATRIX_COLS,0)))</f>
        <v/>
      </c>
    </row>
    <row r="224" ht="39.75" customHeight="1" s="19">
      <c r="A224" s="42" t="inlineStr">
        <is>
          <t>V10.5.5</t>
        </is>
      </c>
      <c r="B224" s="40" t="inlineStr">
        <is>
          <t>V10 - OAuth and OIDC</t>
        </is>
      </c>
      <c r="C224" s="40" t="inlineStr">
        <is>
          <t>V10.5 - OIDC Client</t>
        </is>
      </c>
      <c r="D224" s="42" t="n">
        <v>2</v>
      </c>
      <c r="E224" s="40" t="inlineStr">
        <is>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is>
      </c>
      <c r="F224" s="40" t="inlineStr">
        <is>
          <t>If uses OAuth/OIDC</t>
        </is>
      </c>
      <c r="G224" s="42" t="inlineStr">
        <is>
          <t>OAUTH_OIDC_USED="Yes"</t>
        </is>
      </c>
      <c r="H224" s="43">
        <f>IF(AND(OAUTH_OIDC_USED="Yes",D224&lt;=TARGET_LEVEL_NUM),"Applicable","N/A")</f>
        <v/>
      </c>
      <c r="I224" s="40" t="inlineStr">
        <is>
          <t>SAST + integration testing</t>
        </is>
      </c>
      <c r="J224" s="40" t="inlineStr">
        <is>
          <t>Deterministic, continuous</t>
        </is>
      </c>
      <c r="K224" s="42" t="inlineStr">
        <is>
          <t>Pipeline</t>
        </is>
      </c>
      <c r="L224" s="42" t="inlineStr">
        <is>
          <t>Not assessed</t>
        </is>
      </c>
      <c r="M224" s="40" t="n"/>
      <c r="N224" s="40" t="n"/>
      <c r="O224" s="42" t="inlineStr">
        <is>
          <t>High</t>
        </is>
      </c>
      <c r="P224" s="43">
        <f>IF(H224="N/A","N/A",INDEX(CRIT_MATRIX,MATCH(O224,CRIT_MATRIX_ROWS,0),MATCH(APP_RISK_TIER,CRIT_MATRIX_COLS,0)))</f>
        <v/>
      </c>
    </row>
    <row r="225" ht="39.75" customHeight="1" s="19">
      <c r="A225" s="42" t="inlineStr">
        <is>
          <t>V10.6.1</t>
        </is>
      </c>
      <c r="B225" s="40" t="inlineStr">
        <is>
          <t>V10 - OAuth and OIDC</t>
        </is>
      </c>
      <c r="C225" s="40" t="inlineStr">
        <is>
          <t>V10.6 - OpenID Provider</t>
        </is>
      </c>
      <c r="D225" s="42" t="n">
        <v>2</v>
      </c>
      <c r="E225" s="40" t="inlineStr">
        <is>
          <t>Verify that the OpenID Provider only allows values 'code', 'ciba', 'id_token', or 'id_token code' for response mode. Note that 'code' is preferred over 'id_token code' (the OIDC Hybrid flow), and 'token' (any Implicit flow) must not be used.</t>
        </is>
      </c>
      <c r="F225" s="40" t="inlineStr">
        <is>
          <t>If uses OAuth/OIDC</t>
        </is>
      </c>
      <c r="G225" s="42" t="inlineStr">
        <is>
          <t>OAUTH_OIDC_USED="Yes"</t>
        </is>
      </c>
      <c r="H225" s="43">
        <f>IF(AND(OAUTH_OIDC_USED="Yes",D225&lt;=TARGET_LEVEL_NUM),"Applicable","N/A")</f>
        <v/>
      </c>
      <c r="I225" s="40" t="inlineStr">
        <is>
          <t>SAST + integration testing</t>
        </is>
      </c>
      <c r="J225" s="40" t="inlineStr">
        <is>
          <t>Deterministic, continuous</t>
        </is>
      </c>
      <c r="K225" s="42" t="inlineStr">
        <is>
          <t>Pipeline</t>
        </is>
      </c>
      <c r="L225" s="42" t="inlineStr">
        <is>
          <t>Not assessed</t>
        </is>
      </c>
      <c r="M225" s="40" t="n"/>
      <c r="N225" s="40" t="n"/>
      <c r="O225" s="42" t="inlineStr">
        <is>
          <t>High</t>
        </is>
      </c>
      <c r="P225" s="43">
        <f>IF(H225="N/A","N/A",INDEX(CRIT_MATRIX,MATCH(O225,CRIT_MATRIX_ROWS,0),MATCH(APP_RISK_TIER,CRIT_MATRIX_COLS,0)))</f>
        <v/>
      </c>
    </row>
    <row r="226" ht="39.75" customHeight="1" s="19">
      <c r="A226" s="42" t="inlineStr">
        <is>
          <t>V10.6.2</t>
        </is>
      </c>
      <c r="B226" s="40" t="inlineStr">
        <is>
          <t>V10 - OAuth and OIDC</t>
        </is>
      </c>
      <c r="C226" s="40" t="inlineStr">
        <is>
          <t>V10.6 - OpenID Provider</t>
        </is>
      </c>
      <c r="D226" s="42" t="n">
        <v>2</v>
      </c>
      <c r="E226" s="40" t="inlineStr">
        <is>
          <t>Verify that the OpenID Provider mitigates denial of service through forced logout. By obtaining explicit confirmation from the end-user or, if present, validating parameters in the logout request (initiated by the relying party), such as the 'id_token_hint'.</t>
        </is>
      </c>
      <c r="F226" s="40" t="inlineStr">
        <is>
          <t>If uses OAuth/OIDC</t>
        </is>
      </c>
      <c r="G226" s="42" t="inlineStr">
        <is>
          <t>OAUTH_OIDC_USED="Yes"</t>
        </is>
      </c>
      <c r="H226" s="43">
        <f>IF(AND(OAUTH_OIDC_USED="Yes",D226&lt;=TARGET_LEVEL_NUM),"Applicable","N/A")</f>
        <v/>
      </c>
      <c r="I226" s="40" t="inlineStr">
        <is>
          <t>SAST + integration testing</t>
        </is>
      </c>
      <c r="J226" s="40" t="inlineStr">
        <is>
          <t>Deterministic, continuous</t>
        </is>
      </c>
      <c r="K226" s="42" t="inlineStr">
        <is>
          <t>Pipeline</t>
        </is>
      </c>
      <c r="L226" s="42" t="inlineStr">
        <is>
          <t>Not assessed</t>
        </is>
      </c>
      <c r="M226" s="40" t="n"/>
      <c r="N226" s="40" t="n"/>
      <c r="O226" s="42" t="inlineStr">
        <is>
          <t>High</t>
        </is>
      </c>
      <c r="P226" s="43">
        <f>IF(H226="N/A","N/A",INDEX(CRIT_MATRIX,MATCH(O226,CRIT_MATRIX_ROWS,0),MATCH(APP_RISK_TIER,CRIT_MATRIX_COLS,0)))</f>
        <v/>
      </c>
    </row>
    <row r="227" ht="39.75" customHeight="1" s="19">
      <c r="A227" s="42" t="inlineStr">
        <is>
          <t>V10.7.1</t>
        </is>
      </c>
      <c r="B227" s="40" t="inlineStr">
        <is>
          <t>V10 - OAuth and OIDC</t>
        </is>
      </c>
      <c r="C227" s="40" t="inlineStr">
        <is>
          <t>V10.7 - Consent Management</t>
        </is>
      </c>
      <c r="D227" s="42" t="n">
        <v>2</v>
      </c>
      <c r="E227" s="40" t="inlineStr">
        <is>
          <t>Verify that the authorization server ensures that the user consents to each authorization request. If the identity of the client cannot be assured, the authorization server must always explicitly prompt the user for consent.</t>
        </is>
      </c>
      <c r="F227" s="40" t="inlineStr">
        <is>
          <t>If uses OAuth/OIDC</t>
        </is>
      </c>
      <c r="G227" s="42" t="inlineStr">
        <is>
          <t>OAUTH_OIDC_USED="Yes"</t>
        </is>
      </c>
      <c r="H227" s="43">
        <f>IF(AND(OAUTH_OIDC_USED="Yes",D227&lt;=TARGET_LEVEL_NUM),"Applicable","N/A")</f>
        <v/>
      </c>
      <c r="I227" s="40" t="inlineStr">
        <is>
          <t>SAST + integration testing</t>
        </is>
      </c>
      <c r="J227" s="40" t="inlineStr">
        <is>
          <t>Deterministic, continuous</t>
        </is>
      </c>
      <c r="K227" s="42" t="inlineStr">
        <is>
          <t>Pipeline</t>
        </is>
      </c>
      <c r="L227" s="42" t="inlineStr">
        <is>
          <t>Not assessed</t>
        </is>
      </c>
      <c r="M227" s="40" t="n"/>
      <c r="N227" s="40" t="n"/>
      <c r="O227" s="42" t="inlineStr">
        <is>
          <t>High</t>
        </is>
      </c>
      <c r="P227" s="43">
        <f>IF(H227="N/A","N/A",INDEX(CRIT_MATRIX,MATCH(O227,CRIT_MATRIX_ROWS,0),MATCH(APP_RISK_TIER,CRIT_MATRIX_COLS,0)))</f>
        <v/>
      </c>
    </row>
    <row r="228" ht="39.75" customHeight="1" s="19">
      <c r="A228" s="42" t="inlineStr">
        <is>
          <t>V10.7.2</t>
        </is>
      </c>
      <c r="B228" s="40" t="inlineStr">
        <is>
          <t>V10 - OAuth and OIDC</t>
        </is>
      </c>
      <c r="C228" s="40" t="inlineStr">
        <is>
          <t>V10.7 - Consent Management</t>
        </is>
      </c>
      <c r="D228" s="42" t="n">
        <v>2</v>
      </c>
      <c r="E228" s="40" t="inlineStr">
        <is>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is>
      </c>
      <c r="F228" s="40" t="inlineStr">
        <is>
          <t>If uses OAuth/OIDC</t>
        </is>
      </c>
      <c r="G228" s="42" t="inlineStr">
        <is>
          <t>OAUTH_OIDC_USED="Yes"</t>
        </is>
      </c>
      <c r="H228" s="43">
        <f>IF(AND(OAUTH_OIDC_USED="Yes",D228&lt;=TARGET_LEVEL_NUM),"Applicable","N/A")</f>
        <v/>
      </c>
      <c r="I228" s="40" t="inlineStr">
        <is>
          <t>SAST + integration testing</t>
        </is>
      </c>
      <c r="J228" s="40" t="inlineStr">
        <is>
          <t>Deterministic, continuous</t>
        </is>
      </c>
      <c r="K228" s="42" t="inlineStr">
        <is>
          <t>Pipeline</t>
        </is>
      </c>
      <c r="L228" s="42" t="inlineStr">
        <is>
          <t>Not assessed</t>
        </is>
      </c>
      <c r="M228" s="40" t="n"/>
      <c r="N228" s="40" t="n"/>
      <c r="O228" s="42" t="inlineStr">
        <is>
          <t>High</t>
        </is>
      </c>
      <c r="P228" s="43">
        <f>IF(H228="N/A","N/A",INDEX(CRIT_MATRIX,MATCH(O228,CRIT_MATRIX_ROWS,0),MATCH(APP_RISK_TIER,CRIT_MATRIX_COLS,0)))</f>
        <v/>
      </c>
    </row>
    <row r="229" ht="39.75" customHeight="1" s="19">
      <c r="A229" s="42" t="inlineStr">
        <is>
          <t>V10.7.3</t>
        </is>
      </c>
      <c r="B229" s="40" t="inlineStr">
        <is>
          <t>V10 - OAuth and OIDC</t>
        </is>
      </c>
      <c r="C229" s="40" t="inlineStr">
        <is>
          <t>V10.7 - Consent Management</t>
        </is>
      </c>
      <c r="D229" s="42" t="n">
        <v>2</v>
      </c>
      <c r="E229" s="40" t="inlineStr">
        <is>
          <t>Verify that the user can review, modify, and revoke consents which the user has granted through the authorization server.</t>
        </is>
      </c>
      <c r="F229" s="40" t="inlineStr">
        <is>
          <t>If uses OAuth/OIDC</t>
        </is>
      </c>
      <c r="G229" s="42" t="inlineStr">
        <is>
          <t>OAUTH_OIDC_USED="Yes"</t>
        </is>
      </c>
      <c r="H229" s="43">
        <f>IF(AND(OAUTH_OIDC_USED="Yes",D229&lt;=TARGET_LEVEL_NUM),"Applicable","N/A")</f>
        <v/>
      </c>
      <c r="I229" s="40" t="inlineStr">
        <is>
          <t>SAST + integration testing</t>
        </is>
      </c>
      <c r="J229" s="40" t="inlineStr">
        <is>
          <t>Deterministic, continuous</t>
        </is>
      </c>
      <c r="K229" s="42" t="inlineStr">
        <is>
          <t>Pipeline</t>
        </is>
      </c>
      <c r="L229" s="42" t="inlineStr">
        <is>
          <t>Not assessed</t>
        </is>
      </c>
      <c r="M229" s="40" t="n"/>
      <c r="N229" s="40" t="n"/>
      <c r="O229" s="42" t="inlineStr">
        <is>
          <t>High</t>
        </is>
      </c>
      <c r="P229" s="43">
        <f>IF(H229="N/A","N/A",INDEX(CRIT_MATRIX,MATCH(O229,CRIT_MATRIX_ROWS,0),MATCH(APP_RISK_TIER,CRIT_MATRIX_COLS,0)))</f>
        <v/>
      </c>
    </row>
    <row r="230" ht="39.75" customHeight="1" s="19">
      <c r="A230" s="42" t="inlineStr">
        <is>
          <t>V11.1.1</t>
        </is>
      </c>
      <c r="B230" s="40" t="inlineStr">
        <is>
          <t>V11 - Cryptography</t>
        </is>
      </c>
      <c r="C230" s="40" t="inlineStr">
        <is>
          <t>V11.1 - Cryptographic Inventory and Documentation</t>
        </is>
      </c>
      <c r="D230" s="42" t="n">
        <v>2</v>
      </c>
      <c r="E230" s="40" t="inlineStr">
        <is>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is>
      </c>
      <c r="F230" s="40" t="inlineStr">
        <is>
          <t>Always</t>
        </is>
      </c>
      <c r="G230" s="42" t="inlineStr">
        <is>
          <t>TRUE</t>
        </is>
      </c>
      <c r="H230" s="43">
        <f>IF(AND(TRUE(),D230&lt;=TARGET_LEVEL_NUM),"Applicable","N/A")</f>
        <v/>
      </c>
      <c r="I230" s="40" t="inlineStr">
        <is>
          <t>Architecture / documentation review</t>
        </is>
      </c>
      <c r="J230" s="40" t="inlineStr">
        <is>
          <t>Sampled, periodic</t>
        </is>
      </c>
      <c r="K230" s="42" t="inlineStr">
        <is>
          <t>Design/Governance</t>
        </is>
      </c>
      <c r="L230" s="42" t="inlineStr">
        <is>
          <t>Not assessed</t>
        </is>
      </c>
      <c r="M230" s="40" t="n"/>
      <c r="N230" s="40" t="n"/>
      <c r="O230" s="42" t="inlineStr">
        <is>
          <t>High</t>
        </is>
      </c>
      <c r="P230" s="43">
        <f>IF(H230="N/A","N/A",INDEX(CRIT_MATRIX,MATCH(O230,CRIT_MATRIX_ROWS,0),MATCH(APP_RISK_TIER,CRIT_MATRIX_COLS,0)))</f>
        <v/>
      </c>
    </row>
    <row r="231" ht="39.75" customHeight="1" s="19">
      <c r="A231" s="42" t="inlineStr">
        <is>
          <t>V11.1.2</t>
        </is>
      </c>
      <c r="B231" s="40" t="inlineStr">
        <is>
          <t>V11 - Cryptography</t>
        </is>
      </c>
      <c r="C231" s="40" t="inlineStr">
        <is>
          <t>V11.1 - Cryptographic Inventory and Documentation</t>
        </is>
      </c>
      <c r="D231" s="42" t="n">
        <v>2</v>
      </c>
      <c r="E231" s="40" t="inlineStr">
        <is>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is>
      </c>
      <c r="F231" s="40" t="inlineStr">
        <is>
          <t>Always</t>
        </is>
      </c>
      <c r="G231" s="42" t="inlineStr">
        <is>
          <t>TRUE</t>
        </is>
      </c>
      <c r="H231" s="43">
        <f>IF(AND(TRUE(),D231&lt;=TARGET_LEVEL_NUM),"Applicable","N/A")</f>
        <v/>
      </c>
      <c r="I231" s="40" t="inlineStr">
        <is>
          <t>Architecture / documentation review</t>
        </is>
      </c>
      <c r="J231" s="40" t="inlineStr">
        <is>
          <t>Sampled, periodic</t>
        </is>
      </c>
      <c r="K231" s="42" t="inlineStr">
        <is>
          <t>Design/Governance</t>
        </is>
      </c>
      <c r="L231" s="42" t="inlineStr">
        <is>
          <t>Not assessed</t>
        </is>
      </c>
      <c r="M231" s="40" t="n"/>
      <c r="N231" s="40" t="n"/>
      <c r="O231" s="42" t="inlineStr">
        <is>
          <t>High</t>
        </is>
      </c>
      <c r="P231" s="43">
        <f>IF(H231="N/A","N/A",INDEX(CRIT_MATRIX,MATCH(O231,CRIT_MATRIX_ROWS,0),MATCH(APP_RISK_TIER,CRIT_MATRIX_COLS,0)))</f>
        <v/>
      </c>
    </row>
    <row r="232" ht="39.75" customHeight="1" s="19">
      <c r="A232" s="42" t="inlineStr">
        <is>
          <t>V11.1.3</t>
        </is>
      </c>
      <c r="B232" s="40" t="inlineStr">
        <is>
          <t>V11 - Cryptography</t>
        </is>
      </c>
      <c r="C232" s="40" t="inlineStr">
        <is>
          <t>V11.1 - Cryptographic Inventory and Documentation</t>
        </is>
      </c>
      <c r="D232" s="42" t="n">
        <v>3</v>
      </c>
      <c r="E232" s="40" t="inlineStr">
        <is>
          <t>Verify that cryptographic discovery mechanisms are employed to identify all instances of cryptography in the system, including encryption, hashing, and signing operations.</t>
        </is>
      </c>
      <c r="F232" s="40" t="inlineStr">
        <is>
          <t>Always</t>
        </is>
      </c>
      <c r="G232" s="42" t="inlineStr">
        <is>
          <t>TRUE</t>
        </is>
      </c>
      <c r="H232" s="43">
        <f>IF(AND(TRUE(),D232&lt;=TARGET_LEVEL_NUM),"Applicable","N/A")</f>
        <v/>
      </c>
      <c r="I232" s="40" t="inlineStr">
        <is>
          <t>Architecture / documentation review</t>
        </is>
      </c>
      <c r="J232" s="40" t="inlineStr">
        <is>
          <t>Sampled, periodic</t>
        </is>
      </c>
      <c r="K232" s="42" t="inlineStr">
        <is>
          <t>Design/Governance</t>
        </is>
      </c>
      <c r="L232" s="42" t="inlineStr">
        <is>
          <t>Not assessed</t>
        </is>
      </c>
      <c r="M232" s="40" t="n"/>
      <c r="N232" s="40" t="n"/>
      <c r="O232" s="42" t="inlineStr">
        <is>
          <t>High</t>
        </is>
      </c>
      <c r="P232" s="43">
        <f>IF(H232="N/A","N/A",INDEX(CRIT_MATRIX,MATCH(O232,CRIT_MATRIX_ROWS,0),MATCH(APP_RISK_TIER,CRIT_MATRIX_COLS,0)))</f>
        <v/>
      </c>
    </row>
    <row r="233" ht="39.75" customHeight="1" s="19">
      <c r="A233" s="42" t="inlineStr">
        <is>
          <t>V11.1.4</t>
        </is>
      </c>
      <c r="B233" s="40" t="inlineStr">
        <is>
          <t>V11 - Cryptography</t>
        </is>
      </c>
      <c r="C233" s="40" t="inlineStr">
        <is>
          <t>V11.1 - Cryptographic Inventory and Documentation</t>
        </is>
      </c>
      <c r="D233" s="42" t="n">
        <v>3</v>
      </c>
      <c r="E233" s="40" t="inlineStr">
        <is>
          <t>Verify that a cryptographic inventory is maintained. This must include a documented plan that outlines the migration path to new cryptographic standards, such as post-quantum cryptography, in order to react to future threats.</t>
        </is>
      </c>
      <c r="F233" s="40" t="inlineStr">
        <is>
          <t>Always</t>
        </is>
      </c>
      <c r="G233" s="42" t="inlineStr">
        <is>
          <t>TRUE</t>
        </is>
      </c>
      <c r="H233" s="43">
        <f>IF(AND(TRUE(),D233&lt;=TARGET_LEVEL_NUM),"Applicable","N/A")</f>
        <v/>
      </c>
      <c r="I233" s="40" t="inlineStr">
        <is>
          <t>Architecture / documentation review</t>
        </is>
      </c>
      <c r="J233" s="40" t="inlineStr">
        <is>
          <t>Sampled, periodic</t>
        </is>
      </c>
      <c r="K233" s="42" t="inlineStr">
        <is>
          <t>Design/Governance</t>
        </is>
      </c>
      <c r="L233" s="42" t="inlineStr">
        <is>
          <t>Not assessed</t>
        </is>
      </c>
      <c r="M233" s="40" t="n"/>
      <c r="N233" s="40" t="n"/>
      <c r="O233" s="42" t="inlineStr">
        <is>
          <t>High</t>
        </is>
      </c>
      <c r="P233" s="43">
        <f>IF(H233="N/A","N/A",INDEX(CRIT_MATRIX,MATCH(O233,CRIT_MATRIX_ROWS,0),MATCH(APP_RISK_TIER,CRIT_MATRIX_COLS,0)))</f>
        <v/>
      </c>
    </row>
    <row r="234" ht="39.75" customHeight="1" s="19">
      <c r="A234" s="42" t="inlineStr">
        <is>
          <t>V11.2.1</t>
        </is>
      </c>
      <c r="B234" s="40" t="inlineStr">
        <is>
          <t>V11 - Cryptography</t>
        </is>
      </c>
      <c r="C234" s="40" t="inlineStr">
        <is>
          <t>V11.2 - Secure Cryptography Implementation</t>
        </is>
      </c>
      <c r="D234" s="42" t="n">
        <v>2</v>
      </c>
      <c r="E234" s="40" t="inlineStr">
        <is>
          <t>Verify that industry-validated implementations (including libraries and hardware-accelerated implementations) are used for cryptographic operations.</t>
        </is>
      </c>
      <c r="F234" s="40" t="inlineStr">
        <is>
          <t>Always</t>
        </is>
      </c>
      <c r="G234" s="42" t="inlineStr">
        <is>
          <t>TRUE</t>
        </is>
      </c>
      <c r="H234" s="43">
        <f>IF(AND(TRUE(),D234&lt;=TARGET_LEVEL_NUM),"Applicable","N/A")</f>
        <v/>
      </c>
      <c r="I234" s="40" t="inlineStr">
        <is>
          <t>SAST (crypto rules) + configuration review</t>
        </is>
      </c>
      <c r="J234" s="40" t="inlineStr">
        <is>
          <t>Deterministic, continuous</t>
        </is>
      </c>
      <c r="K234" s="42" t="inlineStr">
        <is>
          <t>Pipeline</t>
        </is>
      </c>
      <c r="L234" s="42" t="inlineStr">
        <is>
          <t>Not assessed</t>
        </is>
      </c>
      <c r="M234" s="40" t="n"/>
      <c r="N234" s="40" t="n"/>
      <c r="O234" s="42" t="inlineStr">
        <is>
          <t>High</t>
        </is>
      </c>
      <c r="P234" s="43">
        <f>IF(H234="N/A","N/A",INDEX(CRIT_MATRIX,MATCH(O234,CRIT_MATRIX_ROWS,0),MATCH(APP_RISK_TIER,CRIT_MATRIX_COLS,0)))</f>
        <v/>
      </c>
    </row>
    <row r="235" ht="39.75" customHeight="1" s="19">
      <c r="A235" s="42" t="inlineStr">
        <is>
          <t>V11.2.2</t>
        </is>
      </c>
      <c r="B235" s="40" t="inlineStr">
        <is>
          <t>V11 - Cryptography</t>
        </is>
      </c>
      <c r="C235" s="40" t="inlineStr">
        <is>
          <t>V11.2 - Secure Cryptography Implementation</t>
        </is>
      </c>
      <c r="D235" s="42" t="n">
        <v>2</v>
      </c>
      <c r="E235" s="40" t="inlineStr">
        <is>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is>
      </c>
      <c r="F235" s="40" t="inlineStr">
        <is>
          <t>Always</t>
        </is>
      </c>
      <c r="G235" s="42" t="inlineStr">
        <is>
          <t>TRUE</t>
        </is>
      </c>
      <c r="H235" s="43">
        <f>IF(AND(TRUE(),D235&lt;=TARGET_LEVEL_NUM),"Applicable","N/A")</f>
        <v/>
      </c>
      <c r="I235" s="40" t="inlineStr">
        <is>
          <t>SAST (crypto rules) + configuration review</t>
        </is>
      </c>
      <c r="J235" s="40" t="inlineStr">
        <is>
          <t>Deterministic, continuous</t>
        </is>
      </c>
      <c r="K235" s="42" t="inlineStr">
        <is>
          <t>Pipeline</t>
        </is>
      </c>
      <c r="L235" s="42" t="inlineStr">
        <is>
          <t>Not assessed</t>
        </is>
      </c>
      <c r="M235" s="40" t="n"/>
      <c r="N235" s="40" t="n"/>
      <c r="O235" s="42" t="inlineStr">
        <is>
          <t>High</t>
        </is>
      </c>
      <c r="P235" s="43">
        <f>IF(H235="N/A","N/A",INDEX(CRIT_MATRIX,MATCH(O235,CRIT_MATRIX_ROWS,0),MATCH(APP_RISK_TIER,CRIT_MATRIX_COLS,0)))</f>
        <v/>
      </c>
    </row>
    <row r="236" ht="39.75" customHeight="1" s="19">
      <c r="A236" s="42" t="inlineStr">
        <is>
          <t>V11.2.3</t>
        </is>
      </c>
      <c r="B236" s="40" t="inlineStr">
        <is>
          <t>V11 - Cryptography</t>
        </is>
      </c>
      <c r="C236" s="40" t="inlineStr">
        <is>
          <t>V11.2 - Secure Cryptography Implementation</t>
        </is>
      </c>
      <c r="D236" s="42" t="n">
        <v>2</v>
      </c>
      <c r="E236" s="40" t="inlineStr">
        <is>
          <t>Verify that all cryptographic primitives utilize a minimum of 128-bits of security based on the algorithm, key size, and configuration. For example, a 256-bit ECC key provides roughly 128 bits of security where RSA requires a 3072-bit key to achieve 128 bits of security.</t>
        </is>
      </c>
      <c r="F236" s="40" t="inlineStr">
        <is>
          <t>Always</t>
        </is>
      </c>
      <c r="G236" s="42" t="inlineStr">
        <is>
          <t>TRUE</t>
        </is>
      </c>
      <c r="H236" s="43">
        <f>IF(AND(TRUE(),D236&lt;=TARGET_LEVEL_NUM),"Applicable","N/A")</f>
        <v/>
      </c>
      <c r="I236" s="40" t="inlineStr">
        <is>
          <t>SAST (crypto rules) + configuration review</t>
        </is>
      </c>
      <c r="J236" s="40" t="inlineStr">
        <is>
          <t>Deterministic, continuous</t>
        </is>
      </c>
      <c r="K236" s="42" t="inlineStr">
        <is>
          <t>Pipeline</t>
        </is>
      </c>
      <c r="L236" s="42" t="inlineStr">
        <is>
          <t>Not assessed</t>
        </is>
      </c>
      <c r="M236" s="40" t="n"/>
      <c r="N236" s="40" t="n"/>
      <c r="O236" s="42" t="inlineStr">
        <is>
          <t>High</t>
        </is>
      </c>
      <c r="P236" s="43">
        <f>IF(H236="N/A","N/A",INDEX(CRIT_MATRIX,MATCH(O236,CRIT_MATRIX_ROWS,0),MATCH(APP_RISK_TIER,CRIT_MATRIX_COLS,0)))</f>
        <v/>
      </c>
    </row>
    <row r="237" ht="39.75" customHeight="1" s="19">
      <c r="A237" s="42" t="inlineStr">
        <is>
          <t>V11.2.4</t>
        </is>
      </c>
      <c r="B237" s="40" t="inlineStr">
        <is>
          <t>V11 - Cryptography</t>
        </is>
      </c>
      <c r="C237" s="40" t="inlineStr">
        <is>
          <t>V11.2 - Secure Cryptography Implementation</t>
        </is>
      </c>
      <c r="D237" s="42" t="n">
        <v>3</v>
      </c>
      <c r="E237" s="40" t="inlineStr">
        <is>
          <t>Verify that all cryptographic operations are constant-time, with no 'short-circuit' operations in comparisons, calculations, or returns, to avoid leaking information.</t>
        </is>
      </c>
      <c r="F237" s="40" t="inlineStr">
        <is>
          <t>Always</t>
        </is>
      </c>
      <c r="G237" s="42" t="inlineStr">
        <is>
          <t>TRUE</t>
        </is>
      </c>
      <c r="H237" s="43">
        <f>IF(AND(TRUE(),D237&lt;=TARGET_LEVEL_NUM),"Applicable","N/A")</f>
        <v/>
      </c>
      <c r="I237" s="40" t="inlineStr">
        <is>
          <t>SAST (crypto rules) + configuration review</t>
        </is>
      </c>
      <c r="J237" s="40" t="inlineStr">
        <is>
          <t>Deterministic, continuous</t>
        </is>
      </c>
      <c r="K237" s="42" t="inlineStr">
        <is>
          <t>Pipeline</t>
        </is>
      </c>
      <c r="L237" s="42" t="inlineStr">
        <is>
          <t>Not assessed</t>
        </is>
      </c>
      <c r="M237" s="40" t="n"/>
      <c r="N237" s="40" t="n"/>
      <c r="O237" s="42" t="inlineStr">
        <is>
          <t>High</t>
        </is>
      </c>
      <c r="P237" s="43">
        <f>IF(H237="N/A","N/A",INDEX(CRIT_MATRIX,MATCH(O237,CRIT_MATRIX_ROWS,0),MATCH(APP_RISK_TIER,CRIT_MATRIX_COLS,0)))</f>
        <v/>
      </c>
    </row>
    <row r="238" ht="39.75" customHeight="1" s="19">
      <c r="A238" s="42" t="inlineStr">
        <is>
          <t>V11.2.5</t>
        </is>
      </c>
      <c r="B238" s="40" t="inlineStr">
        <is>
          <t>V11 - Cryptography</t>
        </is>
      </c>
      <c r="C238" s="40" t="inlineStr">
        <is>
          <t>V11.2 - Secure Cryptography Implementation</t>
        </is>
      </c>
      <c r="D238" s="42" t="n">
        <v>3</v>
      </c>
      <c r="E238" s="40" t="inlineStr">
        <is>
          <t>Verify that all cryptographic modules fail securely, and errors are handled in a way that does not enable vulnerabilities, such as Padding Oracle attacks.</t>
        </is>
      </c>
      <c r="F238" s="40" t="inlineStr">
        <is>
          <t>Always</t>
        </is>
      </c>
      <c r="G238" s="42" t="inlineStr">
        <is>
          <t>TRUE</t>
        </is>
      </c>
      <c r="H238" s="43">
        <f>IF(AND(TRUE(),D238&lt;=TARGET_LEVEL_NUM),"Applicable","N/A")</f>
        <v/>
      </c>
      <c r="I238" s="40" t="inlineStr">
        <is>
          <t>SAST (crypto rules) + configuration review</t>
        </is>
      </c>
      <c r="J238" s="40" t="inlineStr">
        <is>
          <t>Deterministic, continuous</t>
        </is>
      </c>
      <c r="K238" s="42" t="inlineStr">
        <is>
          <t>Pipeline</t>
        </is>
      </c>
      <c r="L238" s="42" t="inlineStr">
        <is>
          <t>Not assessed</t>
        </is>
      </c>
      <c r="M238" s="40" t="n"/>
      <c r="N238" s="40" t="n"/>
      <c r="O238" s="42" t="inlineStr">
        <is>
          <t>High</t>
        </is>
      </c>
      <c r="P238" s="43">
        <f>IF(H238="N/A","N/A",INDEX(CRIT_MATRIX,MATCH(O238,CRIT_MATRIX_ROWS,0),MATCH(APP_RISK_TIER,CRIT_MATRIX_COLS,0)))</f>
        <v/>
      </c>
    </row>
    <row r="239" ht="39.75" customHeight="1" s="19">
      <c r="A239" s="42" t="inlineStr">
        <is>
          <t>V11.3.1</t>
        </is>
      </c>
      <c r="B239" s="40" t="inlineStr">
        <is>
          <t>V11 - Cryptography</t>
        </is>
      </c>
      <c r="C239" s="40" t="inlineStr">
        <is>
          <t>V11.3 - Encryption Algorithms</t>
        </is>
      </c>
      <c r="D239" s="42" t="n">
        <v>1</v>
      </c>
      <c r="E239" s="40" t="inlineStr">
        <is>
          <t>Verify that insecure block modes (e.g., ECB) and weak padding schemes (e.g., PKCS#1 v1.5) are not used.</t>
        </is>
      </c>
      <c r="F239" s="40" t="inlineStr">
        <is>
          <t>Always</t>
        </is>
      </c>
      <c r="G239" s="42" t="inlineStr">
        <is>
          <t>TRUE</t>
        </is>
      </c>
      <c r="H239" s="43">
        <f>IF(AND(TRUE(),D239&lt;=TARGET_LEVEL_NUM),"Applicable","N/A")</f>
        <v/>
      </c>
      <c r="I239" s="40" t="inlineStr">
        <is>
          <t>SAST (crypto rules) + configuration review</t>
        </is>
      </c>
      <c r="J239" s="40" t="inlineStr">
        <is>
          <t>Deterministic, continuous</t>
        </is>
      </c>
      <c r="K239" s="42" t="inlineStr">
        <is>
          <t>Pipeline</t>
        </is>
      </c>
      <c r="L239" s="42" t="inlineStr">
        <is>
          <t>Not assessed</t>
        </is>
      </c>
      <c r="M239" s="40" t="n"/>
      <c r="N239" s="40" t="n"/>
      <c r="O239" s="42" t="inlineStr">
        <is>
          <t>High</t>
        </is>
      </c>
      <c r="P239" s="43">
        <f>IF(H239="N/A","N/A",INDEX(CRIT_MATRIX,MATCH(O239,CRIT_MATRIX_ROWS,0),MATCH(APP_RISK_TIER,CRIT_MATRIX_COLS,0)))</f>
        <v/>
      </c>
    </row>
    <row r="240" ht="39.75" customHeight="1" s="19">
      <c r="A240" s="42" t="inlineStr">
        <is>
          <t>V11.3.2</t>
        </is>
      </c>
      <c r="B240" s="40" t="inlineStr">
        <is>
          <t>V11 - Cryptography</t>
        </is>
      </c>
      <c r="C240" s="40" t="inlineStr">
        <is>
          <t>V11.3 - Encryption Algorithms</t>
        </is>
      </c>
      <c r="D240" s="42" t="n">
        <v>1</v>
      </c>
      <c r="E240" s="40" t="inlineStr">
        <is>
          <t>Verify that only approved ciphers and modes such as AES with GCM are used.</t>
        </is>
      </c>
      <c r="F240" s="40" t="inlineStr">
        <is>
          <t>Always</t>
        </is>
      </c>
      <c r="G240" s="42" t="inlineStr">
        <is>
          <t>TRUE</t>
        </is>
      </c>
      <c r="H240" s="43">
        <f>IF(AND(TRUE(),D240&lt;=TARGET_LEVEL_NUM),"Applicable","N/A")</f>
        <v/>
      </c>
      <c r="I240" s="40" t="inlineStr">
        <is>
          <t>SAST (crypto rules) + configuration review</t>
        </is>
      </c>
      <c r="J240" s="40" t="inlineStr">
        <is>
          <t>Deterministic, continuous</t>
        </is>
      </c>
      <c r="K240" s="42" t="inlineStr">
        <is>
          <t>Pipeline</t>
        </is>
      </c>
      <c r="L240" s="42" t="inlineStr">
        <is>
          <t>Not assessed</t>
        </is>
      </c>
      <c r="M240" s="40" t="n"/>
      <c r="N240" s="40" t="n"/>
      <c r="O240" s="42" t="inlineStr">
        <is>
          <t>High</t>
        </is>
      </c>
      <c r="P240" s="43">
        <f>IF(H240="N/A","N/A",INDEX(CRIT_MATRIX,MATCH(O240,CRIT_MATRIX_ROWS,0),MATCH(APP_RISK_TIER,CRIT_MATRIX_COLS,0)))</f>
        <v/>
      </c>
    </row>
    <row r="241" ht="39.75" customHeight="1" s="19">
      <c r="A241" s="42" t="inlineStr">
        <is>
          <t>V11.3.3</t>
        </is>
      </c>
      <c r="B241" s="40" t="inlineStr">
        <is>
          <t>V11 - Cryptography</t>
        </is>
      </c>
      <c r="C241" s="40" t="inlineStr">
        <is>
          <t>V11.3 - Encryption Algorithms</t>
        </is>
      </c>
      <c r="D241" s="42" t="n">
        <v>2</v>
      </c>
      <c r="E241" s="40" t="inlineStr">
        <is>
          <t>Verify that encrypted data is protected against unauthorized modification preferably by using an approved authenticated encryption method or by combining an approved encryption method with an approved MAC algorithm.</t>
        </is>
      </c>
      <c r="F241" s="40" t="inlineStr">
        <is>
          <t>Always</t>
        </is>
      </c>
      <c r="G241" s="42" t="inlineStr">
        <is>
          <t>TRUE</t>
        </is>
      </c>
      <c r="H241" s="43">
        <f>IF(AND(TRUE(),D241&lt;=TARGET_LEVEL_NUM),"Applicable","N/A")</f>
        <v/>
      </c>
      <c r="I241" s="40" t="inlineStr">
        <is>
          <t>SAST (crypto rules) + configuration review</t>
        </is>
      </c>
      <c r="J241" s="40" t="inlineStr">
        <is>
          <t>Deterministic, continuous</t>
        </is>
      </c>
      <c r="K241" s="42" t="inlineStr">
        <is>
          <t>Pipeline</t>
        </is>
      </c>
      <c r="L241" s="42" t="inlineStr">
        <is>
          <t>Not assessed</t>
        </is>
      </c>
      <c r="M241" s="40" t="n"/>
      <c r="N241" s="40" t="n"/>
      <c r="O241" s="42" t="inlineStr">
        <is>
          <t>High</t>
        </is>
      </c>
      <c r="P241" s="43">
        <f>IF(H241="N/A","N/A",INDEX(CRIT_MATRIX,MATCH(O241,CRIT_MATRIX_ROWS,0),MATCH(APP_RISK_TIER,CRIT_MATRIX_COLS,0)))</f>
        <v/>
      </c>
    </row>
    <row r="242" ht="39.75" customHeight="1" s="19">
      <c r="A242" s="42" t="inlineStr">
        <is>
          <t>V11.3.4</t>
        </is>
      </c>
      <c r="B242" s="40" t="inlineStr">
        <is>
          <t>V11 - Cryptography</t>
        </is>
      </c>
      <c r="C242" s="40" t="inlineStr">
        <is>
          <t>V11.3 - Encryption Algorithms</t>
        </is>
      </c>
      <c r="D242" s="42" t="n">
        <v>3</v>
      </c>
      <c r="E242" s="40" t="inlineStr">
        <is>
          <t>Verify that nonces, initialization vectors, and other single-use numbers are not used for more than one encryption key and data-element pair. The method of generation must be appropriate for the algorithm being used.</t>
        </is>
      </c>
      <c r="F242" s="40" t="inlineStr">
        <is>
          <t>Always</t>
        </is>
      </c>
      <c r="G242" s="42" t="inlineStr">
        <is>
          <t>TRUE</t>
        </is>
      </c>
      <c r="H242" s="43">
        <f>IF(AND(TRUE(),D242&lt;=TARGET_LEVEL_NUM),"Applicable","N/A")</f>
        <v/>
      </c>
      <c r="I242" s="40" t="inlineStr">
        <is>
          <t>SAST (crypto rules) + configuration review</t>
        </is>
      </c>
      <c r="J242" s="40" t="inlineStr">
        <is>
          <t>Deterministic, continuous</t>
        </is>
      </c>
      <c r="K242" s="42" t="inlineStr">
        <is>
          <t>Pipeline</t>
        </is>
      </c>
      <c r="L242" s="42" t="inlineStr">
        <is>
          <t>Not assessed</t>
        </is>
      </c>
      <c r="M242" s="40" t="n"/>
      <c r="N242" s="40" t="n"/>
      <c r="O242" s="42" t="inlineStr">
        <is>
          <t>High</t>
        </is>
      </c>
      <c r="P242" s="43">
        <f>IF(H242="N/A","N/A",INDEX(CRIT_MATRIX,MATCH(O242,CRIT_MATRIX_ROWS,0),MATCH(APP_RISK_TIER,CRIT_MATRIX_COLS,0)))</f>
        <v/>
      </c>
    </row>
    <row r="243" ht="39.75" customHeight="1" s="19">
      <c r="A243" s="42" t="inlineStr">
        <is>
          <t>V11.3.5</t>
        </is>
      </c>
      <c r="B243" s="40" t="inlineStr">
        <is>
          <t>V11 - Cryptography</t>
        </is>
      </c>
      <c r="C243" s="40" t="inlineStr">
        <is>
          <t>V11.3 - Encryption Algorithms</t>
        </is>
      </c>
      <c r="D243" s="42" t="n">
        <v>3</v>
      </c>
      <c r="E243" s="40" t="inlineStr">
        <is>
          <t>Verify that any combination of an encryption algorithm and a MAC algorithm is operating in encrypt-then-MAC mode.</t>
        </is>
      </c>
      <c r="F243" s="40" t="inlineStr">
        <is>
          <t>Always</t>
        </is>
      </c>
      <c r="G243" s="42" t="inlineStr">
        <is>
          <t>TRUE</t>
        </is>
      </c>
      <c r="H243" s="43">
        <f>IF(AND(TRUE(),D243&lt;=TARGET_LEVEL_NUM),"Applicable","N/A")</f>
        <v/>
      </c>
      <c r="I243" s="40" t="inlineStr">
        <is>
          <t>SAST (crypto rules) + configuration review</t>
        </is>
      </c>
      <c r="J243" s="40" t="inlineStr">
        <is>
          <t>Deterministic, continuous</t>
        </is>
      </c>
      <c r="K243" s="42" t="inlineStr">
        <is>
          <t>Pipeline</t>
        </is>
      </c>
      <c r="L243" s="42" t="inlineStr">
        <is>
          <t>Not assessed</t>
        </is>
      </c>
      <c r="M243" s="40" t="n"/>
      <c r="N243" s="40" t="n"/>
      <c r="O243" s="42" t="inlineStr">
        <is>
          <t>High</t>
        </is>
      </c>
      <c r="P243" s="43">
        <f>IF(H243="N/A","N/A",INDEX(CRIT_MATRIX,MATCH(O243,CRIT_MATRIX_ROWS,0),MATCH(APP_RISK_TIER,CRIT_MATRIX_COLS,0)))</f>
        <v/>
      </c>
    </row>
    <row r="244" ht="39.75" customHeight="1" s="19">
      <c r="A244" s="42" t="inlineStr">
        <is>
          <t>V11.4.1</t>
        </is>
      </c>
      <c r="B244" s="40" t="inlineStr">
        <is>
          <t>V11 - Cryptography</t>
        </is>
      </c>
      <c r="C244" s="40" t="inlineStr">
        <is>
          <t>V11.4 - Hashing and Hash-based Functions</t>
        </is>
      </c>
      <c r="D244" s="42" t="n">
        <v>1</v>
      </c>
      <c r="E244" s="40" t="inlineStr">
        <is>
          <t>Verify that only approved hash functions are used for general cryptographic use cases, including digital signatures, HMAC, KDF, and random bit generation. Disallowed hash functions, such as MD5, must not be used for any cryptographic purpose.</t>
        </is>
      </c>
      <c r="F244" s="40" t="inlineStr">
        <is>
          <t>Always</t>
        </is>
      </c>
      <c r="G244" s="42" t="inlineStr">
        <is>
          <t>TRUE</t>
        </is>
      </c>
      <c r="H244" s="43">
        <f>IF(AND(TRUE(),D244&lt;=TARGET_LEVEL_NUM),"Applicable","N/A")</f>
        <v/>
      </c>
      <c r="I244" s="40" t="inlineStr">
        <is>
          <t>SAST (crypto rules) + configuration review</t>
        </is>
      </c>
      <c r="J244" s="40" t="inlineStr">
        <is>
          <t>Deterministic, continuous</t>
        </is>
      </c>
      <c r="K244" s="42" t="inlineStr">
        <is>
          <t>Pipeline</t>
        </is>
      </c>
      <c r="L244" s="42" t="inlineStr">
        <is>
          <t>Not assessed</t>
        </is>
      </c>
      <c r="M244" s="40" t="n"/>
      <c r="N244" s="40" t="n"/>
      <c r="O244" s="42" t="inlineStr">
        <is>
          <t>High</t>
        </is>
      </c>
      <c r="P244" s="43">
        <f>IF(H244="N/A","N/A",INDEX(CRIT_MATRIX,MATCH(O244,CRIT_MATRIX_ROWS,0),MATCH(APP_RISK_TIER,CRIT_MATRIX_COLS,0)))</f>
        <v/>
      </c>
    </row>
    <row r="245" ht="39.75" customHeight="1" s="19">
      <c r="A245" s="42" t="inlineStr">
        <is>
          <t>V11.4.2</t>
        </is>
      </c>
      <c r="B245" s="40" t="inlineStr">
        <is>
          <t>V11 - Cryptography</t>
        </is>
      </c>
      <c r="C245" s="40" t="inlineStr">
        <is>
          <t>V11.4 - Hashing and Hash-based Functions</t>
        </is>
      </c>
      <c r="D245" s="42" t="n">
        <v>2</v>
      </c>
      <c r="E245" s="40" t="inlineStr">
        <is>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is>
      </c>
      <c r="F245" s="40" t="inlineStr">
        <is>
          <t>Always</t>
        </is>
      </c>
      <c r="G245" s="42" t="inlineStr">
        <is>
          <t>TRUE</t>
        </is>
      </c>
      <c r="H245" s="43">
        <f>IF(AND(TRUE(),D245&lt;=TARGET_LEVEL_NUM),"Applicable","N/A")</f>
        <v/>
      </c>
      <c r="I245" s="40" t="inlineStr">
        <is>
          <t>SAST (crypto rules) + configuration review</t>
        </is>
      </c>
      <c r="J245" s="40" t="inlineStr">
        <is>
          <t>Deterministic, continuous</t>
        </is>
      </c>
      <c r="K245" s="42" t="inlineStr">
        <is>
          <t>Pipeline</t>
        </is>
      </c>
      <c r="L245" s="42" t="inlineStr">
        <is>
          <t>Not assessed</t>
        </is>
      </c>
      <c r="M245" s="40" t="n"/>
      <c r="N245" s="40" t="n"/>
      <c r="O245" s="42" t="inlineStr">
        <is>
          <t>High</t>
        </is>
      </c>
      <c r="P245" s="43">
        <f>IF(H245="N/A","N/A",INDEX(CRIT_MATRIX,MATCH(O245,CRIT_MATRIX_ROWS,0),MATCH(APP_RISK_TIER,CRIT_MATRIX_COLS,0)))</f>
        <v/>
      </c>
    </row>
    <row r="246" ht="39.75" customHeight="1" s="19">
      <c r="A246" s="42" t="inlineStr">
        <is>
          <t>V11.4.3</t>
        </is>
      </c>
      <c r="B246" s="40" t="inlineStr">
        <is>
          <t>V11 - Cryptography</t>
        </is>
      </c>
      <c r="C246" s="40" t="inlineStr">
        <is>
          <t>V11.4 - Hashing and Hash-based Functions</t>
        </is>
      </c>
      <c r="D246" s="42" t="n">
        <v>2</v>
      </c>
      <c r="E246" s="40" t="inlineStr">
        <is>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is>
      </c>
      <c r="F246" s="40" t="inlineStr">
        <is>
          <t>Always</t>
        </is>
      </c>
      <c r="G246" s="42" t="inlineStr">
        <is>
          <t>TRUE</t>
        </is>
      </c>
      <c r="H246" s="43">
        <f>IF(AND(TRUE(),D246&lt;=TARGET_LEVEL_NUM),"Applicable","N/A")</f>
        <v/>
      </c>
      <c r="I246" s="40" t="inlineStr">
        <is>
          <t>SAST (crypto rules) + configuration review</t>
        </is>
      </c>
      <c r="J246" s="40" t="inlineStr">
        <is>
          <t>Deterministic, continuous</t>
        </is>
      </c>
      <c r="K246" s="42" t="inlineStr">
        <is>
          <t>Pipeline</t>
        </is>
      </c>
      <c r="L246" s="42" t="inlineStr">
        <is>
          <t>Not assessed</t>
        </is>
      </c>
      <c r="M246" s="40" t="n"/>
      <c r="N246" s="40" t="n"/>
      <c r="O246" s="42" t="inlineStr">
        <is>
          <t>High</t>
        </is>
      </c>
      <c r="P246" s="43">
        <f>IF(H246="N/A","N/A",INDEX(CRIT_MATRIX,MATCH(O246,CRIT_MATRIX_ROWS,0),MATCH(APP_RISK_TIER,CRIT_MATRIX_COLS,0)))</f>
        <v/>
      </c>
    </row>
    <row r="247" ht="39.75" customHeight="1" s="19">
      <c r="A247" s="42" t="inlineStr">
        <is>
          <t>V11.4.4</t>
        </is>
      </c>
      <c r="B247" s="40" t="inlineStr">
        <is>
          <t>V11 - Cryptography</t>
        </is>
      </c>
      <c r="C247" s="40" t="inlineStr">
        <is>
          <t>V11.4 - Hashing and Hash-based Functions</t>
        </is>
      </c>
      <c r="D247" s="42" t="n">
        <v>2</v>
      </c>
      <c r="E247" s="40" t="inlineStr">
        <is>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is>
      </c>
      <c r="F247" s="40" t="inlineStr">
        <is>
          <t>Always</t>
        </is>
      </c>
      <c r="G247" s="42" t="inlineStr">
        <is>
          <t>TRUE</t>
        </is>
      </c>
      <c r="H247" s="43">
        <f>IF(AND(TRUE(),D247&lt;=TARGET_LEVEL_NUM),"Applicable","N/A")</f>
        <v/>
      </c>
      <c r="I247" s="40" t="inlineStr">
        <is>
          <t>SAST (crypto rules) + configuration review</t>
        </is>
      </c>
      <c r="J247" s="40" t="inlineStr">
        <is>
          <t>Deterministic, continuous</t>
        </is>
      </c>
      <c r="K247" s="42" t="inlineStr">
        <is>
          <t>Pipeline</t>
        </is>
      </c>
      <c r="L247" s="42" t="inlineStr">
        <is>
          <t>Not assessed</t>
        </is>
      </c>
      <c r="M247" s="40" t="n"/>
      <c r="N247" s="40" t="n"/>
      <c r="O247" s="42" t="inlineStr">
        <is>
          <t>High</t>
        </is>
      </c>
      <c r="P247" s="43">
        <f>IF(H247="N/A","N/A",INDEX(CRIT_MATRIX,MATCH(O247,CRIT_MATRIX_ROWS,0),MATCH(APP_RISK_TIER,CRIT_MATRIX_COLS,0)))</f>
        <v/>
      </c>
    </row>
    <row r="248" ht="39.75" customHeight="1" s="19">
      <c r="A248" s="42" t="inlineStr">
        <is>
          <t>V11.5.1</t>
        </is>
      </c>
      <c r="B248" s="40" t="inlineStr">
        <is>
          <t>V11 - Cryptography</t>
        </is>
      </c>
      <c r="C248" s="40" t="inlineStr">
        <is>
          <t>V11.5 - Random Values</t>
        </is>
      </c>
      <c r="D248" s="42" t="n">
        <v>2</v>
      </c>
      <c r="E248" s="40" t="inlineStr">
        <is>
          <t>Verify that all random numbers and strings which are intended to be non-guessable must be generated using a cryptographically secure pseudo-random number generator (CSPRNG) and have at least 128 bits of entropy. Note that UUIDs do not respect this condition.</t>
        </is>
      </c>
      <c r="F248" s="40" t="inlineStr">
        <is>
          <t>Always</t>
        </is>
      </c>
      <c r="G248" s="42" t="inlineStr">
        <is>
          <t>TRUE</t>
        </is>
      </c>
      <c r="H248" s="43">
        <f>IF(AND(TRUE(),D248&lt;=TARGET_LEVEL_NUM),"Applicable","N/A")</f>
        <v/>
      </c>
      <c r="I248" s="40" t="inlineStr">
        <is>
          <t>SAST (crypto rules) + configuration review</t>
        </is>
      </c>
      <c r="J248" s="40" t="inlineStr">
        <is>
          <t>Deterministic, continuous</t>
        </is>
      </c>
      <c r="K248" s="42" t="inlineStr">
        <is>
          <t>Pipeline</t>
        </is>
      </c>
      <c r="L248" s="42" t="inlineStr">
        <is>
          <t>Not assessed</t>
        </is>
      </c>
      <c r="M248" s="40" t="n"/>
      <c r="N248" s="40" t="n"/>
      <c r="O248" s="42" t="inlineStr">
        <is>
          <t>High</t>
        </is>
      </c>
      <c r="P248" s="43">
        <f>IF(H248="N/A","N/A",INDEX(CRIT_MATRIX,MATCH(O248,CRIT_MATRIX_ROWS,0),MATCH(APP_RISK_TIER,CRIT_MATRIX_COLS,0)))</f>
        <v/>
      </c>
    </row>
    <row r="249" ht="39.75" customHeight="1" s="19">
      <c r="A249" s="42" t="inlineStr">
        <is>
          <t>V11.5.2</t>
        </is>
      </c>
      <c r="B249" s="40" t="inlineStr">
        <is>
          <t>V11 - Cryptography</t>
        </is>
      </c>
      <c r="C249" s="40" t="inlineStr">
        <is>
          <t>V11.5 - Random Values</t>
        </is>
      </c>
      <c r="D249" s="42" t="n">
        <v>3</v>
      </c>
      <c r="E249" s="40" t="inlineStr">
        <is>
          <t>Verify that the random number generation mechanism in use is designed to work securely, even under heavy demand.</t>
        </is>
      </c>
      <c r="F249" s="40" t="inlineStr">
        <is>
          <t>Always</t>
        </is>
      </c>
      <c r="G249" s="42" t="inlineStr">
        <is>
          <t>TRUE</t>
        </is>
      </c>
      <c r="H249" s="43">
        <f>IF(AND(TRUE(),D249&lt;=TARGET_LEVEL_NUM),"Applicable","N/A")</f>
        <v/>
      </c>
      <c r="I249" s="40" t="inlineStr">
        <is>
          <t>SAST (crypto rules) + configuration review</t>
        </is>
      </c>
      <c r="J249" s="40" t="inlineStr">
        <is>
          <t>Deterministic, continuous</t>
        </is>
      </c>
      <c r="K249" s="42" t="inlineStr">
        <is>
          <t>Pipeline</t>
        </is>
      </c>
      <c r="L249" s="42" t="inlineStr">
        <is>
          <t>Not assessed</t>
        </is>
      </c>
      <c r="M249" s="40" t="n"/>
      <c r="N249" s="40" t="n"/>
      <c r="O249" s="42" t="inlineStr">
        <is>
          <t>High</t>
        </is>
      </c>
      <c r="P249" s="43">
        <f>IF(H249="N/A","N/A",INDEX(CRIT_MATRIX,MATCH(O249,CRIT_MATRIX_ROWS,0),MATCH(APP_RISK_TIER,CRIT_MATRIX_COLS,0)))</f>
        <v/>
      </c>
    </row>
    <row r="250" ht="39.75" customHeight="1" s="19">
      <c r="A250" s="42" t="inlineStr">
        <is>
          <t>V11.6.1</t>
        </is>
      </c>
      <c r="B250" s="40" t="inlineStr">
        <is>
          <t>V11 - Cryptography</t>
        </is>
      </c>
      <c r="C250" s="40" t="inlineStr">
        <is>
          <t>V11.6 - Public Key Cryptography</t>
        </is>
      </c>
      <c r="D250" s="42" t="n">
        <v>2</v>
      </c>
      <c r="E250" s="40" t="inlineStr">
        <is>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is>
      </c>
      <c r="F250" s="40" t="inlineStr">
        <is>
          <t>Always</t>
        </is>
      </c>
      <c r="G250" s="42" t="inlineStr">
        <is>
          <t>TRUE</t>
        </is>
      </c>
      <c r="H250" s="43">
        <f>IF(AND(TRUE(),D250&lt;=TARGET_LEVEL_NUM),"Applicable","N/A")</f>
        <v/>
      </c>
      <c r="I250" s="40" t="inlineStr">
        <is>
          <t>SAST (crypto rules) + configuration review</t>
        </is>
      </c>
      <c r="J250" s="40" t="inlineStr">
        <is>
          <t>Deterministic, continuous</t>
        </is>
      </c>
      <c r="K250" s="42" t="inlineStr">
        <is>
          <t>Pipeline</t>
        </is>
      </c>
      <c r="L250" s="42" t="inlineStr">
        <is>
          <t>Not assessed</t>
        </is>
      </c>
      <c r="M250" s="40" t="n"/>
      <c r="N250" s="40" t="n"/>
      <c r="O250" s="42" t="inlineStr">
        <is>
          <t>High</t>
        </is>
      </c>
      <c r="P250" s="43">
        <f>IF(H250="N/A","N/A",INDEX(CRIT_MATRIX,MATCH(O250,CRIT_MATRIX_ROWS,0),MATCH(APP_RISK_TIER,CRIT_MATRIX_COLS,0)))</f>
        <v/>
      </c>
    </row>
    <row r="251" ht="39.75" customHeight="1" s="19">
      <c r="A251" s="42" t="inlineStr">
        <is>
          <t>V11.6.2</t>
        </is>
      </c>
      <c r="B251" s="40" t="inlineStr">
        <is>
          <t>V11 - Cryptography</t>
        </is>
      </c>
      <c r="C251" s="40" t="inlineStr">
        <is>
          <t>V11.6 - Public Key Cryptography</t>
        </is>
      </c>
      <c r="D251" s="42" t="n">
        <v>3</v>
      </c>
      <c r="E251" s="40" t="inlineStr">
        <is>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is>
      </c>
      <c r="F251" s="40" t="inlineStr">
        <is>
          <t>Always</t>
        </is>
      </c>
      <c r="G251" s="42" t="inlineStr">
        <is>
          <t>TRUE</t>
        </is>
      </c>
      <c r="H251" s="43">
        <f>IF(AND(TRUE(),D251&lt;=TARGET_LEVEL_NUM),"Applicable","N/A")</f>
        <v/>
      </c>
      <c r="I251" s="40" t="inlineStr">
        <is>
          <t>SAST (crypto rules) + configuration review</t>
        </is>
      </c>
      <c r="J251" s="40" t="inlineStr">
        <is>
          <t>Deterministic, continuous</t>
        </is>
      </c>
      <c r="K251" s="42" t="inlineStr">
        <is>
          <t>Pipeline</t>
        </is>
      </c>
      <c r="L251" s="42" t="inlineStr">
        <is>
          <t>Not assessed</t>
        </is>
      </c>
      <c r="M251" s="40" t="n"/>
      <c r="N251" s="40" t="n"/>
      <c r="O251" s="42" t="inlineStr">
        <is>
          <t>High</t>
        </is>
      </c>
      <c r="P251" s="43">
        <f>IF(H251="N/A","N/A",INDEX(CRIT_MATRIX,MATCH(O251,CRIT_MATRIX_ROWS,0),MATCH(APP_RISK_TIER,CRIT_MATRIX_COLS,0)))</f>
        <v/>
      </c>
    </row>
    <row r="252" ht="39.75" customHeight="1" s="19">
      <c r="A252" s="42" t="inlineStr">
        <is>
          <t>V11.7.1</t>
        </is>
      </c>
      <c r="B252" s="40" t="inlineStr">
        <is>
          <t>V11 - Cryptography</t>
        </is>
      </c>
      <c r="C252" s="40" t="inlineStr">
        <is>
          <t>V11.7 - In-Use Data Cryptography</t>
        </is>
      </c>
      <c r="D252" s="42" t="n">
        <v>3</v>
      </c>
      <c r="E252" s="40" t="inlineStr">
        <is>
          <t>Verify that full memory encryption is in use that protects sensitive data while it is in use, preventing access by unauthorized users or processes.</t>
        </is>
      </c>
      <c r="F252" s="40" t="inlineStr">
        <is>
          <t>Always</t>
        </is>
      </c>
      <c r="G252" s="42" t="inlineStr">
        <is>
          <t>TRUE</t>
        </is>
      </c>
      <c r="H252" s="43">
        <f>IF(AND(TRUE(),D252&lt;=TARGET_LEVEL_NUM),"Applicable","N/A")</f>
        <v/>
      </c>
      <c r="I252" s="40" t="inlineStr">
        <is>
          <t>SAST (crypto rules) + configuration review</t>
        </is>
      </c>
      <c r="J252" s="40" t="inlineStr">
        <is>
          <t>Deterministic, continuous</t>
        </is>
      </c>
      <c r="K252" s="42" t="inlineStr">
        <is>
          <t>Pipeline</t>
        </is>
      </c>
      <c r="L252" s="42" t="inlineStr">
        <is>
          <t>Not assessed</t>
        </is>
      </c>
      <c r="M252" s="40" t="n"/>
      <c r="N252" s="40" t="n"/>
      <c r="O252" s="42" t="inlineStr">
        <is>
          <t>High</t>
        </is>
      </c>
      <c r="P252" s="43">
        <f>IF(H252="N/A","N/A",INDEX(CRIT_MATRIX,MATCH(O252,CRIT_MATRIX_ROWS,0),MATCH(APP_RISK_TIER,CRIT_MATRIX_COLS,0)))</f>
        <v/>
      </c>
    </row>
    <row r="253" ht="39.75" customHeight="1" s="19">
      <c r="A253" s="42" t="inlineStr">
        <is>
          <t>V11.7.2</t>
        </is>
      </c>
      <c r="B253" s="40" t="inlineStr">
        <is>
          <t>V11 - Cryptography</t>
        </is>
      </c>
      <c r="C253" s="40" t="inlineStr">
        <is>
          <t>V11.7 - In-Use Data Cryptography</t>
        </is>
      </c>
      <c r="D253" s="42" t="n">
        <v>3</v>
      </c>
      <c r="E253" s="40" t="inlineStr">
        <is>
          <t>Verify that data minimization ensures the minimal amount of data is exposed during processing, and ensure that data is encrypted immediately after use or as soon as feasible.</t>
        </is>
      </c>
      <c r="F253" s="40" t="inlineStr">
        <is>
          <t>Always</t>
        </is>
      </c>
      <c r="G253" s="42" t="inlineStr">
        <is>
          <t>TRUE</t>
        </is>
      </c>
      <c r="H253" s="43">
        <f>IF(AND(TRUE(),D253&lt;=TARGET_LEVEL_NUM),"Applicable","N/A")</f>
        <v/>
      </c>
      <c r="I253" s="40" t="inlineStr">
        <is>
          <t>SAST (crypto rules) + configuration review</t>
        </is>
      </c>
      <c r="J253" s="40" t="inlineStr">
        <is>
          <t>Deterministic, continuous</t>
        </is>
      </c>
      <c r="K253" s="42" t="inlineStr">
        <is>
          <t>Pipeline</t>
        </is>
      </c>
      <c r="L253" s="42" t="inlineStr">
        <is>
          <t>Not assessed</t>
        </is>
      </c>
      <c r="M253" s="40" t="n"/>
      <c r="N253" s="40" t="n"/>
      <c r="O253" s="42" t="inlineStr">
        <is>
          <t>High</t>
        </is>
      </c>
      <c r="P253" s="43">
        <f>IF(H253="N/A","N/A",INDEX(CRIT_MATRIX,MATCH(O253,CRIT_MATRIX_ROWS,0),MATCH(APP_RISK_TIER,CRIT_MATRIX_COLS,0)))</f>
        <v/>
      </c>
    </row>
    <row r="254" ht="39.75" customHeight="1" s="19">
      <c r="A254" s="42" t="inlineStr">
        <is>
          <t>V12.1.1</t>
        </is>
      </c>
      <c r="B254" s="40" t="inlineStr">
        <is>
          <t>V12 - Secure Communication</t>
        </is>
      </c>
      <c r="C254" s="40" t="inlineStr">
        <is>
          <t>V12.1 - General TLS Security Guidance</t>
        </is>
      </c>
      <c r="D254" s="42" t="n">
        <v>1</v>
      </c>
      <c r="E254" s="40" t="inlineStr">
        <is>
          <t>Verify that only the latest recommended versions of the TLS protocol are enabled, such as TLS 1.2 and TLS 1.3. The latest version of the TLS protocol must be the preferred option.</t>
        </is>
      </c>
      <c r="F254" s="40" t="inlineStr">
        <is>
          <t>Always</t>
        </is>
      </c>
      <c r="G254" s="42" t="inlineStr">
        <is>
          <t>TRUE</t>
        </is>
      </c>
      <c r="H254" s="43">
        <f>IF(AND(TRUE(),D254&lt;=TARGET_LEVEL_NUM),"Applicable","N/A")</f>
        <v/>
      </c>
      <c r="I254" s="40" t="inlineStr">
        <is>
          <t>Configuration scanner / DAST</t>
        </is>
      </c>
      <c r="J254" s="40" t="inlineStr">
        <is>
          <t>Deterministic, continuous</t>
        </is>
      </c>
      <c r="K254" s="42" t="inlineStr">
        <is>
          <t>Pipeline</t>
        </is>
      </c>
      <c r="L254" s="42" t="inlineStr">
        <is>
          <t>Not assessed</t>
        </is>
      </c>
      <c r="M254" s="40" t="n"/>
      <c r="N254" s="40" t="n"/>
      <c r="O254" s="42" t="inlineStr">
        <is>
          <t>Medium</t>
        </is>
      </c>
      <c r="P254" s="43">
        <f>IF(H254="N/A","N/A",INDEX(CRIT_MATRIX,MATCH(O254,CRIT_MATRIX_ROWS,0),MATCH(APP_RISK_TIER,CRIT_MATRIX_COLS,0)))</f>
        <v/>
      </c>
    </row>
    <row r="255" ht="39.75" customHeight="1" s="19">
      <c r="A255" s="42" t="inlineStr">
        <is>
          <t>V12.1.2</t>
        </is>
      </c>
      <c r="B255" s="40" t="inlineStr">
        <is>
          <t>V12 - Secure Communication</t>
        </is>
      </c>
      <c r="C255" s="40" t="inlineStr">
        <is>
          <t>V12.1 - General TLS Security Guidance</t>
        </is>
      </c>
      <c r="D255" s="42" t="n">
        <v>2</v>
      </c>
      <c r="E255" s="40" t="inlineStr">
        <is>
          <t>Verify that only recommended cipher suites are enabled, with the strongest cipher suites set as preferred. L3 applications must only support cipher suites which provide forward secrecy.</t>
        </is>
      </c>
      <c r="F255" s="40" t="inlineStr">
        <is>
          <t>Always</t>
        </is>
      </c>
      <c r="G255" s="42" t="inlineStr">
        <is>
          <t>TRUE</t>
        </is>
      </c>
      <c r="H255" s="43">
        <f>IF(AND(TRUE(),D255&lt;=TARGET_LEVEL_NUM),"Applicable","N/A")</f>
        <v/>
      </c>
      <c r="I255" s="40" t="inlineStr">
        <is>
          <t>Configuration scanner / DAST</t>
        </is>
      </c>
      <c r="J255" s="40" t="inlineStr">
        <is>
          <t>Deterministic, continuous</t>
        </is>
      </c>
      <c r="K255" s="42" t="inlineStr">
        <is>
          <t>Pipeline</t>
        </is>
      </c>
      <c r="L255" s="42" t="inlineStr">
        <is>
          <t>Not assessed</t>
        </is>
      </c>
      <c r="M255" s="40" t="n"/>
      <c r="N255" s="40" t="n"/>
      <c r="O255" s="42" t="inlineStr">
        <is>
          <t>Medium</t>
        </is>
      </c>
      <c r="P255" s="43">
        <f>IF(H255="N/A","N/A",INDEX(CRIT_MATRIX,MATCH(O255,CRIT_MATRIX_ROWS,0),MATCH(APP_RISK_TIER,CRIT_MATRIX_COLS,0)))</f>
        <v/>
      </c>
    </row>
    <row r="256" ht="39.75" customHeight="1" s="19">
      <c r="A256" s="42" t="inlineStr">
        <is>
          <t>V12.1.3</t>
        </is>
      </c>
      <c r="B256" s="40" t="inlineStr">
        <is>
          <t>V12 - Secure Communication</t>
        </is>
      </c>
      <c r="C256" s="40" t="inlineStr">
        <is>
          <t>V12.1 - General TLS Security Guidance</t>
        </is>
      </c>
      <c r="D256" s="42" t="n">
        <v>2</v>
      </c>
      <c r="E256" s="40" t="inlineStr">
        <is>
          <t>Verify that the application validates that mTLS client certificates are trusted before using the certificate identity for authentication or authorization.</t>
        </is>
      </c>
      <c r="F256" s="40" t="inlineStr">
        <is>
          <t>Always</t>
        </is>
      </c>
      <c r="G256" s="42" t="inlineStr">
        <is>
          <t>TRUE</t>
        </is>
      </c>
      <c r="H256" s="43">
        <f>IF(AND(TRUE(),D256&lt;=TARGET_LEVEL_NUM),"Applicable","N/A")</f>
        <v/>
      </c>
      <c r="I256" s="40" t="inlineStr">
        <is>
          <t>Configuration scanner / DAST</t>
        </is>
      </c>
      <c r="J256" s="40" t="inlineStr">
        <is>
          <t>Deterministic, continuous</t>
        </is>
      </c>
      <c r="K256" s="42" t="inlineStr">
        <is>
          <t>Pipeline</t>
        </is>
      </c>
      <c r="L256" s="42" t="inlineStr">
        <is>
          <t>Not assessed</t>
        </is>
      </c>
      <c r="M256" s="40" t="n"/>
      <c r="N256" s="40" t="n"/>
      <c r="O256" s="42" t="inlineStr">
        <is>
          <t>Medium</t>
        </is>
      </c>
      <c r="P256" s="43">
        <f>IF(H256="N/A","N/A",INDEX(CRIT_MATRIX,MATCH(O256,CRIT_MATRIX_ROWS,0),MATCH(APP_RISK_TIER,CRIT_MATRIX_COLS,0)))</f>
        <v/>
      </c>
    </row>
    <row r="257" ht="39.75" customHeight="1" s="19">
      <c r="A257" s="42" t="inlineStr">
        <is>
          <t>V12.1.4</t>
        </is>
      </c>
      <c r="B257" s="40" t="inlineStr">
        <is>
          <t>V12 - Secure Communication</t>
        </is>
      </c>
      <c r="C257" s="40" t="inlineStr">
        <is>
          <t>V12.1 - General TLS Security Guidance</t>
        </is>
      </c>
      <c r="D257" s="42" t="n">
        <v>3</v>
      </c>
      <c r="E257" s="40" t="inlineStr">
        <is>
          <t>Verify that proper certification revocation, such as Online Certificate Status Protocol (OCSP) Stapling, is enabled and configured.</t>
        </is>
      </c>
      <c r="F257" s="40" t="inlineStr">
        <is>
          <t>Always</t>
        </is>
      </c>
      <c r="G257" s="42" t="inlineStr">
        <is>
          <t>TRUE</t>
        </is>
      </c>
      <c r="H257" s="43">
        <f>IF(AND(TRUE(),D257&lt;=TARGET_LEVEL_NUM),"Applicable","N/A")</f>
        <v/>
      </c>
      <c r="I257" s="40" t="inlineStr">
        <is>
          <t>Configuration scanner / DAST</t>
        </is>
      </c>
      <c r="J257" s="40" t="inlineStr">
        <is>
          <t>Deterministic, continuous</t>
        </is>
      </c>
      <c r="K257" s="42" t="inlineStr">
        <is>
          <t>Pipeline</t>
        </is>
      </c>
      <c r="L257" s="42" t="inlineStr">
        <is>
          <t>Not assessed</t>
        </is>
      </c>
      <c r="M257" s="40" t="n"/>
      <c r="N257" s="40" t="n"/>
      <c r="O257" s="42" t="inlineStr">
        <is>
          <t>Medium</t>
        </is>
      </c>
      <c r="P257" s="43">
        <f>IF(H257="N/A","N/A",INDEX(CRIT_MATRIX,MATCH(O257,CRIT_MATRIX_ROWS,0),MATCH(APP_RISK_TIER,CRIT_MATRIX_COLS,0)))</f>
        <v/>
      </c>
    </row>
    <row r="258" ht="39.75" customHeight="1" s="19">
      <c r="A258" s="42" t="inlineStr">
        <is>
          <t>V12.1.5</t>
        </is>
      </c>
      <c r="B258" s="40" t="inlineStr">
        <is>
          <t>V12 - Secure Communication</t>
        </is>
      </c>
      <c r="C258" s="40" t="inlineStr">
        <is>
          <t>V12.1 - General TLS Security Guidance</t>
        </is>
      </c>
      <c r="D258" s="42" t="n">
        <v>3</v>
      </c>
      <c r="E258" s="40" t="inlineStr">
        <is>
          <t>Verify that Encrypted Client Hello (ECH) is enabled in the application's TLS settings to prevent exposure of sensitive metadata, such as the Server Name Indication (SNI), during TLS handshake processes.</t>
        </is>
      </c>
      <c r="F258" s="40" t="inlineStr">
        <is>
          <t>Always</t>
        </is>
      </c>
      <c r="G258" s="42" t="inlineStr">
        <is>
          <t>TRUE</t>
        </is>
      </c>
      <c r="H258" s="43">
        <f>IF(AND(TRUE(),D258&lt;=TARGET_LEVEL_NUM),"Applicable","N/A")</f>
        <v/>
      </c>
      <c r="I258" s="40" t="inlineStr">
        <is>
          <t>Configuration scanner / DAST</t>
        </is>
      </c>
      <c r="J258" s="40" t="inlineStr">
        <is>
          <t>Deterministic, continuous</t>
        </is>
      </c>
      <c r="K258" s="42" t="inlineStr">
        <is>
          <t>Pipeline</t>
        </is>
      </c>
      <c r="L258" s="42" t="inlineStr">
        <is>
          <t>Not assessed</t>
        </is>
      </c>
      <c r="M258" s="40" t="n"/>
      <c r="N258" s="40" t="n"/>
      <c r="O258" s="42" t="inlineStr">
        <is>
          <t>Medium</t>
        </is>
      </c>
      <c r="P258" s="43">
        <f>IF(H258="N/A","N/A",INDEX(CRIT_MATRIX,MATCH(O258,CRIT_MATRIX_ROWS,0),MATCH(APP_RISK_TIER,CRIT_MATRIX_COLS,0)))</f>
        <v/>
      </c>
    </row>
    <row r="259" ht="39.75" customHeight="1" s="19">
      <c r="A259" s="42" t="inlineStr">
        <is>
          <t>V12.2.1</t>
        </is>
      </c>
      <c r="B259" s="40" t="inlineStr">
        <is>
          <t>V12 - Secure Communication</t>
        </is>
      </c>
      <c r="C259" s="40" t="inlineStr">
        <is>
          <t>V12.2 - HTTPS Communication with External Facing Services</t>
        </is>
      </c>
      <c r="D259" s="42" t="n">
        <v>1</v>
      </c>
      <c r="E259" s="40" t="inlineStr">
        <is>
          <t>Verify that TLS is used for all connectivity between a client and external facing, HTTP-based services, and does not fall back to insecure or unencrypted communications.</t>
        </is>
      </c>
      <c r="F259" s="40" t="inlineStr">
        <is>
          <t>Always</t>
        </is>
      </c>
      <c r="G259" s="42" t="inlineStr">
        <is>
          <t>TRUE</t>
        </is>
      </c>
      <c r="H259" s="43">
        <f>IF(AND(TRUE(),D259&lt;=TARGET_LEVEL_NUM),"Applicable","N/A")</f>
        <v/>
      </c>
      <c r="I259" s="40" t="inlineStr">
        <is>
          <t>Configuration scanner / DAST</t>
        </is>
      </c>
      <c r="J259" s="40" t="inlineStr">
        <is>
          <t>Deterministic, continuous</t>
        </is>
      </c>
      <c r="K259" s="42" t="inlineStr">
        <is>
          <t>Pipeline</t>
        </is>
      </c>
      <c r="L259" s="42" t="inlineStr">
        <is>
          <t>Not assessed</t>
        </is>
      </c>
      <c r="M259" s="40" t="n"/>
      <c r="N259" s="40" t="n"/>
      <c r="O259" s="42" t="inlineStr">
        <is>
          <t>Medium</t>
        </is>
      </c>
      <c r="P259" s="43">
        <f>IF(H259="N/A","N/A",INDEX(CRIT_MATRIX,MATCH(O259,CRIT_MATRIX_ROWS,0),MATCH(APP_RISK_TIER,CRIT_MATRIX_COLS,0)))</f>
        <v/>
      </c>
    </row>
    <row r="260" ht="39.75" customHeight="1" s="19">
      <c r="A260" s="42" t="inlineStr">
        <is>
          <t>V12.2.2</t>
        </is>
      </c>
      <c r="B260" s="40" t="inlineStr">
        <is>
          <t>V12 - Secure Communication</t>
        </is>
      </c>
      <c r="C260" s="40" t="inlineStr">
        <is>
          <t>V12.2 - HTTPS Communication with External Facing Services</t>
        </is>
      </c>
      <c r="D260" s="42" t="n">
        <v>1</v>
      </c>
      <c r="E260" s="40" t="inlineStr">
        <is>
          <t>Verify that external facing services use publicly trusted TLS certificates.</t>
        </is>
      </c>
      <c r="F260" s="40" t="inlineStr">
        <is>
          <t>Always</t>
        </is>
      </c>
      <c r="G260" s="42" t="inlineStr">
        <is>
          <t>TRUE</t>
        </is>
      </c>
      <c r="H260" s="43">
        <f>IF(AND(TRUE(),D260&lt;=TARGET_LEVEL_NUM),"Applicable","N/A")</f>
        <v/>
      </c>
      <c r="I260" s="40" t="inlineStr">
        <is>
          <t>Configuration scanner / DAST</t>
        </is>
      </c>
      <c r="J260" s="40" t="inlineStr">
        <is>
          <t>Deterministic, continuous</t>
        </is>
      </c>
      <c r="K260" s="42" t="inlineStr">
        <is>
          <t>Pipeline</t>
        </is>
      </c>
      <c r="L260" s="42" t="inlineStr">
        <is>
          <t>Not assessed</t>
        </is>
      </c>
      <c r="M260" s="40" t="n"/>
      <c r="N260" s="40" t="n"/>
      <c r="O260" s="42" t="inlineStr">
        <is>
          <t>Medium</t>
        </is>
      </c>
      <c r="P260" s="43">
        <f>IF(H260="N/A","N/A",INDEX(CRIT_MATRIX,MATCH(O260,CRIT_MATRIX_ROWS,0),MATCH(APP_RISK_TIER,CRIT_MATRIX_COLS,0)))</f>
        <v/>
      </c>
    </row>
    <row r="261" ht="39.75" customHeight="1" s="19">
      <c r="A261" s="42" t="inlineStr">
        <is>
          <t>V12.3.1</t>
        </is>
      </c>
      <c r="B261" s="40" t="inlineStr">
        <is>
          <t>V12 - Secure Communication</t>
        </is>
      </c>
      <c r="C261" s="40" t="inlineStr">
        <is>
          <t>V12.3 - General Service to Service Communication Security</t>
        </is>
      </c>
      <c r="D261" s="42" t="n">
        <v>2</v>
      </c>
      <c r="E261" s="40" t="inlineStr">
        <is>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is>
      </c>
      <c r="F261" s="40" t="inlineStr">
        <is>
          <t>Always</t>
        </is>
      </c>
      <c r="G261" s="42" t="inlineStr">
        <is>
          <t>TRUE</t>
        </is>
      </c>
      <c r="H261" s="43">
        <f>IF(AND(TRUE(),D261&lt;=TARGET_LEVEL_NUM),"Applicable","N/A")</f>
        <v/>
      </c>
      <c r="I261" s="40" t="inlineStr">
        <is>
          <t>Configuration scanner / DAST</t>
        </is>
      </c>
      <c r="J261" s="40" t="inlineStr">
        <is>
          <t>Deterministic, continuous</t>
        </is>
      </c>
      <c r="K261" s="42" t="inlineStr">
        <is>
          <t>Pipeline</t>
        </is>
      </c>
      <c r="L261" s="42" t="inlineStr">
        <is>
          <t>Not assessed</t>
        </is>
      </c>
      <c r="M261" s="40" t="n"/>
      <c r="N261" s="40" t="n"/>
      <c r="O261" s="42" t="inlineStr">
        <is>
          <t>Medium</t>
        </is>
      </c>
      <c r="P261" s="43">
        <f>IF(H261="N/A","N/A",INDEX(CRIT_MATRIX,MATCH(O261,CRIT_MATRIX_ROWS,0),MATCH(APP_RISK_TIER,CRIT_MATRIX_COLS,0)))</f>
        <v/>
      </c>
    </row>
    <row r="262" ht="39.75" customHeight="1" s="19">
      <c r="A262" s="42" t="inlineStr">
        <is>
          <t>V12.3.2</t>
        </is>
      </c>
      <c r="B262" s="40" t="inlineStr">
        <is>
          <t>V12 - Secure Communication</t>
        </is>
      </c>
      <c r="C262" s="40" t="inlineStr">
        <is>
          <t>V12.3 - General Service to Service Communication Security</t>
        </is>
      </c>
      <c r="D262" s="42" t="n">
        <v>2</v>
      </c>
      <c r="E262" s="40" t="inlineStr">
        <is>
          <t>Verify that TLS clients validate certificates received before communicating with a TLS server.</t>
        </is>
      </c>
      <c r="F262" s="40" t="inlineStr">
        <is>
          <t>Always</t>
        </is>
      </c>
      <c r="G262" s="42" t="inlineStr">
        <is>
          <t>TRUE</t>
        </is>
      </c>
      <c r="H262" s="43">
        <f>IF(AND(TRUE(),D262&lt;=TARGET_LEVEL_NUM),"Applicable","N/A")</f>
        <v/>
      </c>
      <c r="I262" s="40" t="inlineStr">
        <is>
          <t>Configuration scanner / DAST</t>
        </is>
      </c>
      <c r="J262" s="40" t="inlineStr">
        <is>
          <t>Deterministic, continuous</t>
        </is>
      </c>
      <c r="K262" s="42" t="inlineStr">
        <is>
          <t>Pipeline</t>
        </is>
      </c>
      <c r="L262" s="42" t="inlineStr">
        <is>
          <t>Not assessed</t>
        </is>
      </c>
      <c r="M262" s="40" t="n"/>
      <c r="N262" s="40" t="n"/>
      <c r="O262" s="42" t="inlineStr">
        <is>
          <t>Medium</t>
        </is>
      </c>
      <c r="P262" s="43">
        <f>IF(H262="N/A","N/A",INDEX(CRIT_MATRIX,MATCH(O262,CRIT_MATRIX_ROWS,0),MATCH(APP_RISK_TIER,CRIT_MATRIX_COLS,0)))</f>
        <v/>
      </c>
    </row>
    <row r="263" ht="39.75" customHeight="1" s="19">
      <c r="A263" s="42" t="inlineStr">
        <is>
          <t>V12.3.3</t>
        </is>
      </c>
      <c r="B263" s="40" t="inlineStr">
        <is>
          <t>V12 - Secure Communication</t>
        </is>
      </c>
      <c r="C263" s="40" t="inlineStr">
        <is>
          <t>V12.3 - General Service to Service Communication Security</t>
        </is>
      </c>
      <c r="D263" s="42" t="n">
        <v>2</v>
      </c>
      <c r="E263" s="40" t="inlineStr">
        <is>
          <t>Verify that TLS or another appropriate transport encryption mechanism used for all connectivity between internal, HTTP-based services within the application, and does not fall back to insecure or unencrypted communications.</t>
        </is>
      </c>
      <c r="F263" s="40" t="inlineStr">
        <is>
          <t>Always</t>
        </is>
      </c>
      <c r="G263" s="42" t="inlineStr">
        <is>
          <t>TRUE</t>
        </is>
      </c>
      <c r="H263" s="43">
        <f>IF(AND(TRUE(),D263&lt;=TARGET_LEVEL_NUM),"Applicable","N/A")</f>
        <v/>
      </c>
      <c r="I263" s="40" t="inlineStr">
        <is>
          <t>Configuration scanner / DAST</t>
        </is>
      </c>
      <c r="J263" s="40" t="inlineStr">
        <is>
          <t>Deterministic, continuous</t>
        </is>
      </c>
      <c r="K263" s="42" t="inlineStr">
        <is>
          <t>Pipeline</t>
        </is>
      </c>
      <c r="L263" s="42" t="inlineStr">
        <is>
          <t>Not assessed</t>
        </is>
      </c>
      <c r="M263" s="40" t="n"/>
      <c r="N263" s="40" t="n"/>
      <c r="O263" s="42" t="inlineStr">
        <is>
          <t>Medium</t>
        </is>
      </c>
      <c r="P263" s="43">
        <f>IF(H263="N/A","N/A",INDEX(CRIT_MATRIX,MATCH(O263,CRIT_MATRIX_ROWS,0),MATCH(APP_RISK_TIER,CRIT_MATRIX_COLS,0)))</f>
        <v/>
      </c>
    </row>
    <row r="264" ht="39.75" customHeight="1" s="19">
      <c r="A264" s="42" t="inlineStr">
        <is>
          <t>V12.3.4</t>
        </is>
      </c>
      <c r="B264" s="40" t="inlineStr">
        <is>
          <t>V12 - Secure Communication</t>
        </is>
      </c>
      <c r="C264" s="40" t="inlineStr">
        <is>
          <t>V12.3 - General Service to Service Communication Security</t>
        </is>
      </c>
      <c r="D264" s="42" t="n">
        <v>2</v>
      </c>
      <c r="E264" s="40" t="inlineStr">
        <is>
          <t>Verify that TLS connections between internal services use trusted certificates. Where internally generated or self-signed certificates are used, the consuming service must be configured to only trust specific internal CAs and specific self-signed certificates.</t>
        </is>
      </c>
      <c r="F264" s="40" t="inlineStr">
        <is>
          <t>Always</t>
        </is>
      </c>
      <c r="G264" s="42" t="inlineStr">
        <is>
          <t>TRUE</t>
        </is>
      </c>
      <c r="H264" s="43">
        <f>IF(AND(TRUE(),D264&lt;=TARGET_LEVEL_NUM),"Applicable","N/A")</f>
        <v/>
      </c>
      <c r="I264" s="40" t="inlineStr">
        <is>
          <t>Configuration scanner / DAST</t>
        </is>
      </c>
      <c r="J264" s="40" t="inlineStr">
        <is>
          <t>Deterministic, continuous</t>
        </is>
      </c>
      <c r="K264" s="42" t="inlineStr">
        <is>
          <t>Pipeline</t>
        </is>
      </c>
      <c r="L264" s="42" t="inlineStr">
        <is>
          <t>Not assessed</t>
        </is>
      </c>
      <c r="M264" s="40" t="n"/>
      <c r="N264" s="40" t="n"/>
      <c r="O264" s="42" t="inlineStr">
        <is>
          <t>Medium</t>
        </is>
      </c>
      <c r="P264" s="43">
        <f>IF(H264="N/A","N/A",INDEX(CRIT_MATRIX,MATCH(O264,CRIT_MATRIX_ROWS,0),MATCH(APP_RISK_TIER,CRIT_MATRIX_COLS,0)))</f>
        <v/>
      </c>
    </row>
    <row r="265" ht="39.75" customHeight="1" s="19">
      <c r="A265" s="42" t="inlineStr">
        <is>
          <t>V12.3.5</t>
        </is>
      </c>
      <c r="B265" s="40" t="inlineStr">
        <is>
          <t>V12 - Secure Communication</t>
        </is>
      </c>
      <c r="C265" s="40" t="inlineStr">
        <is>
          <t>V12.3 - General Service to Service Communication Security</t>
        </is>
      </c>
      <c r="D265" s="42" t="n">
        <v>3</v>
      </c>
      <c r="E265" s="40" t="inlineStr">
        <is>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is>
      </c>
      <c r="F265" s="40" t="inlineStr">
        <is>
          <t>Always</t>
        </is>
      </c>
      <c r="G265" s="42" t="inlineStr">
        <is>
          <t>TRUE</t>
        </is>
      </c>
      <c r="H265" s="43">
        <f>IF(AND(TRUE(),D265&lt;=TARGET_LEVEL_NUM),"Applicable","N/A")</f>
        <v/>
      </c>
      <c r="I265" s="40" t="inlineStr">
        <is>
          <t>Configuration scanner / DAST</t>
        </is>
      </c>
      <c r="J265" s="40" t="inlineStr">
        <is>
          <t>Deterministic, continuous</t>
        </is>
      </c>
      <c r="K265" s="42" t="inlineStr">
        <is>
          <t>Pipeline</t>
        </is>
      </c>
      <c r="L265" s="42" t="inlineStr">
        <is>
          <t>Not assessed</t>
        </is>
      </c>
      <c r="M265" s="40" t="n"/>
      <c r="N265" s="40" t="n"/>
      <c r="O265" s="42" t="inlineStr">
        <is>
          <t>Medium</t>
        </is>
      </c>
      <c r="P265" s="43">
        <f>IF(H265="N/A","N/A",INDEX(CRIT_MATRIX,MATCH(O265,CRIT_MATRIX_ROWS,0),MATCH(APP_RISK_TIER,CRIT_MATRIX_COLS,0)))</f>
        <v/>
      </c>
    </row>
    <row r="266" ht="39.75" customHeight="1" s="19">
      <c r="A266" s="42" t="inlineStr">
        <is>
          <t>V13.1.1</t>
        </is>
      </c>
      <c r="B266" s="40" t="inlineStr">
        <is>
          <t>V13 - Configuration</t>
        </is>
      </c>
      <c r="C266" s="40" t="inlineStr">
        <is>
          <t>V13.1 - Configuration Documentation</t>
        </is>
      </c>
      <c r="D266" s="42" t="n">
        <v>2</v>
      </c>
      <c r="E266" s="40" t="inlineStr">
        <is>
          <t>Verify that all communication needs for the application are documented. This must include external services which the application relies upon and cases where an end user might be able to provide an external location to which the application will then connect.</t>
        </is>
      </c>
      <c r="F266" s="40" t="inlineStr">
        <is>
          <t>Always</t>
        </is>
      </c>
      <c r="G266" s="42" t="inlineStr">
        <is>
          <t>TRUE</t>
        </is>
      </c>
      <c r="H266" s="43">
        <f>IF(AND(TRUE(),D266&lt;=TARGET_LEVEL_NUM),"Applicable","N/A")</f>
        <v/>
      </c>
      <c r="I266" s="40" t="inlineStr">
        <is>
          <t>Architecture / documentation review</t>
        </is>
      </c>
      <c r="J266" s="40" t="inlineStr">
        <is>
          <t>Sampled, periodic</t>
        </is>
      </c>
      <c r="K266" s="42" t="inlineStr">
        <is>
          <t>Design/Governance</t>
        </is>
      </c>
      <c r="L266" s="42" t="inlineStr">
        <is>
          <t>Not assessed</t>
        </is>
      </c>
      <c r="M266" s="40" t="n"/>
      <c r="N266" s="40" t="n"/>
      <c r="O266" s="42" t="inlineStr">
        <is>
          <t>Low</t>
        </is>
      </c>
      <c r="P266" s="43">
        <f>IF(H266="N/A","N/A",INDEX(CRIT_MATRIX,MATCH(O266,CRIT_MATRIX_ROWS,0),MATCH(APP_RISK_TIER,CRIT_MATRIX_COLS,0)))</f>
        <v/>
      </c>
    </row>
    <row r="267" ht="39.75" customHeight="1" s="19">
      <c r="A267" s="42" t="inlineStr">
        <is>
          <t>V13.1.2</t>
        </is>
      </c>
      <c r="B267" s="40" t="inlineStr">
        <is>
          <t>V13 - Configuration</t>
        </is>
      </c>
      <c r="C267" s="40" t="inlineStr">
        <is>
          <t>V13.1 - Configuration Documentation</t>
        </is>
      </c>
      <c r="D267" s="42" t="n">
        <v>3</v>
      </c>
      <c r="E267" s="40" t="inlineStr">
        <is>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is>
      </c>
      <c r="F267" s="40" t="inlineStr">
        <is>
          <t>Always</t>
        </is>
      </c>
      <c r="G267" s="42" t="inlineStr">
        <is>
          <t>TRUE</t>
        </is>
      </c>
      <c r="H267" s="43">
        <f>IF(AND(TRUE(),D267&lt;=TARGET_LEVEL_NUM),"Applicable","N/A")</f>
        <v/>
      </c>
      <c r="I267" s="40" t="inlineStr">
        <is>
          <t>Architecture / documentation review</t>
        </is>
      </c>
      <c r="J267" s="40" t="inlineStr">
        <is>
          <t>Sampled, periodic</t>
        </is>
      </c>
      <c r="K267" s="42" t="inlineStr">
        <is>
          <t>Design/Governance</t>
        </is>
      </c>
      <c r="L267" s="42" t="inlineStr">
        <is>
          <t>Not assessed</t>
        </is>
      </c>
      <c r="M267" s="40" t="n"/>
      <c r="N267" s="40" t="n"/>
      <c r="O267" s="42" t="inlineStr">
        <is>
          <t>Low</t>
        </is>
      </c>
      <c r="P267" s="43">
        <f>IF(H267="N/A","N/A",INDEX(CRIT_MATRIX,MATCH(O267,CRIT_MATRIX_ROWS,0),MATCH(APP_RISK_TIER,CRIT_MATRIX_COLS,0)))</f>
        <v/>
      </c>
    </row>
    <row r="268" ht="39.75" customHeight="1" s="19">
      <c r="A268" s="42" t="inlineStr">
        <is>
          <t>V13.1.3</t>
        </is>
      </c>
      <c r="B268" s="40" t="inlineStr">
        <is>
          <t>V13 - Configuration</t>
        </is>
      </c>
      <c r="C268" s="40" t="inlineStr">
        <is>
          <t>V13.1 - Configuration Documentation</t>
        </is>
      </c>
      <c r="D268" s="42" t="n">
        <v>3</v>
      </c>
      <c r="E268" s="40" t="inlineStr">
        <is>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is>
      </c>
      <c r="F268" s="40" t="inlineStr">
        <is>
          <t>Always</t>
        </is>
      </c>
      <c r="G268" s="42" t="inlineStr">
        <is>
          <t>TRUE</t>
        </is>
      </c>
      <c r="H268" s="43">
        <f>IF(AND(TRUE(),D268&lt;=TARGET_LEVEL_NUM),"Applicable","N/A")</f>
        <v/>
      </c>
      <c r="I268" s="40" t="inlineStr">
        <is>
          <t>Architecture / documentation review</t>
        </is>
      </c>
      <c r="J268" s="40" t="inlineStr">
        <is>
          <t>Sampled, periodic</t>
        </is>
      </c>
      <c r="K268" s="42" t="inlineStr">
        <is>
          <t>Design/Governance</t>
        </is>
      </c>
      <c r="L268" s="42" t="inlineStr">
        <is>
          <t>Not assessed</t>
        </is>
      </c>
      <c r="M268" s="40" t="n"/>
      <c r="N268" s="40" t="n"/>
      <c r="O268" s="42" t="inlineStr">
        <is>
          <t>Low</t>
        </is>
      </c>
      <c r="P268" s="43">
        <f>IF(H268="N/A","N/A",INDEX(CRIT_MATRIX,MATCH(O268,CRIT_MATRIX_ROWS,0),MATCH(APP_RISK_TIER,CRIT_MATRIX_COLS,0)))</f>
        <v/>
      </c>
    </row>
    <row r="269" ht="39.75" customHeight="1" s="19">
      <c r="A269" s="42" t="inlineStr">
        <is>
          <t>V13.1.4</t>
        </is>
      </c>
      <c r="B269" s="40" t="inlineStr">
        <is>
          <t>V13 - Configuration</t>
        </is>
      </c>
      <c r="C269" s="40" t="inlineStr">
        <is>
          <t>V13.1 - Configuration Documentation</t>
        </is>
      </c>
      <c r="D269" s="42" t="n">
        <v>3</v>
      </c>
      <c r="E269" s="40" t="inlineStr">
        <is>
          <t>Verify that the application's documentation defines the secrets that are critical for the security of the application and a schedule for rotating them, based on the organization's threat model and business requirements.</t>
        </is>
      </c>
      <c r="F269" s="40" t="inlineStr">
        <is>
          <t>Always</t>
        </is>
      </c>
      <c r="G269" s="42" t="inlineStr">
        <is>
          <t>TRUE</t>
        </is>
      </c>
      <c r="H269" s="43">
        <f>IF(AND(TRUE(),D269&lt;=TARGET_LEVEL_NUM),"Applicable","N/A")</f>
        <v/>
      </c>
      <c r="I269" s="40" t="inlineStr">
        <is>
          <t>Architecture / documentation review</t>
        </is>
      </c>
      <c r="J269" s="40" t="inlineStr">
        <is>
          <t>Sampled, periodic</t>
        </is>
      </c>
      <c r="K269" s="42" t="inlineStr">
        <is>
          <t>Design/Governance</t>
        </is>
      </c>
      <c r="L269" s="42" t="inlineStr">
        <is>
          <t>Not assessed</t>
        </is>
      </c>
      <c r="M269" s="40" t="n"/>
      <c r="N269" s="40" t="n"/>
      <c r="O269" s="42" t="inlineStr">
        <is>
          <t>Low</t>
        </is>
      </c>
      <c r="P269" s="43">
        <f>IF(H269="N/A","N/A",INDEX(CRIT_MATRIX,MATCH(O269,CRIT_MATRIX_ROWS,0),MATCH(APP_RISK_TIER,CRIT_MATRIX_COLS,0)))</f>
        <v/>
      </c>
    </row>
    <row r="270" ht="39.75" customHeight="1" s="19">
      <c r="A270" s="42" t="inlineStr">
        <is>
          <t>V13.2.1</t>
        </is>
      </c>
      <c r="B270" s="40" t="inlineStr">
        <is>
          <t>V13 - Configuration</t>
        </is>
      </c>
      <c r="C270" s="40" t="inlineStr">
        <is>
          <t>V13.2 - Backend Communication Configuration</t>
        </is>
      </c>
      <c r="D270" s="42" t="n">
        <v>2</v>
      </c>
      <c r="E270" s="40" t="inlineStr">
        <is>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is>
      </c>
      <c r="F270" s="40" t="inlineStr">
        <is>
          <t>Always</t>
        </is>
      </c>
      <c r="G270" s="42" t="inlineStr">
        <is>
          <t>TRUE</t>
        </is>
      </c>
      <c r="H270" s="43">
        <f>IF(AND(TRUE(),D270&lt;=TARGET_LEVEL_NUM),"Applicable","N/A")</f>
        <v/>
      </c>
      <c r="I270" s="40" t="inlineStr">
        <is>
          <t>IaC scanning + configuration review</t>
        </is>
      </c>
      <c r="J270" s="40" t="inlineStr">
        <is>
          <t>Deterministic, continuous</t>
        </is>
      </c>
      <c r="K270" s="42" t="inlineStr">
        <is>
          <t>Pipeline</t>
        </is>
      </c>
      <c r="L270" s="42" t="inlineStr">
        <is>
          <t>Not assessed</t>
        </is>
      </c>
      <c r="M270" s="40" t="n"/>
      <c r="N270" s="40" t="n"/>
      <c r="O270" s="42" t="inlineStr">
        <is>
          <t>Low</t>
        </is>
      </c>
      <c r="P270" s="43">
        <f>IF(H270="N/A","N/A",INDEX(CRIT_MATRIX,MATCH(O270,CRIT_MATRIX_ROWS,0),MATCH(APP_RISK_TIER,CRIT_MATRIX_COLS,0)))</f>
        <v/>
      </c>
    </row>
    <row r="271" ht="39.75" customHeight="1" s="19">
      <c r="A271" s="42" t="inlineStr">
        <is>
          <t>V13.2.2</t>
        </is>
      </c>
      <c r="B271" s="40" t="inlineStr">
        <is>
          <t>V13 - Configuration</t>
        </is>
      </c>
      <c r="C271" s="40" t="inlineStr">
        <is>
          <t>V13.2 - Backend Communication Configuration</t>
        </is>
      </c>
      <c r="D271" s="42" t="n">
        <v>2</v>
      </c>
      <c r="E271" s="40" t="inlineStr">
        <is>
          <t>Verify that communications between backend application components, including local or operating system services, APIs, middleware, and data layers, are performed with accounts assigned the least necessary privileges.</t>
        </is>
      </c>
      <c r="F271" s="40" t="inlineStr">
        <is>
          <t>Always</t>
        </is>
      </c>
      <c r="G271" s="42" t="inlineStr">
        <is>
          <t>TRUE</t>
        </is>
      </c>
      <c r="H271" s="43">
        <f>IF(AND(TRUE(),D271&lt;=TARGET_LEVEL_NUM),"Applicable","N/A")</f>
        <v/>
      </c>
      <c r="I271" s="40" t="inlineStr">
        <is>
          <t>IaC scanning + configuration review</t>
        </is>
      </c>
      <c r="J271" s="40" t="inlineStr">
        <is>
          <t>Deterministic, continuous</t>
        </is>
      </c>
      <c r="K271" s="42" t="inlineStr">
        <is>
          <t>Pipeline</t>
        </is>
      </c>
      <c r="L271" s="42" t="inlineStr">
        <is>
          <t>Not assessed</t>
        </is>
      </c>
      <c r="M271" s="40" t="n"/>
      <c r="N271" s="40" t="n"/>
      <c r="O271" s="42" t="inlineStr">
        <is>
          <t>Low</t>
        </is>
      </c>
      <c r="P271" s="43">
        <f>IF(H271="N/A","N/A",INDEX(CRIT_MATRIX,MATCH(O271,CRIT_MATRIX_ROWS,0),MATCH(APP_RISK_TIER,CRIT_MATRIX_COLS,0)))</f>
        <v/>
      </c>
    </row>
    <row r="272" ht="39.75" customHeight="1" s="19">
      <c r="A272" s="42" t="inlineStr">
        <is>
          <t>V13.2.3</t>
        </is>
      </c>
      <c r="B272" s="40" t="inlineStr">
        <is>
          <t>V13 - Configuration</t>
        </is>
      </c>
      <c r="C272" s="40" t="inlineStr">
        <is>
          <t>V13.2 - Backend Communication Configuration</t>
        </is>
      </c>
      <c r="D272" s="42" t="n">
        <v>2</v>
      </c>
      <c r="E272" s="40" t="inlineStr">
        <is>
          <t>Verify that if a credential has to be used for service authentication, the credential being used by the consumer is not a default credential (e.g., root/root or admin/admin).</t>
        </is>
      </c>
      <c r="F272" s="40" t="inlineStr">
        <is>
          <t>Always</t>
        </is>
      </c>
      <c r="G272" s="42" t="inlineStr">
        <is>
          <t>TRUE</t>
        </is>
      </c>
      <c r="H272" s="43">
        <f>IF(AND(TRUE(),D272&lt;=TARGET_LEVEL_NUM),"Applicable","N/A")</f>
        <v/>
      </c>
      <c r="I272" s="40" t="inlineStr">
        <is>
          <t>IaC scanning + configuration review</t>
        </is>
      </c>
      <c r="J272" s="40" t="inlineStr">
        <is>
          <t>Deterministic, continuous</t>
        </is>
      </c>
      <c r="K272" s="42" t="inlineStr">
        <is>
          <t>Pipeline</t>
        </is>
      </c>
      <c r="L272" s="42" t="inlineStr">
        <is>
          <t>Not assessed</t>
        </is>
      </c>
      <c r="M272" s="40" t="n"/>
      <c r="N272" s="40" t="n"/>
      <c r="O272" s="42" t="inlineStr">
        <is>
          <t>Low</t>
        </is>
      </c>
      <c r="P272" s="43">
        <f>IF(H272="N/A","N/A",INDEX(CRIT_MATRIX,MATCH(O272,CRIT_MATRIX_ROWS,0),MATCH(APP_RISK_TIER,CRIT_MATRIX_COLS,0)))</f>
        <v/>
      </c>
    </row>
    <row r="273" ht="39.75" customHeight="1" s="19">
      <c r="A273" s="42" t="inlineStr">
        <is>
          <t>V13.2.4</t>
        </is>
      </c>
      <c r="B273" s="40" t="inlineStr">
        <is>
          <t>V13 - Configuration</t>
        </is>
      </c>
      <c r="C273" s="40" t="inlineStr">
        <is>
          <t>V13.2 - Backend Communication Configuration</t>
        </is>
      </c>
      <c r="D273" s="42" t="n">
        <v>2</v>
      </c>
      <c r="E273" s="40" t="inlineStr">
        <is>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is>
      </c>
      <c r="F273" s="40" t="inlineStr">
        <is>
          <t>Always</t>
        </is>
      </c>
      <c r="G273" s="42" t="inlineStr">
        <is>
          <t>TRUE</t>
        </is>
      </c>
      <c r="H273" s="43">
        <f>IF(AND(TRUE(),D273&lt;=TARGET_LEVEL_NUM),"Applicable","N/A")</f>
        <v/>
      </c>
      <c r="I273" s="40" t="inlineStr">
        <is>
          <t>IaC scanning + configuration review</t>
        </is>
      </c>
      <c r="J273" s="40" t="inlineStr">
        <is>
          <t>Deterministic, continuous</t>
        </is>
      </c>
      <c r="K273" s="42" t="inlineStr">
        <is>
          <t>Pipeline</t>
        </is>
      </c>
      <c r="L273" s="42" t="inlineStr">
        <is>
          <t>Not assessed</t>
        </is>
      </c>
      <c r="M273" s="40" t="n"/>
      <c r="N273" s="40" t="n"/>
      <c r="O273" s="42" t="inlineStr">
        <is>
          <t>Low</t>
        </is>
      </c>
      <c r="P273" s="43">
        <f>IF(H273="N/A","N/A",INDEX(CRIT_MATRIX,MATCH(O273,CRIT_MATRIX_ROWS,0),MATCH(APP_RISK_TIER,CRIT_MATRIX_COLS,0)))</f>
        <v/>
      </c>
    </row>
    <row r="274" ht="39.75" customHeight="1" s="19">
      <c r="A274" s="42" t="inlineStr">
        <is>
          <t>V13.2.5</t>
        </is>
      </c>
      <c r="B274" s="40" t="inlineStr">
        <is>
          <t>V13 - Configuration</t>
        </is>
      </c>
      <c r="C274" s="40" t="inlineStr">
        <is>
          <t>V13.2 - Backend Communication Configuration</t>
        </is>
      </c>
      <c r="D274" s="42" t="n">
        <v>2</v>
      </c>
      <c r="E274" s="40" t="inlineStr">
        <is>
          <t>Verify that the web or application server is configured with an allowlist of resources or systems to which the server can send requests or load data or files from.</t>
        </is>
      </c>
      <c r="F274" s="40" t="inlineStr">
        <is>
          <t>Always</t>
        </is>
      </c>
      <c r="G274" s="42" t="inlineStr">
        <is>
          <t>TRUE</t>
        </is>
      </c>
      <c r="H274" s="43">
        <f>IF(AND(TRUE(),D274&lt;=TARGET_LEVEL_NUM),"Applicable","N/A")</f>
        <v/>
      </c>
      <c r="I274" s="40" t="inlineStr">
        <is>
          <t>IaC scanning + configuration review</t>
        </is>
      </c>
      <c r="J274" s="40" t="inlineStr">
        <is>
          <t>Deterministic, continuous</t>
        </is>
      </c>
      <c r="K274" s="42" t="inlineStr">
        <is>
          <t>Pipeline</t>
        </is>
      </c>
      <c r="L274" s="42" t="inlineStr">
        <is>
          <t>Not assessed</t>
        </is>
      </c>
      <c r="M274" s="40" t="n"/>
      <c r="N274" s="40" t="n"/>
      <c r="O274" s="42" t="inlineStr">
        <is>
          <t>Low</t>
        </is>
      </c>
      <c r="P274" s="43">
        <f>IF(H274="N/A","N/A",INDEX(CRIT_MATRIX,MATCH(O274,CRIT_MATRIX_ROWS,0),MATCH(APP_RISK_TIER,CRIT_MATRIX_COLS,0)))</f>
        <v/>
      </c>
    </row>
    <row r="275" ht="39.75" customHeight="1" s="19">
      <c r="A275" s="42" t="inlineStr">
        <is>
          <t>V13.2.6</t>
        </is>
      </c>
      <c r="B275" s="40" t="inlineStr">
        <is>
          <t>V13 - Configuration</t>
        </is>
      </c>
      <c r="C275" s="40" t="inlineStr">
        <is>
          <t>V13.2 - Backend Communication Configuration</t>
        </is>
      </c>
      <c r="D275" s="42" t="n">
        <v>3</v>
      </c>
      <c r="E275" s="40" t="inlineStr">
        <is>
          <t>Verify that where the application connects to separate services, it follows the documented configuration for each connection, such as maximum parallel connections, behavior when maximum allowed connections is reached, connection timeouts, and retry strategies.</t>
        </is>
      </c>
      <c r="F275" s="40" t="inlineStr">
        <is>
          <t>Always</t>
        </is>
      </c>
      <c r="G275" s="42" t="inlineStr">
        <is>
          <t>TRUE</t>
        </is>
      </c>
      <c r="H275" s="43">
        <f>IF(AND(TRUE(),D275&lt;=TARGET_LEVEL_NUM),"Applicable","N/A")</f>
        <v/>
      </c>
      <c r="I275" s="40" t="inlineStr">
        <is>
          <t>IaC scanning + configuration review</t>
        </is>
      </c>
      <c r="J275" s="40" t="inlineStr">
        <is>
          <t>Deterministic, continuous</t>
        </is>
      </c>
      <c r="K275" s="42" t="inlineStr">
        <is>
          <t>Pipeline</t>
        </is>
      </c>
      <c r="L275" s="42" t="inlineStr">
        <is>
          <t>Not assessed</t>
        </is>
      </c>
      <c r="M275" s="40" t="n"/>
      <c r="N275" s="40" t="n"/>
      <c r="O275" s="42" t="inlineStr">
        <is>
          <t>Low</t>
        </is>
      </c>
      <c r="P275" s="43">
        <f>IF(H275="N/A","N/A",INDEX(CRIT_MATRIX,MATCH(O275,CRIT_MATRIX_ROWS,0),MATCH(APP_RISK_TIER,CRIT_MATRIX_COLS,0)))</f>
        <v/>
      </c>
    </row>
    <row r="276" ht="39.75" customHeight="1" s="19">
      <c r="A276" s="42" t="inlineStr">
        <is>
          <t>V13.3.1</t>
        </is>
      </c>
      <c r="B276" s="40" t="inlineStr">
        <is>
          <t>V13 - Configuration</t>
        </is>
      </c>
      <c r="C276" s="40" t="inlineStr">
        <is>
          <t>V13.3 - Secret Management</t>
        </is>
      </c>
      <c r="D276" s="42" t="n">
        <v>2</v>
      </c>
      <c r="E276" s="40" t="inlineStr">
        <is>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is>
      </c>
      <c r="F276" s="40" t="inlineStr">
        <is>
          <t>Always</t>
        </is>
      </c>
      <c r="G276" s="42" t="inlineStr">
        <is>
          <t>TRUE</t>
        </is>
      </c>
      <c r="H276" s="43">
        <f>IF(AND(TRUE(),D276&lt;=TARGET_LEVEL_NUM),"Applicable","N/A")</f>
        <v/>
      </c>
      <c r="I276" s="40" t="inlineStr">
        <is>
          <t>IaC scanning + configuration review</t>
        </is>
      </c>
      <c r="J276" s="40" t="inlineStr">
        <is>
          <t>Deterministic, continuous</t>
        </is>
      </c>
      <c r="K276" s="42" t="inlineStr">
        <is>
          <t>Pipeline</t>
        </is>
      </c>
      <c r="L276" s="42" t="inlineStr">
        <is>
          <t>Not assessed</t>
        </is>
      </c>
      <c r="M276" s="40" t="n"/>
      <c r="N276" s="40" t="n"/>
      <c r="O276" s="42" t="inlineStr">
        <is>
          <t>Low</t>
        </is>
      </c>
      <c r="P276" s="43">
        <f>IF(H276="N/A","N/A",INDEX(CRIT_MATRIX,MATCH(O276,CRIT_MATRIX_ROWS,0),MATCH(APP_RISK_TIER,CRIT_MATRIX_COLS,0)))</f>
        <v/>
      </c>
    </row>
    <row r="277" ht="39.75" customHeight="1" s="19">
      <c r="A277" s="42" t="inlineStr">
        <is>
          <t>V13.3.2</t>
        </is>
      </c>
      <c r="B277" s="40" t="inlineStr">
        <is>
          <t>V13 - Configuration</t>
        </is>
      </c>
      <c r="C277" s="40" t="inlineStr">
        <is>
          <t>V13.3 - Secret Management</t>
        </is>
      </c>
      <c r="D277" s="42" t="n">
        <v>2</v>
      </c>
      <c r="E277" s="40" t="inlineStr">
        <is>
          <t>Verify that access to secret assets adheres to the principle of least privilege.</t>
        </is>
      </c>
      <c r="F277" s="40" t="inlineStr">
        <is>
          <t>Always</t>
        </is>
      </c>
      <c r="G277" s="42" t="inlineStr">
        <is>
          <t>TRUE</t>
        </is>
      </c>
      <c r="H277" s="43">
        <f>IF(AND(TRUE(),D277&lt;=TARGET_LEVEL_NUM),"Applicable","N/A")</f>
        <v/>
      </c>
      <c r="I277" s="40" t="inlineStr">
        <is>
          <t>IaC scanning + configuration review</t>
        </is>
      </c>
      <c r="J277" s="40" t="inlineStr">
        <is>
          <t>Deterministic, continuous</t>
        </is>
      </c>
      <c r="K277" s="42" t="inlineStr">
        <is>
          <t>Pipeline</t>
        </is>
      </c>
      <c r="L277" s="42" t="inlineStr">
        <is>
          <t>Not assessed</t>
        </is>
      </c>
      <c r="M277" s="40" t="n"/>
      <c r="N277" s="40" t="n"/>
      <c r="O277" s="42" t="inlineStr">
        <is>
          <t>Low</t>
        </is>
      </c>
      <c r="P277" s="43">
        <f>IF(H277="N/A","N/A",INDEX(CRIT_MATRIX,MATCH(O277,CRIT_MATRIX_ROWS,0),MATCH(APP_RISK_TIER,CRIT_MATRIX_COLS,0)))</f>
        <v/>
      </c>
    </row>
    <row r="278" ht="39.75" customHeight="1" s="19">
      <c r="A278" s="42" t="inlineStr">
        <is>
          <t>V13.3.3</t>
        </is>
      </c>
      <c r="B278" s="40" t="inlineStr">
        <is>
          <t>V13 - Configuration</t>
        </is>
      </c>
      <c r="C278" s="40" t="inlineStr">
        <is>
          <t>V13.3 - Secret Management</t>
        </is>
      </c>
      <c r="D278" s="42" t="n">
        <v>3</v>
      </c>
      <c r="E278" s="40" t="inlineStr">
        <is>
          <t>Verify that all cryptographic operations are performed using an isolated security module (such as a vault or hardware security module) to securely manage and protect key material from exposure outside of the security module.</t>
        </is>
      </c>
      <c r="F278" s="40" t="inlineStr">
        <is>
          <t>Always</t>
        </is>
      </c>
      <c r="G278" s="42" t="inlineStr">
        <is>
          <t>TRUE</t>
        </is>
      </c>
      <c r="H278" s="43">
        <f>IF(AND(TRUE(),D278&lt;=TARGET_LEVEL_NUM),"Applicable","N/A")</f>
        <v/>
      </c>
      <c r="I278" s="40" t="inlineStr">
        <is>
          <t>IaC scanning + configuration review</t>
        </is>
      </c>
      <c r="J278" s="40" t="inlineStr">
        <is>
          <t>Deterministic, continuous</t>
        </is>
      </c>
      <c r="K278" s="42" t="inlineStr">
        <is>
          <t>Pipeline</t>
        </is>
      </c>
      <c r="L278" s="42" t="inlineStr">
        <is>
          <t>Not assessed</t>
        </is>
      </c>
      <c r="M278" s="40" t="n"/>
      <c r="N278" s="40" t="n"/>
      <c r="O278" s="42" t="inlineStr">
        <is>
          <t>Low</t>
        </is>
      </c>
      <c r="P278" s="43">
        <f>IF(H278="N/A","N/A",INDEX(CRIT_MATRIX,MATCH(O278,CRIT_MATRIX_ROWS,0),MATCH(APP_RISK_TIER,CRIT_MATRIX_COLS,0)))</f>
        <v/>
      </c>
    </row>
    <row r="279" ht="39.75" customHeight="1" s="19">
      <c r="A279" s="42" t="inlineStr">
        <is>
          <t>V13.3.4</t>
        </is>
      </c>
      <c r="B279" s="40" t="inlineStr">
        <is>
          <t>V13 - Configuration</t>
        </is>
      </c>
      <c r="C279" s="40" t="inlineStr">
        <is>
          <t>V13.3 - Secret Management</t>
        </is>
      </c>
      <c r="D279" s="42" t="n">
        <v>3</v>
      </c>
      <c r="E279" s="40" t="inlineStr">
        <is>
          <t>Verify that secrets are configured to expire and be rotated based on the application's documentation.</t>
        </is>
      </c>
      <c r="F279" s="40" t="inlineStr">
        <is>
          <t>Always</t>
        </is>
      </c>
      <c r="G279" s="42" t="inlineStr">
        <is>
          <t>TRUE</t>
        </is>
      </c>
      <c r="H279" s="43">
        <f>IF(AND(TRUE(),D279&lt;=TARGET_LEVEL_NUM),"Applicable","N/A")</f>
        <v/>
      </c>
      <c r="I279" s="40" t="inlineStr">
        <is>
          <t>IaC scanning + configuration review</t>
        </is>
      </c>
      <c r="J279" s="40" t="inlineStr">
        <is>
          <t>Deterministic, continuous</t>
        </is>
      </c>
      <c r="K279" s="42" t="inlineStr">
        <is>
          <t>Pipeline</t>
        </is>
      </c>
      <c r="L279" s="42" t="inlineStr">
        <is>
          <t>Not assessed</t>
        </is>
      </c>
      <c r="M279" s="40" t="n"/>
      <c r="N279" s="40" t="n"/>
      <c r="O279" s="42" t="inlineStr">
        <is>
          <t>Low</t>
        </is>
      </c>
      <c r="P279" s="43">
        <f>IF(H279="N/A","N/A",INDEX(CRIT_MATRIX,MATCH(O279,CRIT_MATRIX_ROWS,0),MATCH(APP_RISK_TIER,CRIT_MATRIX_COLS,0)))</f>
        <v/>
      </c>
    </row>
    <row r="280" ht="39.75" customHeight="1" s="19">
      <c r="A280" s="42" t="inlineStr">
        <is>
          <t>V13.4.1</t>
        </is>
      </c>
      <c r="B280" s="40" t="inlineStr">
        <is>
          <t>V13 - Configuration</t>
        </is>
      </c>
      <c r="C280" s="40" t="inlineStr">
        <is>
          <t>V13.4 - Unintended Information Leakage</t>
        </is>
      </c>
      <c r="D280" s="42" t="n">
        <v>1</v>
      </c>
      <c r="E280" s="40" t="inlineStr">
        <is>
          <t>Verify that the application is deployed either without any source control metadata, including the .git or .svn folders, or in a way that these folders are inaccessible both externally and to the application itself.</t>
        </is>
      </c>
      <c r="F280" s="40" t="inlineStr">
        <is>
          <t>Always</t>
        </is>
      </c>
      <c r="G280" s="42" t="inlineStr">
        <is>
          <t>TRUE</t>
        </is>
      </c>
      <c r="H280" s="43">
        <f>IF(AND(TRUE(),D280&lt;=TARGET_LEVEL_NUM),"Applicable","N/A")</f>
        <v/>
      </c>
      <c r="I280" s="40" t="inlineStr">
        <is>
          <t>IaC scanning + configuration review</t>
        </is>
      </c>
      <c r="J280" s="40" t="inlineStr">
        <is>
          <t>Deterministic, continuous</t>
        </is>
      </c>
      <c r="K280" s="42" t="inlineStr">
        <is>
          <t>Pipeline</t>
        </is>
      </c>
      <c r="L280" s="42" t="inlineStr">
        <is>
          <t>Not assessed</t>
        </is>
      </c>
      <c r="M280" s="40" t="n"/>
      <c r="N280" s="40" t="n"/>
      <c r="O280" s="42" t="inlineStr">
        <is>
          <t>Low</t>
        </is>
      </c>
      <c r="P280" s="43">
        <f>IF(H280="N/A","N/A",INDEX(CRIT_MATRIX,MATCH(O280,CRIT_MATRIX_ROWS,0),MATCH(APP_RISK_TIER,CRIT_MATRIX_COLS,0)))</f>
        <v/>
      </c>
    </row>
    <row r="281" ht="39.75" customHeight="1" s="19">
      <c r="A281" s="42" t="inlineStr">
        <is>
          <t>V13.4.2</t>
        </is>
      </c>
      <c r="B281" s="40" t="inlineStr">
        <is>
          <t>V13 - Configuration</t>
        </is>
      </c>
      <c r="C281" s="40" t="inlineStr">
        <is>
          <t>V13.4 - Unintended Information Leakage</t>
        </is>
      </c>
      <c r="D281" s="42" t="n">
        <v>2</v>
      </c>
      <c r="E281" s="40" t="inlineStr">
        <is>
          <t>Verify that debug modes are disabled for all components in production environments to prevent exposure of debugging features and information leakage.</t>
        </is>
      </c>
      <c r="F281" s="40" t="inlineStr">
        <is>
          <t>Always</t>
        </is>
      </c>
      <c r="G281" s="42" t="inlineStr">
        <is>
          <t>TRUE</t>
        </is>
      </c>
      <c r="H281" s="43">
        <f>IF(AND(TRUE(),D281&lt;=TARGET_LEVEL_NUM),"Applicable","N/A")</f>
        <v/>
      </c>
      <c r="I281" s="40" t="inlineStr">
        <is>
          <t>IaC scanning + configuration review</t>
        </is>
      </c>
      <c r="J281" s="40" t="inlineStr">
        <is>
          <t>Deterministic, continuous</t>
        </is>
      </c>
      <c r="K281" s="42" t="inlineStr">
        <is>
          <t>Pipeline</t>
        </is>
      </c>
      <c r="L281" s="42" t="inlineStr">
        <is>
          <t>Not assessed</t>
        </is>
      </c>
      <c r="M281" s="40" t="n"/>
      <c r="N281" s="40" t="n"/>
      <c r="O281" s="42" t="inlineStr">
        <is>
          <t>Low</t>
        </is>
      </c>
      <c r="P281" s="43">
        <f>IF(H281="N/A","N/A",INDEX(CRIT_MATRIX,MATCH(O281,CRIT_MATRIX_ROWS,0),MATCH(APP_RISK_TIER,CRIT_MATRIX_COLS,0)))</f>
        <v/>
      </c>
    </row>
    <row r="282" ht="39.75" customHeight="1" s="19">
      <c r="A282" s="42" t="inlineStr">
        <is>
          <t>V13.4.3</t>
        </is>
      </c>
      <c r="B282" s="40" t="inlineStr">
        <is>
          <t>V13 - Configuration</t>
        </is>
      </c>
      <c r="C282" s="40" t="inlineStr">
        <is>
          <t>V13.4 - Unintended Information Leakage</t>
        </is>
      </c>
      <c r="D282" s="42" t="n">
        <v>2</v>
      </c>
      <c r="E282" s="40" t="inlineStr">
        <is>
          <t>Verify that web servers do not expose directory listings to clients unless explicitly intended.</t>
        </is>
      </c>
      <c r="F282" s="40" t="inlineStr">
        <is>
          <t>Always</t>
        </is>
      </c>
      <c r="G282" s="42" t="inlineStr">
        <is>
          <t>TRUE</t>
        </is>
      </c>
      <c r="H282" s="43">
        <f>IF(AND(TRUE(),D282&lt;=TARGET_LEVEL_NUM),"Applicable","N/A")</f>
        <v/>
      </c>
      <c r="I282" s="40" t="inlineStr">
        <is>
          <t>IaC scanning + configuration review</t>
        </is>
      </c>
      <c r="J282" s="40" t="inlineStr">
        <is>
          <t>Deterministic, continuous</t>
        </is>
      </c>
      <c r="K282" s="42" t="inlineStr">
        <is>
          <t>Pipeline</t>
        </is>
      </c>
      <c r="L282" s="42" t="inlineStr">
        <is>
          <t>Not assessed</t>
        </is>
      </c>
      <c r="M282" s="40" t="n"/>
      <c r="N282" s="40" t="n"/>
      <c r="O282" s="42" t="inlineStr">
        <is>
          <t>Low</t>
        </is>
      </c>
      <c r="P282" s="43">
        <f>IF(H282="N/A","N/A",INDEX(CRIT_MATRIX,MATCH(O282,CRIT_MATRIX_ROWS,0),MATCH(APP_RISK_TIER,CRIT_MATRIX_COLS,0)))</f>
        <v/>
      </c>
    </row>
    <row r="283" ht="39.75" customHeight="1" s="19">
      <c r="A283" s="42" t="inlineStr">
        <is>
          <t>V13.4.4</t>
        </is>
      </c>
      <c r="B283" s="40" t="inlineStr">
        <is>
          <t>V13 - Configuration</t>
        </is>
      </c>
      <c r="C283" s="40" t="inlineStr">
        <is>
          <t>V13.4 - Unintended Information Leakage</t>
        </is>
      </c>
      <c r="D283" s="42" t="n">
        <v>2</v>
      </c>
      <c r="E283" s="40" t="inlineStr">
        <is>
          <t>Verify that using the HTTP TRACE method is not supported in production environments, to avoid potential information leakage.</t>
        </is>
      </c>
      <c r="F283" s="40" t="inlineStr">
        <is>
          <t>Always</t>
        </is>
      </c>
      <c r="G283" s="42" t="inlineStr">
        <is>
          <t>TRUE</t>
        </is>
      </c>
      <c r="H283" s="43">
        <f>IF(AND(TRUE(),D283&lt;=TARGET_LEVEL_NUM),"Applicable","N/A")</f>
        <v/>
      </c>
      <c r="I283" s="40" t="inlineStr">
        <is>
          <t>IaC scanning + configuration review</t>
        </is>
      </c>
      <c r="J283" s="40" t="inlineStr">
        <is>
          <t>Deterministic, continuous</t>
        </is>
      </c>
      <c r="K283" s="42" t="inlineStr">
        <is>
          <t>Pipeline</t>
        </is>
      </c>
      <c r="L283" s="42" t="inlineStr">
        <is>
          <t>Not assessed</t>
        </is>
      </c>
      <c r="M283" s="40" t="n"/>
      <c r="N283" s="40" t="n"/>
      <c r="O283" s="42" t="inlineStr">
        <is>
          <t>Low</t>
        </is>
      </c>
      <c r="P283" s="43">
        <f>IF(H283="N/A","N/A",INDEX(CRIT_MATRIX,MATCH(O283,CRIT_MATRIX_ROWS,0),MATCH(APP_RISK_TIER,CRIT_MATRIX_COLS,0)))</f>
        <v/>
      </c>
    </row>
    <row r="284" ht="39.75" customHeight="1" s="19">
      <c r="A284" s="42" t="inlineStr">
        <is>
          <t>V13.4.5</t>
        </is>
      </c>
      <c r="B284" s="40" t="inlineStr">
        <is>
          <t>V13 - Configuration</t>
        </is>
      </c>
      <c r="C284" s="40" t="inlineStr">
        <is>
          <t>V13.4 - Unintended Information Leakage</t>
        </is>
      </c>
      <c r="D284" s="42" t="n">
        <v>2</v>
      </c>
      <c r="E284" s="40" t="inlineStr">
        <is>
          <t>Verify that documentation (such as for internal APIs) and monitoring endpoints are not exposed unless explicitly intended.</t>
        </is>
      </c>
      <c r="F284" s="40" t="inlineStr">
        <is>
          <t>Always</t>
        </is>
      </c>
      <c r="G284" s="42" t="inlineStr">
        <is>
          <t>TRUE</t>
        </is>
      </c>
      <c r="H284" s="43">
        <f>IF(AND(TRUE(),D284&lt;=TARGET_LEVEL_NUM),"Applicable","N/A")</f>
        <v/>
      </c>
      <c r="I284" s="40" t="inlineStr">
        <is>
          <t>IaC scanning + configuration review</t>
        </is>
      </c>
      <c r="J284" s="40" t="inlineStr">
        <is>
          <t>Deterministic, continuous</t>
        </is>
      </c>
      <c r="K284" s="42" t="inlineStr">
        <is>
          <t>Pipeline</t>
        </is>
      </c>
      <c r="L284" s="42" t="inlineStr">
        <is>
          <t>Not assessed</t>
        </is>
      </c>
      <c r="M284" s="40" t="n"/>
      <c r="N284" s="40" t="n"/>
      <c r="O284" s="42" t="inlineStr">
        <is>
          <t>Low</t>
        </is>
      </c>
      <c r="P284" s="43">
        <f>IF(H284="N/A","N/A",INDEX(CRIT_MATRIX,MATCH(O284,CRIT_MATRIX_ROWS,0),MATCH(APP_RISK_TIER,CRIT_MATRIX_COLS,0)))</f>
        <v/>
      </c>
    </row>
    <row r="285" ht="39.75" customHeight="1" s="19">
      <c r="A285" s="42" t="inlineStr">
        <is>
          <t>V13.4.6</t>
        </is>
      </c>
      <c r="B285" s="40" t="inlineStr">
        <is>
          <t>V13 - Configuration</t>
        </is>
      </c>
      <c r="C285" s="40" t="inlineStr">
        <is>
          <t>V13.4 - Unintended Information Leakage</t>
        </is>
      </c>
      <c r="D285" s="42" t="n">
        <v>3</v>
      </c>
      <c r="E285" s="40" t="inlineStr">
        <is>
          <t>Verify that the application does not expose detailed version information of backend components.</t>
        </is>
      </c>
      <c r="F285" s="40" t="inlineStr">
        <is>
          <t>Always</t>
        </is>
      </c>
      <c r="G285" s="42" t="inlineStr">
        <is>
          <t>TRUE</t>
        </is>
      </c>
      <c r="H285" s="43">
        <f>IF(AND(TRUE(),D285&lt;=TARGET_LEVEL_NUM),"Applicable","N/A")</f>
        <v/>
      </c>
      <c r="I285" s="40" t="inlineStr">
        <is>
          <t>IaC scanning + configuration review</t>
        </is>
      </c>
      <c r="J285" s="40" t="inlineStr">
        <is>
          <t>Deterministic, continuous</t>
        </is>
      </c>
      <c r="K285" s="42" t="inlineStr">
        <is>
          <t>Pipeline</t>
        </is>
      </c>
      <c r="L285" s="42" t="inlineStr">
        <is>
          <t>Not assessed</t>
        </is>
      </c>
      <c r="M285" s="40" t="n"/>
      <c r="N285" s="40" t="n"/>
      <c r="O285" s="42" t="inlineStr">
        <is>
          <t>Low</t>
        </is>
      </c>
      <c r="P285" s="43">
        <f>IF(H285="N/A","N/A",INDEX(CRIT_MATRIX,MATCH(O285,CRIT_MATRIX_ROWS,0),MATCH(APP_RISK_TIER,CRIT_MATRIX_COLS,0)))</f>
        <v/>
      </c>
    </row>
    <row r="286" ht="39.75" customHeight="1" s="19">
      <c r="A286" s="42" t="inlineStr">
        <is>
          <t>V13.4.7</t>
        </is>
      </c>
      <c r="B286" s="40" t="inlineStr">
        <is>
          <t>V13 - Configuration</t>
        </is>
      </c>
      <c r="C286" s="40" t="inlineStr">
        <is>
          <t>V13.4 - Unintended Information Leakage</t>
        </is>
      </c>
      <c r="D286" s="42" t="n">
        <v>3</v>
      </c>
      <c r="E286" s="40" t="inlineStr">
        <is>
          <t>Verify that the web tier is configured to only serve files with specific file extensions to prevent unintentional information, configuration, and source code leakage.</t>
        </is>
      </c>
      <c r="F286" s="40" t="inlineStr">
        <is>
          <t>Always</t>
        </is>
      </c>
      <c r="G286" s="42" t="inlineStr">
        <is>
          <t>TRUE</t>
        </is>
      </c>
      <c r="H286" s="43">
        <f>IF(AND(TRUE(),D286&lt;=TARGET_LEVEL_NUM),"Applicable","N/A")</f>
        <v/>
      </c>
      <c r="I286" s="40" t="inlineStr">
        <is>
          <t>IaC scanning + configuration review</t>
        </is>
      </c>
      <c r="J286" s="40" t="inlineStr">
        <is>
          <t>Deterministic, continuous</t>
        </is>
      </c>
      <c r="K286" s="42" t="inlineStr">
        <is>
          <t>Pipeline</t>
        </is>
      </c>
      <c r="L286" s="42" t="inlineStr">
        <is>
          <t>Not assessed</t>
        </is>
      </c>
      <c r="M286" s="40" t="n"/>
      <c r="N286" s="40" t="n"/>
      <c r="O286" s="42" t="inlineStr">
        <is>
          <t>Low</t>
        </is>
      </c>
      <c r="P286" s="43">
        <f>IF(H286="N/A","N/A",INDEX(CRIT_MATRIX,MATCH(O286,CRIT_MATRIX_ROWS,0),MATCH(APP_RISK_TIER,CRIT_MATRIX_COLS,0)))</f>
        <v/>
      </c>
    </row>
    <row r="287" ht="39.75" customHeight="1" s="19">
      <c r="A287" s="42" t="inlineStr">
        <is>
          <t>V14.1.1</t>
        </is>
      </c>
      <c r="B287" s="40" t="inlineStr">
        <is>
          <t>V14 - Data Protection</t>
        </is>
      </c>
      <c r="C287" s="40" t="inlineStr">
        <is>
          <t>V14.1 - Data Protection Documentation</t>
        </is>
      </c>
      <c r="D287" s="42" t="n">
        <v>2</v>
      </c>
      <c r="E287" s="40" t="inlineStr">
        <is>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is>
      </c>
      <c r="F287" s="40" t="inlineStr">
        <is>
          <t>If processes sensitive data</t>
        </is>
      </c>
      <c r="G287" s="42" t="inlineStr">
        <is>
          <t>OR(DATA_SENSITIVITY="Confidential",DATA_SENSITIVITY="Regulated")</t>
        </is>
      </c>
      <c r="H287" s="43">
        <f>IF(AND(OR(DATA_SENSITIVITY="Confidential",DATA_SENSITIVITY="Regulated"),D287&lt;=TARGET_LEVEL_NUM),"Applicable","N/A")</f>
        <v/>
      </c>
      <c r="I287" s="40" t="inlineStr">
        <is>
          <t>Architecture / documentation review</t>
        </is>
      </c>
      <c r="J287" s="40" t="inlineStr">
        <is>
          <t>Sampled, periodic</t>
        </is>
      </c>
      <c r="K287" s="42" t="inlineStr">
        <is>
          <t>Design/Governance</t>
        </is>
      </c>
      <c r="L287" s="42" t="inlineStr">
        <is>
          <t>Not assessed</t>
        </is>
      </c>
      <c r="M287" s="40" t="n"/>
      <c r="N287" s="40" t="n"/>
      <c r="O287" s="42" t="inlineStr">
        <is>
          <t>High</t>
        </is>
      </c>
      <c r="P287" s="43">
        <f>IF(H287="N/A","N/A",INDEX(CRIT_MATRIX,MATCH(O287,CRIT_MATRIX_ROWS,0),MATCH(APP_RISK_TIER,CRIT_MATRIX_COLS,0)))</f>
        <v/>
      </c>
    </row>
    <row r="288" ht="39.75" customHeight="1" s="19">
      <c r="A288" s="42" t="inlineStr">
        <is>
          <t>V14.1.2</t>
        </is>
      </c>
      <c r="B288" s="40" t="inlineStr">
        <is>
          <t>V14 - Data Protection</t>
        </is>
      </c>
      <c r="C288" s="40" t="inlineStr">
        <is>
          <t>V14.1 - Data Protection Documentation</t>
        </is>
      </c>
      <c r="D288" s="42" t="n">
        <v>2</v>
      </c>
      <c r="E288" s="40" t="inlineStr">
        <is>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is>
      </c>
      <c r="F288" s="40" t="inlineStr">
        <is>
          <t>If processes sensitive data</t>
        </is>
      </c>
      <c r="G288" s="42" t="inlineStr">
        <is>
          <t>OR(DATA_SENSITIVITY="Confidential",DATA_SENSITIVITY="Regulated")</t>
        </is>
      </c>
      <c r="H288" s="43">
        <f>IF(AND(OR(DATA_SENSITIVITY="Confidential",DATA_SENSITIVITY="Regulated"),D288&lt;=TARGET_LEVEL_NUM),"Applicable","N/A")</f>
        <v/>
      </c>
      <c r="I288" s="40" t="inlineStr">
        <is>
          <t>Architecture / documentation review</t>
        </is>
      </c>
      <c r="J288" s="40" t="inlineStr">
        <is>
          <t>Sampled, periodic</t>
        </is>
      </c>
      <c r="K288" s="42" t="inlineStr">
        <is>
          <t>Design/Governance</t>
        </is>
      </c>
      <c r="L288" s="42" t="inlineStr">
        <is>
          <t>Not assessed</t>
        </is>
      </c>
      <c r="M288" s="40" t="n"/>
      <c r="N288" s="40" t="n"/>
      <c r="O288" s="42" t="inlineStr">
        <is>
          <t>High</t>
        </is>
      </c>
      <c r="P288" s="43">
        <f>IF(H288="N/A","N/A",INDEX(CRIT_MATRIX,MATCH(O288,CRIT_MATRIX_ROWS,0),MATCH(APP_RISK_TIER,CRIT_MATRIX_COLS,0)))</f>
        <v/>
      </c>
    </row>
    <row r="289" ht="39.75" customHeight="1" s="19">
      <c r="A289" s="42" t="inlineStr">
        <is>
          <t>V14.2.1</t>
        </is>
      </c>
      <c r="B289" s="40" t="inlineStr">
        <is>
          <t>V14 - Data Protection</t>
        </is>
      </c>
      <c r="C289" s="40" t="inlineStr">
        <is>
          <t>V14.2 - General Data Protection</t>
        </is>
      </c>
      <c r="D289" s="42" t="n">
        <v>1</v>
      </c>
      <c r="E289" s="40" t="inlineStr">
        <is>
          <t>Verify that sensitive data is only sent to the server in the HTTP message body or header fields, and that the URL and query string do not contain sensitive information, such as an API key or session token.</t>
        </is>
      </c>
      <c r="F289" s="40" t="inlineStr">
        <is>
          <t>If processes sensitive data</t>
        </is>
      </c>
      <c r="G289" s="42" t="inlineStr">
        <is>
          <t>OR(DATA_SENSITIVITY="Confidential",DATA_SENSITIVITY="Regulated")</t>
        </is>
      </c>
      <c r="H289" s="43">
        <f>IF(AND(OR(DATA_SENSITIVITY="Confidential",DATA_SENSITIVITY="Regulated"),D289&lt;=TARGET_LEVEL_NUM),"Applicable","N/A")</f>
        <v/>
      </c>
      <c r="I289" s="40" t="inlineStr">
        <is>
          <t>SAST + architecture review</t>
        </is>
      </c>
      <c r="J289" s="40" t="inlineStr">
        <is>
          <t>Mixed</t>
        </is>
      </c>
      <c r="K289" s="42" t="inlineStr">
        <is>
          <t>Design/Pipeline</t>
        </is>
      </c>
      <c r="L289" s="42" t="inlineStr">
        <is>
          <t>Not assessed</t>
        </is>
      </c>
      <c r="M289" s="40" t="n"/>
      <c r="N289" s="40" t="n"/>
      <c r="O289" s="42" t="inlineStr">
        <is>
          <t>High</t>
        </is>
      </c>
      <c r="P289" s="43">
        <f>IF(H289="N/A","N/A",INDEX(CRIT_MATRIX,MATCH(O289,CRIT_MATRIX_ROWS,0),MATCH(APP_RISK_TIER,CRIT_MATRIX_COLS,0)))</f>
        <v/>
      </c>
    </row>
    <row r="290" ht="39.75" customHeight="1" s="19">
      <c r="A290" s="42" t="inlineStr">
        <is>
          <t>V14.2.2</t>
        </is>
      </c>
      <c r="B290" s="40" t="inlineStr">
        <is>
          <t>V14 - Data Protection</t>
        </is>
      </c>
      <c r="C290" s="40" t="inlineStr">
        <is>
          <t>V14.2 - General Data Protection</t>
        </is>
      </c>
      <c r="D290" s="42" t="n">
        <v>2</v>
      </c>
      <c r="E290" s="40" t="inlineStr">
        <is>
          <t>Verify that the application prevents sensitive data from being cached in server components, such as load balancers and application caches, or ensures that the data is securely purged after use.</t>
        </is>
      </c>
      <c r="F290" s="40" t="inlineStr">
        <is>
          <t>If processes sensitive data</t>
        </is>
      </c>
      <c r="G290" s="42" t="inlineStr">
        <is>
          <t>OR(DATA_SENSITIVITY="Confidential",DATA_SENSITIVITY="Regulated")</t>
        </is>
      </c>
      <c r="H290" s="43">
        <f>IF(AND(OR(DATA_SENSITIVITY="Confidential",DATA_SENSITIVITY="Regulated"),D290&lt;=TARGET_LEVEL_NUM),"Applicable","N/A")</f>
        <v/>
      </c>
      <c r="I290" s="40" t="inlineStr">
        <is>
          <t>SAST + architecture review</t>
        </is>
      </c>
      <c r="J290" s="40" t="inlineStr">
        <is>
          <t>Mixed</t>
        </is>
      </c>
      <c r="K290" s="42" t="inlineStr">
        <is>
          <t>Design/Pipeline</t>
        </is>
      </c>
      <c r="L290" s="42" t="inlineStr">
        <is>
          <t>Not assessed</t>
        </is>
      </c>
      <c r="M290" s="40" t="n"/>
      <c r="N290" s="40" t="n"/>
      <c r="O290" s="42" t="inlineStr">
        <is>
          <t>High</t>
        </is>
      </c>
      <c r="P290" s="43">
        <f>IF(H290="N/A","N/A",INDEX(CRIT_MATRIX,MATCH(O290,CRIT_MATRIX_ROWS,0),MATCH(APP_RISK_TIER,CRIT_MATRIX_COLS,0)))</f>
        <v/>
      </c>
    </row>
    <row r="291" ht="39.75" customHeight="1" s="19">
      <c r="A291" s="42" t="inlineStr">
        <is>
          <t>V14.2.3</t>
        </is>
      </c>
      <c r="B291" s="40" t="inlineStr">
        <is>
          <t>V14 - Data Protection</t>
        </is>
      </c>
      <c r="C291" s="40" t="inlineStr">
        <is>
          <t>V14.2 - General Data Protection</t>
        </is>
      </c>
      <c r="D291" s="42" t="n">
        <v>2</v>
      </c>
      <c r="E291" s="40" t="inlineStr">
        <is>
          <t>Verify that defined sensitive data is not sent to untrusted parties (e.g., user trackers) to prevent unwanted collection of data outside of the application's control.</t>
        </is>
      </c>
      <c r="F291" s="40" t="inlineStr">
        <is>
          <t>If processes sensitive data</t>
        </is>
      </c>
      <c r="G291" s="42" t="inlineStr">
        <is>
          <t>OR(DATA_SENSITIVITY="Confidential",DATA_SENSITIVITY="Regulated")</t>
        </is>
      </c>
      <c r="H291" s="43">
        <f>IF(AND(OR(DATA_SENSITIVITY="Confidential",DATA_SENSITIVITY="Regulated"),D291&lt;=TARGET_LEVEL_NUM),"Applicable","N/A")</f>
        <v/>
      </c>
      <c r="I291" s="40" t="inlineStr">
        <is>
          <t>SAST + architecture review</t>
        </is>
      </c>
      <c r="J291" s="40" t="inlineStr">
        <is>
          <t>Mixed</t>
        </is>
      </c>
      <c r="K291" s="42" t="inlineStr">
        <is>
          <t>Design/Pipeline</t>
        </is>
      </c>
      <c r="L291" s="42" t="inlineStr">
        <is>
          <t>Not assessed</t>
        </is>
      </c>
      <c r="M291" s="40" t="n"/>
      <c r="N291" s="40" t="n"/>
      <c r="O291" s="42" t="inlineStr">
        <is>
          <t>High</t>
        </is>
      </c>
      <c r="P291" s="43">
        <f>IF(H291="N/A","N/A",INDEX(CRIT_MATRIX,MATCH(O291,CRIT_MATRIX_ROWS,0),MATCH(APP_RISK_TIER,CRIT_MATRIX_COLS,0)))</f>
        <v/>
      </c>
    </row>
    <row r="292" ht="39.75" customHeight="1" s="19">
      <c r="A292" s="42" t="inlineStr">
        <is>
          <t>V14.2.4</t>
        </is>
      </c>
      <c r="B292" s="40" t="inlineStr">
        <is>
          <t>V14 - Data Protection</t>
        </is>
      </c>
      <c r="C292" s="40" t="inlineStr">
        <is>
          <t>V14.2 - General Data Protection</t>
        </is>
      </c>
      <c r="D292" s="42" t="n">
        <v>2</v>
      </c>
      <c r="E292" s="40" t="inlineStr">
        <is>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is>
      </c>
      <c r="F292" s="40" t="inlineStr">
        <is>
          <t>If processes sensitive data</t>
        </is>
      </c>
      <c r="G292" s="42" t="inlineStr">
        <is>
          <t>OR(DATA_SENSITIVITY="Confidential",DATA_SENSITIVITY="Regulated")</t>
        </is>
      </c>
      <c r="H292" s="43">
        <f>IF(AND(OR(DATA_SENSITIVITY="Confidential",DATA_SENSITIVITY="Regulated"),D292&lt;=TARGET_LEVEL_NUM),"Applicable","N/A")</f>
        <v/>
      </c>
      <c r="I292" s="40" t="inlineStr">
        <is>
          <t>SAST + architecture review</t>
        </is>
      </c>
      <c r="J292" s="40" t="inlineStr">
        <is>
          <t>Mixed</t>
        </is>
      </c>
      <c r="K292" s="42" t="inlineStr">
        <is>
          <t>Design/Pipeline</t>
        </is>
      </c>
      <c r="L292" s="42" t="inlineStr">
        <is>
          <t>Not assessed</t>
        </is>
      </c>
      <c r="M292" s="40" t="n"/>
      <c r="N292" s="40" t="n"/>
      <c r="O292" s="42" t="inlineStr">
        <is>
          <t>High</t>
        </is>
      </c>
      <c r="P292" s="43">
        <f>IF(H292="N/A","N/A",INDEX(CRIT_MATRIX,MATCH(O292,CRIT_MATRIX_ROWS,0),MATCH(APP_RISK_TIER,CRIT_MATRIX_COLS,0)))</f>
        <v/>
      </c>
    </row>
    <row r="293" ht="39.75" customHeight="1" s="19">
      <c r="A293" s="42" t="inlineStr">
        <is>
          <t>V14.2.5</t>
        </is>
      </c>
      <c r="B293" s="40" t="inlineStr">
        <is>
          <t>V14 - Data Protection</t>
        </is>
      </c>
      <c r="C293" s="40" t="inlineStr">
        <is>
          <t>V14.2 - General Data Protection</t>
        </is>
      </c>
      <c r="D293" s="42" t="n">
        <v>3</v>
      </c>
      <c r="E293" s="40" t="inlineStr">
        <is>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is>
      </c>
      <c r="F293" s="40" t="inlineStr">
        <is>
          <t>If processes sensitive data</t>
        </is>
      </c>
      <c r="G293" s="42" t="inlineStr">
        <is>
          <t>OR(DATA_SENSITIVITY="Confidential",DATA_SENSITIVITY="Regulated")</t>
        </is>
      </c>
      <c r="H293" s="43">
        <f>IF(AND(OR(DATA_SENSITIVITY="Confidential",DATA_SENSITIVITY="Regulated"),D293&lt;=TARGET_LEVEL_NUM),"Applicable","N/A")</f>
        <v/>
      </c>
      <c r="I293" s="40" t="inlineStr">
        <is>
          <t>SAST + architecture review</t>
        </is>
      </c>
      <c r="J293" s="40" t="inlineStr">
        <is>
          <t>Mixed</t>
        </is>
      </c>
      <c r="K293" s="42" t="inlineStr">
        <is>
          <t>Design/Pipeline</t>
        </is>
      </c>
      <c r="L293" s="42" t="inlineStr">
        <is>
          <t>Not assessed</t>
        </is>
      </c>
      <c r="M293" s="40" t="n"/>
      <c r="N293" s="40" t="n"/>
      <c r="O293" s="42" t="inlineStr">
        <is>
          <t>High</t>
        </is>
      </c>
      <c r="P293" s="43">
        <f>IF(H293="N/A","N/A",INDEX(CRIT_MATRIX,MATCH(O293,CRIT_MATRIX_ROWS,0),MATCH(APP_RISK_TIER,CRIT_MATRIX_COLS,0)))</f>
        <v/>
      </c>
    </row>
    <row r="294" ht="39.75" customHeight="1" s="19">
      <c r="A294" s="42" t="inlineStr">
        <is>
          <t>V14.2.6</t>
        </is>
      </c>
      <c r="B294" s="40" t="inlineStr">
        <is>
          <t>V14 - Data Protection</t>
        </is>
      </c>
      <c r="C294" s="40" t="inlineStr">
        <is>
          <t>V14.2 - General Data Protection</t>
        </is>
      </c>
      <c r="D294" s="42" t="n">
        <v>3</v>
      </c>
      <c r="E294" s="40" t="inlineStr">
        <is>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is>
      </c>
      <c r="F294" s="40" t="inlineStr">
        <is>
          <t>If processes sensitive data</t>
        </is>
      </c>
      <c r="G294" s="42" t="inlineStr">
        <is>
          <t>OR(DATA_SENSITIVITY="Confidential",DATA_SENSITIVITY="Regulated")</t>
        </is>
      </c>
      <c r="H294" s="43">
        <f>IF(AND(OR(DATA_SENSITIVITY="Confidential",DATA_SENSITIVITY="Regulated"),D294&lt;=TARGET_LEVEL_NUM),"Applicable","N/A")</f>
        <v/>
      </c>
      <c r="I294" s="40" t="inlineStr">
        <is>
          <t>SAST + architecture review</t>
        </is>
      </c>
      <c r="J294" s="40" t="inlineStr">
        <is>
          <t>Mixed</t>
        </is>
      </c>
      <c r="K294" s="42" t="inlineStr">
        <is>
          <t>Design/Pipeline</t>
        </is>
      </c>
      <c r="L294" s="42" t="inlineStr">
        <is>
          <t>Not assessed</t>
        </is>
      </c>
      <c r="M294" s="40" t="n"/>
      <c r="N294" s="40" t="n"/>
      <c r="O294" s="42" t="inlineStr">
        <is>
          <t>High</t>
        </is>
      </c>
      <c r="P294" s="43">
        <f>IF(H294="N/A","N/A",INDEX(CRIT_MATRIX,MATCH(O294,CRIT_MATRIX_ROWS,0),MATCH(APP_RISK_TIER,CRIT_MATRIX_COLS,0)))</f>
        <v/>
      </c>
    </row>
    <row r="295" ht="39.75" customHeight="1" s="19">
      <c r="A295" s="42" t="inlineStr">
        <is>
          <t>V14.2.7</t>
        </is>
      </c>
      <c r="B295" s="40" t="inlineStr">
        <is>
          <t>V14 - Data Protection</t>
        </is>
      </c>
      <c r="C295" s="40" t="inlineStr">
        <is>
          <t>V14.2 - General Data Protection</t>
        </is>
      </c>
      <c r="D295" s="42" t="n">
        <v>3</v>
      </c>
      <c r="E295" s="40" t="inlineStr">
        <is>
          <t>Verify that sensitive information is subject to data retention classification, ensuring that outdated or unnecessary data is deleted automatically, on a defined schedule, or as the situation requires.</t>
        </is>
      </c>
      <c r="F295" s="40" t="inlineStr">
        <is>
          <t>If processes sensitive data</t>
        </is>
      </c>
      <c r="G295" s="42" t="inlineStr">
        <is>
          <t>OR(DATA_SENSITIVITY="Confidential",DATA_SENSITIVITY="Regulated")</t>
        </is>
      </c>
      <c r="H295" s="43">
        <f>IF(AND(OR(DATA_SENSITIVITY="Confidential",DATA_SENSITIVITY="Regulated"),D295&lt;=TARGET_LEVEL_NUM),"Applicable","N/A")</f>
        <v/>
      </c>
      <c r="I295" s="40" t="inlineStr">
        <is>
          <t>SAST + architecture review</t>
        </is>
      </c>
      <c r="J295" s="40" t="inlineStr">
        <is>
          <t>Mixed</t>
        </is>
      </c>
      <c r="K295" s="42" t="inlineStr">
        <is>
          <t>Design/Pipeline</t>
        </is>
      </c>
      <c r="L295" s="42" t="inlineStr">
        <is>
          <t>Not assessed</t>
        </is>
      </c>
      <c r="M295" s="40" t="n"/>
      <c r="N295" s="40" t="n"/>
      <c r="O295" s="42" t="inlineStr">
        <is>
          <t>High</t>
        </is>
      </c>
      <c r="P295" s="43">
        <f>IF(H295="N/A","N/A",INDEX(CRIT_MATRIX,MATCH(O295,CRIT_MATRIX_ROWS,0),MATCH(APP_RISK_TIER,CRIT_MATRIX_COLS,0)))</f>
        <v/>
      </c>
    </row>
    <row r="296" ht="39.75" customHeight="1" s="19">
      <c r="A296" s="42" t="inlineStr">
        <is>
          <t>V14.2.8</t>
        </is>
      </c>
      <c r="B296" s="40" t="inlineStr">
        <is>
          <t>V14 - Data Protection</t>
        </is>
      </c>
      <c r="C296" s="40" t="inlineStr">
        <is>
          <t>V14.2 - General Data Protection</t>
        </is>
      </c>
      <c r="D296" s="42" t="n">
        <v>3</v>
      </c>
      <c r="E296" s="40" t="inlineStr">
        <is>
          <t>Verify that sensitive information is removed from the metadata of user-submitted files unless storage is consented to by the user.</t>
        </is>
      </c>
      <c r="F296" s="40" t="inlineStr">
        <is>
          <t>If processes sensitive data</t>
        </is>
      </c>
      <c r="G296" s="42" t="inlineStr">
        <is>
          <t>OR(DATA_SENSITIVITY="Confidential",DATA_SENSITIVITY="Regulated")</t>
        </is>
      </c>
      <c r="H296" s="43">
        <f>IF(AND(OR(DATA_SENSITIVITY="Confidential",DATA_SENSITIVITY="Regulated"),D296&lt;=TARGET_LEVEL_NUM),"Applicable","N/A")</f>
        <v/>
      </c>
      <c r="I296" s="40" t="inlineStr">
        <is>
          <t>SAST + architecture review</t>
        </is>
      </c>
      <c r="J296" s="40" t="inlineStr">
        <is>
          <t>Mixed</t>
        </is>
      </c>
      <c r="K296" s="42" t="inlineStr">
        <is>
          <t>Design/Pipeline</t>
        </is>
      </c>
      <c r="L296" s="42" t="inlineStr">
        <is>
          <t>Not assessed</t>
        </is>
      </c>
      <c r="M296" s="40" t="n"/>
      <c r="N296" s="40" t="n"/>
      <c r="O296" s="42" t="inlineStr">
        <is>
          <t>High</t>
        </is>
      </c>
      <c r="P296" s="43">
        <f>IF(H296="N/A","N/A",INDEX(CRIT_MATRIX,MATCH(O296,CRIT_MATRIX_ROWS,0),MATCH(APP_RISK_TIER,CRIT_MATRIX_COLS,0)))</f>
        <v/>
      </c>
    </row>
    <row r="297" ht="39.75" customHeight="1" s="19">
      <c r="A297" s="42" t="inlineStr">
        <is>
          <t>V14.3.1</t>
        </is>
      </c>
      <c r="B297" s="40" t="inlineStr">
        <is>
          <t>V14 - Data Protection</t>
        </is>
      </c>
      <c r="C297" s="40" t="inlineStr">
        <is>
          <t>V14.3 - Client-side Data Protection</t>
        </is>
      </c>
      <c r="D297" s="42" t="n">
        <v>1</v>
      </c>
      <c r="E297" s="40" t="inlineStr">
        <is>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is>
      </c>
      <c r="F297" s="40" t="inlineStr">
        <is>
          <t>If processes sensitive data</t>
        </is>
      </c>
      <c r="G297" s="42" t="inlineStr">
        <is>
          <t>OR(DATA_SENSITIVITY="Confidential",DATA_SENSITIVITY="Regulated")</t>
        </is>
      </c>
      <c r="H297" s="43">
        <f>IF(AND(OR(DATA_SENSITIVITY="Confidential",DATA_SENSITIVITY="Regulated"),D297&lt;=TARGET_LEVEL_NUM),"Applicable","N/A")</f>
        <v/>
      </c>
      <c r="I297" s="40" t="inlineStr">
        <is>
          <t>SAST + architecture review</t>
        </is>
      </c>
      <c r="J297" s="40" t="inlineStr">
        <is>
          <t>Mixed</t>
        </is>
      </c>
      <c r="K297" s="42" t="inlineStr">
        <is>
          <t>Design/Pipeline</t>
        </is>
      </c>
      <c r="L297" s="42" t="inlineStr">
        <is>
          <t>Not assessed</t>
        </is>
      </c>
      <c r="M297" s="40" t="n"/>
      <c r="N297" s="40" t="n"/>
      <c r="O297" s="42" t="inlineStr">
        <is>
          <t>High</t>
        </is>
      </c>
      <c r="P297" s="43">
        <f>IF(H297="N/A","N/A",INDEX(CRIT_MATRIX,MATCH(O297,CRIT_MATRIX_ROWS,0),MATCH(APP_RISK_TIER,CRIT_MATRIX_COLS,0)))</f>
        <v/>
      </c>
    </row>
    <row r="298" ht="39.75" customHeight="1" s="19">
      <c r="A298" s="42" t="inlineStr">
        <is>
          <t>V14.3.2</t>
        </is>
      </c>
      <c r="B298" s="40" t="inlineStr">
        <is>
          <t>V14 - Data Protection</t>
        </is>
      </c>
      <c r="C298" s="40" t="inlineStr">
        <is>
          <t>V14.3 - Client-side Data Protection</t>
        </is>
      </c>
      <c r="D298" s="42" t="n">
        <v>2</v>
      </c>
      <c r="E298" s="40" t="inlineStr">
        <is>
          <t>Verify that the application sets sufficient anti-caching HTTP response header fields (i.e., Cache-Control: no-store) so that sensitive data is not cached in browsers.</t>
        </is>
      </c>
      <c r="F298" s="40" t="inlineStr">
        <is>
          <t>If processes sensitive data</t>
        </is>
      </c>
      <c r="G298" s="42" t="inlineStr">
        <is>
          <t>OR(DATA_SENSITIVITY="Confidential",DATA_SENSITIVITY="Regulated")</t>
        </is>
      </c>
      <c r="H298" s="43">
        <f>IF(AND(OR(DATA_SENSITIVITY="Confidential",DATA_SENSITIVITY="Regulated"),D298&lt;=TARGET_LEVEL_NUM),"Applicable","N/A")</f>
        <v/>
      </c>
      <c r="I298" s="40" t="inlineStr">
        <is>
          <t>SAST + architecture review</t>
        </is>
      </c>
      <c r="J298" s="40" t="inlineStr">
        <is>
          <t>Mixed</t>
        </is>
      </c>
      <c r="K298" s="42" t="inlineStr">
        <is>
          <t>Design/Pipeline</t>
        </is>
      </c>
      <c r="L298" s="42" t="inlineStr">
        <is>
          <t>Not assessed</t>
        </is>
      </c>
      <c r="M298" s="40" t="n"/>
      <c r="N298" s="40" t="n"/>
      <c r="O298" s="42" t="inlineStr">
        <is>
          <t>High</t>
        </is>
      </c>
      <c r="P298" s="43">
        <f>IF(H298="N/A","N/A",INDEX(CRIT_MATRIX,MATCH(O298,CRIT_MATRIX_ROWS,0),MATCH(APP_RISK_TIER,CRIT_MATRIX_COLS,0)))</f>
        <v/>
      </c>
    </row>
    <row r="299" ht="39.75" customHeight="1" s="19">
      <c r="A299" s="42" t="inlineStr">
        <is>
          <t>V14.3.3</t>
        </is>
      </c>
      <c r="B299" s="40" t="inlineStr">
        <is>
          <t>V14 - Data Protection</t>
        </is>
      </c>
      <c r="C299" s="40" t="inlineStr">
        <is>
          <t>V14.3 - Client-side Data Protection</t>
        </is>
      </c>
      <c r="D299" s="42" t="n">
        <v>2</v>
      </c>
      <c r="E299" s="40" t="inlineStr">
        <is>
          <t>Verify that data stored in browser storage (such as localStorage, sessionStorage, IndexedDB, or cookies) does not contain sensitive data, with the exception of session tokens.</t>
        </is>
      </c>
      <c r="F299" s="40" t="inlineStr">
        <is>
          <t>If processes sensitive data</t>
        </is>
      </c>
      <c r="G299" s="42" t="inlineStr">
        <is>
          <t>OR(DATA_SENSITIVITY="Confidential",DATA_SENSITIVITY="Regulated")</t>
        </is>
      </c>
      <c r="H299" s="43">
        <f>IF(AND(OR(DATA_SENSITIVITY="Confidential",DATA_SENSITIVITY="Regulated"),D299&lt;=TARGET_LEVEL_NUM),"Applicable","N/A")</f>
        <v/>
      </c>
      <c r="I299" s="40" t="inlineStr">
        <is>
          <t>SAST + architecture review</t>
        </is>
      </c>
      <c r="J299" s="40" t="inlineStr">
        <is>
          <t>Mixed</t>
        </is>
      </c>
      <c r="K299" s="42" t="inlineStr">
        <is>
          <t>Design/Pipeline</t>
        </is>
      </c>
      <c r="L299" s="42" t="inlineStr">
        <is>
          <t>Not assessed</t>
        </is>
      </c>
      <c r="M299" s="40" t="n"/>
      <c r="N299" s="40" t="n"/>
      <c r="O299" s="42" t="inlineStr">
        <is>
          <t>High</t>
        </is>
      </c>
      <c r="P299" s="43">
        <f>IF(H299="N/A","N/A",INDEX(CRIT_MATRIX,MATCH(O299,CRIT_MATRIX_ROWS,0),MATCH(APP_RISK_TIER,CRIT_MATRIX_COLS,0)))</f>
        <v/>
      </c>
    </row>
    <row r="300" ht="39.75" customHeight="1" s="19">
      <c r="A300" s="42" t="inlineStr">
        <is>
          <t>V15.1.1</t>
        </is>
      </c>
      <c r="B300" s="40" t="inlineStr">
        <is>
          <t>V15 - Secure Coding and Architecture</t>
        </is>
      </c>
      <c r="C300" s="40" t="inlineStr">
        <is>
          <t>V15.1 - Secure Coding and Architecture Documentation</t>
        </is>
      </c>
      <c r="D300" s="42" t="n">
        <v>1</v>
      </c>
      <c r="E300" s="40" t="inlineStr">
        <is>
          <t>Verify that application documentation defines risk based remediation time frames for 3rd party component versions with vulnerabilities and for updating libraries in general, to minimize the risk from these components.</t>
        </is>
      </c>
      <c r="F300" s="40" t="inlineStr">
        <is>
          <t>Always</t>
        </is>
      </c>
      <c r="G300" s="42" t="inlineStr">
        <is>
          <t>TRUE</t>
        </is>
      </c>
      <c r="H300" s="43">
        <f>IF(AND(TRUE(),D300&lt;=TARGET_LEVEL_NUM),"Applicable","N/A")</f>
        <v/>
      </c>
      <c r="I300" s="40" t="inlineStr">
        <is>
          <t>Architecture / documentation review</t>
        </is>
      </c>
      <c r="J300" s="40" t="inlineStr">
        <is>
          <t>Sampled, periodic</t>
        </is>
      </c>
      <c r="K300" s="42" t="inlineStr">
        <is>
          <t>Design/Governance</t>
        </is>
      </c>
      <c r="L300" s="42" t="inlineStr">
        <is>
          <t>Not assessed</t>
        </is>
      </c>
      <c r="M300" s="40" t="n"/>
      <c r="N300" s="40" t="n"/>
      <c r="O300" s="42" t="inlineStr">
        <is>
          <t>Medium</t>
        </is>
      </c>
      <c r="P300" s="43">
        <f>IF(H300="N/A","N/A",INDEX(CRIT_MATRIX,MATCH(O300,CRIT_MATRIX_ROWS,0),MATCH(APP_RISK_TIER,CRIT_MATRIX_COLS,0)))</f>
        <v/>
      </c>
    </row>
    <row r="301" ht="39.75" customHeight="1" s="19">
      <c r="A301" s="42" t="inlineStr">
        <is>
          <t>V15.1.2</t>
        </is>
      </c>
      <c r="B301" s="40" t="inlineStr">
        <is>
          <t>V15 - Secure Coding and Architecture</t>
        </is>
      </c>
      <c r="C301" s="40" t="inlineStr">
        <is>
          <t>V15.1 - Secure Coding and Architecture Documentation</t>
        </is>
      </c>
      <c r="D301" s="42" t="n">
        <v>2</v>
      </c>
      <c r="E301" s="40" t="inlineStr">
        <is>
          <t>Verify that an inventory catalog, such as software bill of materials (SBOM), is maintained of all third-party libraries in use, including verifying that components come from pre-defined, trusted, and continually maintained repositories.</t>
        </is>
      </c>
      <c r="F301" s="40" t="inlineStr">
        <is>
          <t>Always</t>
        </is>
      </c>
      <c r="G301" s="42" t="inlineStr">
        <is>
          <t>TRUE</t>
        </is>
      </c>
      <c r="H301" s="43">
        <f>IF(AND(TRUE(),D301&lt;=TARGET_LEVEL_NUM),"Applicable","N/A")</f>
        <v/>
      </c>
      <c r="I301" s="40" t="inlineStr">
        <is>
          <t>Architecture / documentation review</t>
        </is>
      </c>
      <c r="J301" s="40" t="inlineStr">
        <is>
          <t>Sampled, periodic</t>
        </is>
      </c>
      <c r="K301" s="42" t="inlineStr">
        <is>
          <t>Design/Governance</t>
        </is>
      </c>
      <c r="L301" s="42" t="inlineStr">
        <is>
          <t>Not assessed</t>
        </is>
      </c>
      <c r="M301" s="40" t="n"/>
      <c r="N301" s="40" t="n"/>
      <c r="O301" s="42" t="inlineStr">
        <is>
          <t>Medium</t>
        </is>
      </c>
      <c r="P301" s="43">
        <f>IF(H301="N/A","N/A",INDEX(CRIT_MATRIX,MATCH(O301,CRIT_MATRIX_ROWS,0),MATCH(APP_RISK_TIER,CRIT_MATRIX_COLS,0)))</f>
        <v/>
      </c>
    </row>
    <row r="302" ht="39.75" customHeight="1" s="19">
      <c r="A302" s="42" t="inlineStr">
        <is>
          <t>V15.1.3</t>
        </is>
      </c>
      <c r="B302" s="40" t="inlineStr">
        <is>
          <t>V15 - Secure Coding and Architecture</t>
        </is>
      </c>
      <c r="C302" s="40" t="inlineStr">
        <is>
          <t>V15.1 - Secure Coding and Architecture Documentation</t>
        </is>
      </c>
      <c r="D302" s="42" t="n">
        <v>2</v>
      </c>
      <c r="E302" s="40" t="inlineStr">
        <is>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is>
      </c>
      <c r="F302" s="40" t="inlineStr">
        <is>
          <t>Always</t>
        </is>
      </c>
      <c r="G302" s="42" t="inlineStr">
        <is>
          <t>TRUE</t>
        </is>
      </c>
      <c r="H302" s="43">
        <f>IF(AND(TRUE(),D302&lt;=TARGET_LEVEL_NUM),"Applicable","N/A")</f>
        <v/>
      </c>
      <c r="I302" s="40" t="inlineStr">
        <is>
          <t>Architecture / documentation review</t>
        </is>
      </c>
      <c r="J302" s="40" t="inlineStr">
        <is>
          <t>Sampled, periodic</t>
        </is>
      </c>
      <c r="K302" s="42" t="inlineStr">
        <is>
          <t>Design/Governance</t>
        </is>
      </c>
      <c r="L302" s="42" t="inlineStr">
        <is>
          <t>Not assessed</t>
        </is>
      </c>
      <c r="M302" s="40" t="n"/>
      <c r="N302" s="40" t="n"/>
      <c r="O302" s="42" t="inlineStr">
        <is>
          <t>Medium</t>
        </is>
      </c>
      <c r="P302" s="43">
        <f>IF(H302="N/A","N/A",INDEX(CRIT_MATRIX,MATCH(O302,CRIT_MATRIX_ROWS,0),MATCH(APP_RISK_TIER,CRIT_MATRIX_COLS,0)))</f>
        <v/>
      </c>
    </row>
    <row r="303" ht="39.75" customHeight="1" s="19">
      <c r="A303" s="42" t="inlineStr">
        <is>
          <t>V15.1.4</t>
        </is>
      </c>
      <c r="B303" s="40" t="inlineStr">
        <is>
          <t>V15 - Secure Coding and Architecture</t>
        </is>
      </c>
      <c r="C303" s="40" t="inlineStr">
        <is>
          <t>V15.1 - Secure Coding and Architecture Documentation</t>
        </is>
      </c>
      <c r="D303" s="42" t="n">
        <v>3</v>
      </c>
      <c r="E303" s="40" t="inlineStr">
        <is>
          <t>Verify that application documentation highlights third-party libraries which are considered to be "risky components".</t>
        </is>
      </c>
      <c r="F303" s="40" t="inlineStr">
        <is>
          <t>Always</t>
        </is>
      </c>
      <c r="G303" s="42" t="inlineStr">
        <is>
          <t>TRUE</t>
        </is>
      </c>
      <c r="H303" s="43">
        <f>IF(AND(TRUE(),D303&lt;=TARGET_LEVEL_NUM),"Applicable","N/A")</f>
        <v/>
      </c>
      <c r="I303" s="40" t="inlineStr">
        <is>
          <t>Architecture / documentation review</t>
        </is>
      </c>
      <c r="J303" s="40" t="inlineStr">
        <is>
          <t>Sampled, periodic</t>
        </is>
      </c>
      <c r="K303" s="42" t="inlineStr">
        <is>
          <t>Design/Governance</t>
        </is>
      </c>
      <c r="L303" s="42" t="inlineStr">
        <is>
          <t>Not assessed</t>
        </is>
      </c>
      <c r="M303" s="40" t="n"/>
      <c r="N303" s="40" t="n"/>
      <c r="O303" s="42" t="inlineStr">
        <is>
          <t>Medium</t>
        </is>
      </c>
      <c r="P303" s="43">
        <f>IF(H303="N/A","N/A",INDEX(CRIT_MATRIX,MATCH(O303,CRIT_MATRIX_ROWS,0),MATCH(APP_RISK_TIER,CRIT_MATRIX_COLS,0)))</f>
        <v/>
      </c>
    </row>
    <row r="304" ht="39.75" customHeight="1" s="19">
      <c r="A304" s="42" t="inlineStr">
        <is>
          <t>V15.1.5</t>
        </is>
      </c>
      <c r="B304" s="40" t="inlineStr">
        <is>
          <t>V15 - Secure Coding and Architecture</t>
        </is>
      </c>
      <c r="C304" s="40" t="inlineStr">
        <is>
          <t>V15.1 - Secure Coding and Architecture Documentation</t>
        </is>
      </c>
      <c r="D304" s="42" t="n">
        <v>3</v>
      </c>
      <c r="E304" s="40" t="inlineStr">
        <is>
          <t>Verify that application documentation highlights parts of the application where "dangerous functionality" is being used.</t>
        </is>
      </c>
      <c r="F304" s="40" t="inlineStr">
        <is>
          <t>Always</t>
        </is>
      </c>
      <c r="G304" s="42" t="inlineStr">
        <is>
          <t>TRUE</t>
        </is>
      </c>
      <c r="H304" s="43">
        <f>IF(AND(TRUE(),D304&lt;=TARGET_LEVEL_NUM),"Applicable","N/A")</f>
        <v/>
      </c>
      <c r="I304" s="40" t="inlineStr">
        <is>
          <t>Architecture / documentation review</t>
        </is>
      </c>
      <c r="J304" s="40" t="inlineStr">
        <is>
          <t>Sampled, periodic</t>
        </is>
      </c>
      <c r="K304" s="42" t="inlineStr">
        <is>
          <t>Design/Governance</t>
        </is>
      </c>
      <c r="L304" s="42" t="inlineStr">
        <is>
          <t>Not assessed</t>
        </is>
      </c>
      <c r="M304" s="40" t="n"/>
      <c r="N304" s="40" t="n"/>
      <c r="O304" s="42" t="inlineStr">
        <is>
          <t>Medium</t>
        </is>
      </c>
      <c r="P304" s="43">
        <f>IF(H304="N/A","N/A",INDEX(CRIT_MATRIX,MATCH(O304,CRIT_MATRIX_ROWS,0),MATCH(APP_RISK_TIER,CRIT_MATRIX_COLS,0)))</f>
        <v/>
      </c>
    </row>
    <row r="305" ht="39.75" customHeight="1" s="19">
      <c r="A305" s="42" t="inlineStr">
        <is>
          <t>V15.2.1</t>
        </is>
      </c>
      <c r="B305" s="40" t="inlineStr">
        <is>
          <t>V15 - Secure Coding and Architecture</t>
        </is>
      </c>
      <c r="C305" s="40" t="inlineStr">
        <is>
          <t>V15.2 - Security Architecture and Dependencies</t>
        </is>
      </c>
      <c r="D305" s="42" t="n">
        <v>1</v>
      </c>
      <c r="E305" s="40" t="inlineStr">
        <is>
          <t>Verify that the application only contains components which have not breached the documented update and remediation time frames.</t>
        </is>
      </c>
      <c r="F305" s="40" t="inlineStr">
        <is>
          <t>Always</t>
        </is>
      </c>
      <c r="G305" s="42" t="inlineStr">
        <is>
          <t>TRUE</t>
        </is>
      </c>
      <c r="H305" s="43">
        <f>IF(AND(TRUE(),D305&lt;=TARGET_LEVEL_NUM),"Applicable","N/A")</f>
        <v/>
      </c>
      <c r="I305" s="40" t="inlineStr">
        <is>
          <t>SCA + architecture review</t>
        </is>
      </c>
      <c r="J305" s="40" t="inlineStr">
        <is>
          <t>Deterministic, continuous</t>
        </is>
      </c>
      <c r="K305" s="42" t="inlineStr">
        <is>
          <t>Pipeline</t>
        </is>
      </c>
      <c r="L305" s="42" t="inlineStr">
        <is>
          <t>Not assessed</t>
        </is>
      </c>
      <c r="M305" s="40" t="n"/>
      <c r="N305" s="40" t="n"/>
      <c r="O305" s="42" t="inlineStr">
        <is>
          <t>Medium</t>
        </is>
      </c>
      <c r="P305" s="43">
        <f>IF(H305="N/A","N/A",INDEX(CRIT_MATRIX,MATCH(O305,CRIT_MATRIX_ROWS,0),MATCH(APP_RISK_TIER,CRIT_MATRIX_COLS,0)))</f>
        <v/>
      </c>
    </row>
    <row r="306" ht="39.75" customHeight="1" s="19">
      <c r="A306" s="42" t="inlineStr">
        <is>
          <t>V15.2.2</t>
        </is>
      </c>
      <c r="B306" s="40" t="inlineStr">
        <is>
          <t>V15 - Secure Coding and Architecture</t>
        </is>
      </c>
      <c r="C306" s="40" t="inlineStr">
        <is>
          <t>V15.2 - Security Architecture and Dependencies</t>
        </is>
      </c>
      <c r="D306" s="42" t="n">
        <v>2</v>
      </c>
      <c r="E306" s="40" t="inlineStr">
        <is>
          <t>Verify that the application has implemented defenses against loss of availability due to functionality which is time-consuming or resource-demanding, based on the documented security decisions and strategies for this.</t>
        </is>
      </c>
      <c r="F306" s="40" t="inlineStr">
        <is>
          <t>Always</t>
        </is>
      </c>
      <c r="G306" s="42" t="inlineStr">
        <is>
          <t>TRUE</t>
        </is>
      </c>
      <c r="H306" s="43">
        <f>IF(AND(TRUE(),D306&lt;=TARGET_LEVEL_NUM),"Applicable","N/A")</f>
        <v/>
      </c>
      <c r="I306" s="40" t="inlineStr">
        <is>
          <t>SCA + architecture review</t>
        </is>
      </c>
      <c r="J306" s="40" t="inlineStr">
        <is>
          <t>Deterministic, continuous</t>
        </is>
      </c>
      <c r="K306" s="42" t="inlineStr">
        <is>
          <t>Pipeline</t>
        </is>
      </c>
      <c r="L306" s="42" t="inlineStr">
        <is>
          <t>Not assessed</t>
        </is>
      </c>
      <c r="M306" s="40" t="n"/>
      <c r="N306" s="40" t="n"/>
      <c r="O306" s="42" t="inlineStr">
        <is>
          <t>Medium</t>
        </is>
      </c>
      <c r="P306" s="43">
        <f>IF(H306="N/A","N/A",INDEX(CRIT_MATRIX,MATCH(O306,CRIT_MATRIX_ROWS,0),MATCH(APP_RISK_TIER,CRIT_MATRIX_COLS,0)))</f>
        <v/>
      </c>
    </row>
    <row r="307" ht="39.75" customHeight="1" s="19">
      <c r="A307" s="42" t="inlineStr">
        <is>
          <t>V15.2.3</t>
        </is>
      </c>
      <c r="B307" s="40" t="inlineStr">
        <is>
          <t>V15 - Secure Coding and Architecture</t>
        </is>
      </c>
      <c r="C307" s="40" t="inlineStr">
        <is>
          <t>V15.2 - Security Architecture and Dependencies</t>
        </is>
      </c>
      <c r="D307" s="42" t="n">
        <v>2</v>
      </c>
      <c r="E307" s="40" t="inlineStr">
        <is>
          <t>Verify that the production environment only includes functionality that is required for the application to function, and does not expose extraneous functionality such as test code, sample snippets, and development functionality.</t>
        </is>
      </c>
      <c r="F307" s="40" t="inlineStr">
        <is>
          <t>Always</t>
        </is>
      </c>
      <c r="G307" s="42" t="inlineStr">
        <is>
          <t>TRUE</t>
        </is>
      </c>
      <c r="H307" s="43">
        <f>IF(AND(TRUE(),D307&lt;=TARGET_LEVEL_NUM),"Applicable","N/A")</f>
        <v/>
      </c>
      <c r="I307" s="40" t="inlineStr">
        <is>
          <t>SCA + architecture review</t>
        </is>
      </c>
      <c r="J307" s="40" t="inlineStr">
        <is>
          <t>Deterministic, continuous</t>
        </is>
      </c>
      <c r="K307" s="42" t="inlineStr">
        <is>
          <t>Pipeline</t>
        </is>
      </c>
      <c r="L307" s="42" t="inlineStr">
        <is>
          <t>Not assessed</t>
        </is>
      </c>
      <c r="M307" s="40" t="n"/>
      <c r="N307" s="40" t="n"/>
      <c r="O307" s="42" t="inlineStr">
        <is>
          <t>Medium</t>
        </is>
      </c>
      <c r="P307" s="43">
        <f>IF(H307="N/A","N/A",INDEX(CRIT_MATRIX,MATCH(O307,CRIT_MATRIX_ROWS,0),MATCH(APP_RISK_TIER,CRIT_MATRIX_COLS,0)))</f>
        <v/>
      </c>
    </row>
    <row r="308" ht="39.75" customHeight="1" s="19">
      <c r="A308" s="42" t="inlineStr">
        <is>
          <t>V15.2.4</t>
        </is>
      </c>
      <c r="B308" s="40" t="inlineStr">
        <is>
          <t>V15 - Secure Coding and Architecture</t>
        </is>
      </c>
      <c r="C308" s="40" t="inlineStr">
        <is>
          <t>V15.2 - Security Architecture and Dependencies</t>
        </is>
      </c>
      <c r="D308" s="42" t="n">
        <v>3</v>
      </c>
      <c r="E308" s="40" t="inlineStr">
        <is>
          <t>Verify that third-party components and all of their transitive dependencies are included from the expected repository, whether internally owned or an external source, and that there is no risk of a dependency confusion attack.</t>
        </is>
      </c>
      <c r="F308" s="40" t="inlineStr">
        <is>
          <t>Always</t>
        </is>
      </c>
      <c r="G308" s="42" t="inlineStr">
        <is>
          <t>TRUE</t>
        </is>
      </c>
      <c r="H308" s="43">
        <f>IF(AND(TRUE(),D308&lt;=TARGET_LEVEL_NUM),"Applicable","N/A")</f>
        <v/>
      </c>
      <c r="I308" s="40" t="inlineStr">
        <is>
          <t>SCA + architecture review</t>
        </is>
      </c>
      <c r="J308" s="40" t="inlineStr">
        <is>
          <t>Deterministic, continuous</t>
        </is>
      </c>
      <c r="K308" s="42" t="inlineStr">
        <is>
          <t>Pipeline</t>
        </is>
      </c>
      <c r="L308" s="42" t="inlineStr">
        <is>
          <t>Not assessed</t>
        </is>
      </c>
      <c r="M308" s="40" t="n"/>
      <c r="N308" s="40" t="n"/>
      <c r="O308" s="42" t="inlineStr">
        <is>
          <t>Medium</t>
        </is>
      </c>
      <c r="P308" s="43">
        <f>IF(H308="N/A","N/A",INDEX(CRIT_MATRIX,MATCH(O308,CRIT_MATRIX_ROWS,0),MATCH(APP_RISK_TIER,CRIT_MATRIX_COLS,0)))</f>
        <v/>
      </c>
    </row>
    <row r="309" ht="39.75" customHeight="1" s="19">
      <c r="A309" s="42" t="inlineStr">
        <is>
          <t>V15.2.5</t>
        </is>
      </c>
      <c r="B309" s="40" t="inlineStr">
        <is>
          <t>V15 - Secure Coding and Architecture</t>
        </is>
      </c>
      <c r="C309" s="40" t="inlineStr">
        <is>
          <t>V15.2 - Security Architecture and Dependencies</t>
        </is>
      </c>
      <c r="D309" s="42" t="n">
        <v>3</v>
      </c>
      <c r="E309" s="40" t="inlineStr">
        <is>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is>
      </c>
      <c r="F309" s="40" t="inlineStr">
        <is>
          <t>Always</t>
        </is>
      </c>
      <c r="G309" s="42" t="inlineStr">
        <is>
          <t>TRUE</t>
        </is>
      </c>
      <c r="H309" s="43">
        <f>IF(AND(TRUE(),D309&lt;=TARGET_LEVEL_NUM),"Applicable","N/A")</f>
        <v/>
      </c>
      <c r="I309" s="40" t="inlineStr">
        <is>
          <t>SCA + architecture review</t>
        </is>
      </c>
      <c r="J309" s="40" t="inlineStr">
        <is>
          <t>Deterministic, continuous</t>
        </is>
      </c>
      <c r="K309" s="42" t="inlineStr">
        <is>
          <t>Pipeline</t>
        </is>
      </c>
      <c r="L309" s="42" t="inlineStr">
        <is>
          <t>Not assessed</t>
        </is>
      </c>
      <c r="M309" s="40" t="n"/>
      <c r="N309" s="40" t="n"/>
      <c r="O309" s="42" t="inlineStr">
        <is>
          <t>Medium</t>
        </is>
      </c>
      <c r="P309" s="43">
        <f>IF(H309="N/A","N/A",INDEX(CRIT_MATRIX,MATCH(O309,CRIT_MATRIX_ROWS,0),MATCH(APP_RISK_TIER,CRIT_MATRIX_COLS,0)))</f>
        <v/>
      </c>
    </row>
    <row r="310" ht="39.75" customHeight="1" s="19">
      <c r="A310" s="42" t="inlineStr">
        <is>
          <t>V15.3.1</t>
        </is>
      </c>
      <c r="B310" s="40" t="inlineStr">
        <is>
          <t>V15 - Secure Coding and Architecture</t>
        </is>
      </c>
      <c r="C310" s="40" t="inlineStr">
        <is>
          <t>V15.3 - Defensive Coding</t>
        </is>
      </c>
      <c r="D310" s="42" t="n">
        <v>1</v>
      </c>
      <c r="E310" s="40" t="inlineStr">
        <is>
          <t>Verify that the application only returns the required subset of fields from a data object. For example, it should not return an entire data object, as some individual fields should not be accessible to users.</t>
        </is>
      </c>
      <c r="F310" s="40" t="inlineStr">
        <is>
          <t>Always</t>
        </is>
      </c>
      <c r="G310" s="42" t="inlineStr">
        <is>
          <t>TRUE</t>
        </is>
      </c>
      <c r="H310" s="43">
        <f>IF(AND(TRUE(),D310&lt;=TARGET_LEVEL_NUM),"Applicable","N/A")</f>
        <v/>
      </c>
      <c r="I310" s="40" t="inlineStr">
        <is>
          <t>SAST</t>
        </is>
      </c>
      <c r="J310" s="40" t="inlineStr">
        <is>
          <t>Deterministic, continuous</t>
        </is>
      </c>
      <c r="K310" s="42" t="inlineStr">
        <is>
          <t>Pipeline</t>
        </is>
      </c>
      <c r="L310" s="42" t="inlineStr">
        <is>
          <t>Not assessed</t>
        </is>
      </c>
      <c r="M310" s="40" t="n"/>
      <c r="N310" s="40" t="n"/>
      <c r="O310" s="42" t="inlineStr">
        <is>
          <t>Medium</t>
        </is>
      </c>
      <c r="P310" s="43">
        <f>IF(H310="N/A","N/A",INDEX(CRIT_MATRIX,MATCH(O310,CRIT_MATRIX_ROWS,0),MATCH(APP_RISK_TIER,CRIT_MATRIX_COLS,0)))</f>
        <v/>
      </c>
    </row>
    <row r="311" ht="39.75" customHeight="1" s="19">
      <c r="A311" s="42" t="inlineStr">
        <is>
          <t>V15.3.2</t>
        </is>
      </c>
      <c r="B311" s="40" t="inlineStr">
        <is>
          <t>V15 - Secure Coding and Architecture</t>
        </is>
      </c>
      <c r="C311" s="40" t="inlineStr">
        <is>
          <t>V15.3 - Defensive Coding</t>
        </is>
      </c>
      <c r="D311" s="42" t="n">
        <v>2</v>
      </c>
      <c r="E311" s="40" t="inlineStr">
        <is>
          <t>Verify that where the application backend makes calls to external URLs, it is configured to not follow redirects unless it is intended functionality.</t>
        </is>
      </c>
      <c r="F311" s="40" t="inlineStr">
        <is>
          <t>Always</t>
        </is>
      </c>
      <c r="G311" s="42" t="inlineStr">
        <is>
          <t>TRUE</t>
        </is>
      </c>
      <c r="H311" s="43">
        <f>IF(AND(TRUE(),D311&lt;=TARGET_LEVEL_NUM),"Applicable","N/A")</f>
        <v/>
      </c>
      <c r="I311" s="40" t="inlineStr">
        <is>
          <t>SAST</t>
        </is>
      </c>
      <c r="J311" s="40" t="inlineStr">
        <is>
          <t>Deterministic, continuous</t>
        </is>
      </c>
      <c r="K311" s="42" t="inlineStr">
        <is>
          <t>Pipeline</t>
        </is>
      </c>
      <c r="L311" s="42" t="inlineStr">
        <is>
          <t>Not assessed</t>
        </is>
      </c>
      <c r="M311" s="40" t="n"/>
      <c r="N311" s="40" t="n"/>
      <c r="O311" s="42" t="inlineStr">
        <is>
          <t>Medium</t>
        </is>
      </c>
      <c r="P311" s="43">
        <f>IF(H311="N/A","N/A",INDEX(CRIT_MATRIX,MATCH(O311,CRIT_MATRIX_ROWS,0),MATCH(APP_RISK_TIER,CRIT_MATRIX_COLS,0)))</f>
        <v/>
      </c>
    </row>
    <row r="312" ht="39.75" customHeight="1" s="19">
      <c r="A312" s="42" t="inlineStr">
        <is>
          <t>V15.3.3</t>
        </is>
      </c>
      <c r="B312" s="40" t="inlineStr">
        <is>
          <t>V15 - Secure Coding and Architecture</t>
        </is>
      </c>
      <c r="C312" s="40" t="inlineStr">
        <is>
          <t>V15.3 - Defensive Coding</t>
        </is>
      </c>
      <c r="D312" s="42" t="n">
        <v>2</v>
      </c>
      <c r="E312" s="40" t="inlineStr">
        <is>
          <t>Verify that the application has countermeasures to protect against mass assignment attacks by limiting allowed fields per controller and action, e.g., it is not possible to insert or update a field value when it was not intended to be part of that action.</t>
        </is>
      </c>
      <c r="F312" s="40" t="inlineStr">
        <is>
          <t>Always</t>
        </is>
      </c>
      <c r="G312" s="42" t="inlineStr">
        <is>
          <t>TRUE</t>
        </is>
      </c>
      <c r="H312" s="43">
        <f>IF(AND(TRUE(),D312&lt;=TARGET_LEVEL_NUM),"Applicable","N/A")</f>
        <v/>
      </c>
      <c r="I312" s="40" t="inlineStr">
        <is>
          <t>SAST</t>
        </is>
      </c>
      <c r="J312" s="40" t="inlineStr">
        <is>
          <t>Deterministic, continuous</t>
        </is>
      </c>
      <c r="K312" s="42" t="inlineStr">
        <is>
          <t>Pipeline</t>
        </is>
      </c>
      <c r="L312" s="42" t="inlineStr">
        <is>
          <t>Not assessed</t>
        </is>
      </c>
      <c r="M312" s="40" t="n"/>
      <c r="N312" s="40" t="n"/>
      <c r="O312" s="42" t="inlineStr">
        <is>
          <t>Medium</t>
        </is>
      </c>
      <c r="P312" s="43">
        <f>IF(H312="N/A","N/A",INDEX(CRIT_MATRIX,MATCH(O312,CRIT_MATRIX_ROWS,0),MATCH(APP_RISK_TIER,CRIT_MATRIX_COLS,0)))</f>
        <v/>
      </c>
    </row>
    <row r="313" ht="39.75" customHeight="1" s="19">
      <c r="A313" s="42" t="inlineStr">
        <is>
          <t>V15.3.4</t>
        </is>
      </c>
      <c r="B313" s="40" t="inlineStr">
        <is>
          <t>V15 - Secure Coding and Architecture</t>
        </is>
      </c>
      <c r="C313" s="40" t="inlineStr">
        <is>
          <t>V15.3 - Defensive Coding</t>
        </is>
      </c>
      <c r="D313" s="42" t="n">
        <v>2</v>
      </c>
      <c r="E313" s="40" t="inlineStr">
        <is>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is>
      </c>
      <c r="F313" s="40" t="inlineStr">
        <is>
          <t>Always</t>
        </is>
      </c>
      <c r="G313" s="42" t="inlineStr">
        <is>
          <t>TRUE</t>
        </is>
      </c>
      <c r="H313" s="43">
        <f>IF(AND(TRUE(),D313&lt;=TARGET_LEVEL_NUM),"Applicable","N/A")</f>
        <v/>
      </c>
      <c r="I313" s="40" t="inlineStr">
        <is>
          <t>SAST</t>
        </is>
      </c>
      <c r="J313" s="40" t="inlineStr">
        <is>
          <t>Deterministic, continuous</t>
        </is>
      </c>
      <c r="K313" s="42" t="inlineStr">
        <is>
          <t>Pipeline</t>
        </is>
      </c>
      <c r="L313" s="42" t="inlineStr">
        <is>
          <t>Not assessed</t>
        </is>
      </c>
      <c r="M313" s="40" t="n"/>
      <c r="N313" s="40" t="n"/>
      <c r="O313" s="42" t="inlineStr">
        <is>
          <t>Medium</t>
        </is>
      </c>
      <c r="P313" s="43">
        <f>IF(H313="N/A","N/A",INDEX(CRIT_MATRIX,MATCH(O313,CRIT_MATRIX_ROWS,0),MATCH(APP_RISK_TIER,CRIT_MATRIX_COLS,0)))</f>
        <v/>
      </c>
    </row>
    <row r="314" ht="39.75" customHeight="1" s="19">
      <c r="A314" s="42" t="inlineStr">
        <is>
          <t>V15.3.5</t>
        </is>
      </c>
      <c r="B314" s="40" t="inlineStr">
        <is>
          <t>V15 - Secure Coding and Architecture</t>
        </is>
      </c>
      <c r="C314" s="40" t="inlineStr">
        <is>
          <t>V15.3 - Defensive Coding</t>
        </is>
      </c>
      <c r="D314" s="42" t="n">
        <v>2</v>
      </c>
      <c r="E314" s="40" t="inlineStr">
        <is>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is>
      </c>
      <c r="F314" s="40" t="inlineStr">
        <is>
          <t>Always</t>
        </is>
      </c>
      <c r="G314" s="42" t="inlineStr">
        <is>
          <t>TRUE</t>
        </is>
      </c>
      <c r="H314" s="43">
        <f>IF(AND(TRUE(),D314&lt;=TARGET_LEVEL_NUM),"Applicable","N/A")</f>
        <v/>
      </c>
      <c r="I314" s="40" t="inlineStr">
        <is>
          <t>SAST</t>
        </is>
      </c>
      <c r="J314" s="40" t="inlineStr">
        <is>
          <t>Deterministic, continuous</t>
        </is>
      </c>
      <c r="K314" s="42" t="inlineStr">
        <is>
          <t>Pipeline</t>
        </is>
      </c>
      <c r="L314" s="42" t="inlineStr">
        <is>
          <t>Not assessed</t>
        </is>
      </c>
      <c r="M314" s="40" t="n"/>
      <c r="N314" s="40" t="n"/>
      <c r="O314" s="42" t="inlineStr">
        <is>
          <t>Medium</t>
        </is>
      </c>
      <c r="P314" s="43">
        <f>IF(H314="N/A","N/A",INDEX(CRIT_MATRIX,MATCH(O314,CRIT_MATRIX_ROWS,0),MATCH(APP_RISK_TIER,CRIT_MATRIX_COLS,0)))</f>
        <v/>
      </c>
    </row>
    <row r="315" ht="39.75" customHeight="1" s="19">
      <c r="A315" s="42" t="inlineStr">
        <is>
          <t>V15.3.6</t>
        </is>
      </c>
      <c r="B315" s="40" t="inlineStr">
        <is>
          <t>V15 - Secure Coding and Architecture</t>
        </is>
      </c>
      <c r="C315" s="40" t="inlineStr">
        <is>
          <t>V15.3 - Defensive Coding</t>
        </is>
      </c>
      <c r="D315" s="42" t="n">
        <v>2</v>
      </c>
      <c r="E315" s="40" t="inlineStr">
        <is>
          <t>Verify that JavaScript code is written in a way that prevents prototype pollution, for example, by using Set() or Map() instead of object literals.</t>
        </is>
      </c>
      <c r="F315" s="40" t="inlineStr">
        <is>
          <t>Always</t>
        </is>
      </c>
      <c r="G315" s="42" t="inlineStr">
        <is>
          <t>TRUE</t>
        </is>
      </c>
      <c r="H315" s="43">
        <f>IF(AND(TRUE(),D315&lt;=TARGET_LEVEL_NUM),"Applicable","N/A")</f>
        <v/>
      </c>
      <c r="I315" s="40" t="inlineStr">
        <is>
          <t>SAST</t>
        </is>
      </c>
      <c r="J315" s="40" t="inlineStr">
        <is>
          <t>Deterministic, continuous</t>
        </is>
      </c>
      <c r="K315" s="42" t="inlineStr">
        <is>
          <t>Pipeline</t>
        </is>
      </c>
      <c r="L315" s="42" t="inlineStr">
        <is>
          <t>Not assessed</t>
        </is>
      </c>
      <c r="M315" s="40" t="n"/>
      <c r="N315" s="40" t="n"/>
      <c r="O315" s="42" t="inlineStr">
        <is>
          <t>Medium</t>
        </is>
      </c>
      <c r="P315" s="43">
        <f>IF(H315="N/A","N/A",INDEX(CRIT_MATRIX,MATCH(O315,CRIT_MATRIX_ROWS,0),MATCH(APP_RISK_TIER,CRIT_MATRIX_COLS,0)))</f>
        <v/>
      </c>
    </row>
    <row r="316" ht="39.75" customHeight="1" s="19">
      <c r="A316" s="42" t="inlineStr">
        <is>
          <t>V15.3.7</t>
        </is>
      </c>
      <c r="B316" s="40" t="inlineStr">
        <is>
          <t>V15 - Secure Coding and Architecture</t>
        </is>
      </c>
      <c r="C316" s="40" t="inlineStr">
        <is>
          <t>V15.3 - Defensive Coding</t>
        </is>
      </c>
      <c r="D316" s="42" t="n">
        <v>2</v>
      </c>
      <c r="E316" s="40" t="inlineStr">
        <is>
          <t>Verify that the application has defenses against HTTP parameter pollution attacks, particularly if the application framework makes no distinction about the source of request parameters (query string, body parameters, cookies, or header fields).</t>
        </is>
      </c>
      <c r="F316" s="40" t="inlineStr">
        <is>
          <t>Always</t>
        </is>
      </c>
      <c r="G316" s="42" t="inlineStr">
        <is>
          <t>TRUE</t>
        </is>
      </c>
      <c r="H316" s="43">
        <f>IF(AND(TRUE(),D316&lt;=TARGET_LEVEL_NUM),"Applicable","N/A")</f>
        <v/>
      </c>
      <c r="I316" s="40" t="inlineStr">
        <is>
          <t>SAST</t>
        </is>
      </c>
      <c r="J316" s="40" t="inlineStr">
        <is>
          <t>Deterministic, continuous</t>
        </is>
      </c>
      <c r="K316" s="42" t="inlineStr">
        <is>
          <t>Pipeline</t>
        </is>
      </c>
      <c r="L316" s="42" t="inlineStr">
        <is>
          <t>Not assessed</t>
        </is>
      </c>
      <c r="M316" s="40" t="n"/>
      <c r="N316" s="40" t="n"/>
      <c r="O316" s="42" t="inlineStr">
        <is>
          <t>Medium</t>
        </is>
      </c>
      <c r="P316" s="43">
        <f>IF(H316="N/A","N/A",INDEX(CRIT_MATRIX,MATCH(O316,CRIT_MATRIX_ROWS,0),MATCH(APP_RISK_TIER,CRIT_MATRIX_COLS,0)))</f>
        <v/>
      </c>
    </row>
    <row r="317" ht="39.75" customHeight="1" s="19">
      <c r="A317" s="42" t="inlineStr">
        <is>
          <t>V15.4.1</t>
        </is>
      </c>
      <c r="B317" s="40" t="inlineStr">
        <is>
          <t>V15 - Secure Coding and Architecture</t>
        </is>
      </c>
      <c r="C317" s="40" t="inlineStr">
        <is>
          <t>V15.4 - Safe Concurrency</t>
        </is>
      </c>
      <c r="D317" s="42" t="n">
        <v>3</v>
      </c>
      <c r="E317" s="40" t="inlineStr">
        <is>
          <t>Verify that shared objects in multi-threaded code (such as caches, files, or in-memory objects accessed by multiple threads) are accessed safely by using thread-safe types and synchronization mechanisms like locks or semaphores to avoid race conditions and data corruption.</t>
        </is>
      </c>
      <c r="F317" s="40" t="inlineStr">
        <is>
          <t>Always</t>
        </is>
      </c>
      <c r="G317" s="42" t="inlineStr">
        <is>
          <t>TRUE</t>
        </is>
      </c>
      <c r="H317" s="43">
        <f>IF(AND(TRUE(),D317&lt;=TARGET_LEVEL_NUM),"Applicable","N/A")</f>
        <v/>
      </c>
      <c r="I317" s="40" t="inlineStr">
        <is>
          <t>SAST</t>
        </is>
      </c>
      <c r="J317" s="40" t="inlineStr">
        <is>
          <t>Deterministic, continuous</t>
        </is>
      </c>
      <c r="K317" s="42" t="inlineStr">
        <is>
          <t>Pipeline</t>
        </is>
      </c>
      <c r="L317" s="42" t="inlineStr">
        <is>
          <t>Not assessed</t>
        </is>
      </c>
      <c r="M317" s="40" t="n"/>
      <c r="N317" s="40" t="n"/>
      <c r="O317" s="42" t="inlineStr">
        <is>
          <t>Medium</t>
        </is>
      </c>
      <c r="P317" s="43">
        <f>IF(H317="N/A","N/A",INDEX(CRIT_MATRIX,MATCH(O317,CRIT_MATRIX_ROWS,0),MATCH(APP_RISK_TIER,CRIT_MATRIX_COLS,0)))</f>
        <v/>
      </c>
    </row>
    <row r="318" ht="39.75" customHeight="1" s="19">
      <c r="A318" s="42" t="inlineStr">
        <is>
          <t>V15.4.2</t>
        </is>
      </c>
      <c r="B318" s="40" t="inlineStr">
        <is>
          <t>V15 - Secure Coding and Architecture</t>
        </is>
      </c>
      <c r="C318" s="40" t="inlineStr">
        <is>
          <t>V15.4 - Safe Concurrency</t>
        </is>
      </c>
      <c r="D318" s="42" t="n">
        <v>3</v>
      </c>
      <c r="E318" s="40" t="inlineStr">
        <is>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is>
      </c>
      <c r="F318" s="40" t="inlineStr">
        <is>
          <t>Always</t>
        </is>
      </c>
      <c r="G318" s="42" t="inlineStr">
        <is>
          <t>TRUE</t>
        </is>
      </c>
      <c r="H318" s="43">
        <f>IF(AND(TRUE(),D318&lt;=TARGET_LEVEL_NUM),"Applicable","N/A")</f>
        <v/>
      </c>
      <c r="I318" s="40" t="inlineStr">
        <is>
          <t>SAST</t>
        </is>
      </c>
      <c r="J318" s="40" t="inlineStr">
        <is>
          <t>Deterministic, continuous</t>
        </is>
      </c>
      <c r="K318" s="42" t="inlineStr">
        <is>
          <t>Pipeline</t>
        </is>
      </c>
      <c r="L318" s="42" t="inlineStr">
        <is>
          <t>Not assessed</t>
        </is>
      </c>
      <c r="M318" s="40" t="n"/>
      <c r="N318" s="40" t="n"/>
      <c r="O318" s="42" t="inlineStr">
        <is>
          <t>Medium</t>
        </is>
      </c>
      <c r="P318" s="43">
        <f>IF(H318="N/A","N/A",INDEX(CRIT_MATRIX,MATCH(O318,CRIT_MATRIX_ROWS,0),MATCH(APP_RISK_TIER,CRIT_MATRIX_COLS,0)))</f>
        <v/>
      </c>
    </row>
    <row r="319" ht="39.75" customHeight="1" s="19">
      <c r="A319" s="42" t="inlineStr">
        <is>
          <t>V15.4.3</t>
        </is>
      </c>
      <c r="B319" s="40" t="inlineStr">
        <is>
          <t>V15 - Secure Coding and Architecture</t>
        </is>
      </c>
      <c r="C319" s="40" t="inlineStr">
        <is>
          <t>V15.4 - Safe Concurrency</t>
        </is>
      </c>
      <c r="D319" s="42" t="n">
        <v>3</v>
      </c>
      <c r="E319" s="40" t="inlineStr">
        <is>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is>
      </c>
      <c r="F319" s="40" t="inlineStr">
        <is>
          <t>Always</t>
        </is>
      </c>
      <c r="G319" s="42" t="inlineStr">
        <is>
          <t>TRUE</t>
        </is>
      </c>
      <c r="H319" s="43">
        <f>IF(AND(TRUE(),D319&lt;=TARGET_LEVEL_NUM),"Applicable","N/A")</f>
        <v/>
      </c>
      <c r="I319" s="40" t="inlineStr">
        <is>
          <t>SAST</t>
        </is>
      </c>
      <c r="J319" s="40" t="inlineStr">
        <is>
          <t>Deterministic, continuous</t>
        </is>
      </c>
      <c r="K319" s="42" t="inlineStr">
        <is>
          <t>Pipeline</t>
        </is>
      </c>
      <c r="L319" s="42" t="inlineStr">
        <is>
          <t>Not assessed</t>
        </is>
      </c>
      <c r="M319" s="40" t="n"/>
      <c r="N319" s="40" t="n"/>
      <c r="O319" s="42" t="inlineStr">
        <is>
          <t>Medium</t>
        </is>
      </c>
      <c r="P319" s="43">
        <f>IF(H319="N/A","N/A",INDEX(CRIT_MATRIX,MATCH(O319,CRIT_MATRIX_ROWS,0),MATCH(APP_RISK_TIER,CRIT_MATRIX_COLS,0)))</f>
        <v/>
      </c>
    </row>
    <row r="320" ht="39.75" customHeight="1" s="19">
      <c r="A320" s="42" t="inlineStr">
        <is>
          <t>V15.4.4</t>
        </is>
      </c>
      <c r="B320" s="40" t="inlineStr">
        <is>
          <t>V15 - Secure Coding and Architecture</t>
        </is>
      </c>
      <c r="C320" s="40" t="inlineStr">
        <is>
          <t>V15.4 - Safe Concurrency</t>
        </is>
      </c>
      <c r="D320" s="42" t="n">
        <v>3</v>
      </c>
      <c r="E320" s="40" t="inlineStr">
        <is>
          <t>Verify that resource allocation policies prevent thread starvation by ensuring fair access to resources, such as by leveraging thread pools, allowing lower-priority threads to proceed within a reasonable timeframe.</t>
        </is>
      </c>
      <c r="F320" s="40" t="inlineStr">
        <is>
          <t>Always</t>
        </is>
      </c>
      <c r="G320" s="42" t="inlineStr">
        <is>
          <t>TRUE</t>
        </is>
      </c>
      <c r="H320" s="43">
        <f>IF(AND(TRUE(),D320&lt;=TARGET_LEVEL_NUM),"Applicable","N/A")</f>
        <v/>
      </c>
      <c r="I320" s="40" t="inlineStr">
        <is>
          <t>SAST</t>
        </is>
      </c>
      <c r="J320" s="40" t="inlineStr">
        <is>
          <t>Deterministic, continuous</t>
        </is>
      </c>
      <c r="K320" s="42" t="inlineStr">
        <is>
          <t>Pipeline</t>
        </is>
      </c>
      <c r="L320" s="42" t="inlineStr">
        <is>
          <t>Not assessed</t>
        </is>
      </c>
      <c r="M320" s="40" t="n"/>
      <c r="N320" s="40" t="n"/>
      <c r="O320" s="42" t="inlineStr">
        <is>
          <t>Medium</t>
        </is>
      </c>
      <c r="P320" s="43">
        <f>IF(H320="N/A","N/A",INDEX(CRIT_MATRIX,MATCH(O320,CRIT_MATRIX_ROWS,0),MATCH(APP_RISK_TIER,CRIT_MATRIX_COLS,0)))</f>
        <v/>
      </c>
    </row>
    <row r="321" ht="39.75" customHeight="1" s="19">
      <c r="A321" s="42" t="inlineStr">
        <is>
          <t>V16.1.1</t>
        </is>
      </c>
      <c r="B321" s="40" t="inlineStr">
        <is>
          <t>V16 - Security Logging and Error Handling</t>
        </is>
      </c>
      <c r="C321" s="40" t="inlineStr">
        <is>
          <t>V16.1 - Security Logging Documentation</t>
        </is>
      </c>
      <c r="D321" s="42" t="n">
        <v>2</v>
      </c>
      <c r="E321" s="40" t="inlineStr">
        <is>
          <t>Verify that an inventory exists documenting the logging performed at each layer of the application's technology stack, what events are being logged, log formats, where that logging is stored, how it is used, how access to it is controlled, and for how long logs are kept.</t>
        </is>
      </c>
      <c r="F321" s="40" t="inlineStr">
        <is>
          <t>Always</t>
        </is>
      </c>
      <c r="G321" s="42" t="inlineStr">
        <is>
          <t>TRUE</t>
        </is>
      </c>
      <c r="H321" s="43">
        <f>IF(AND(TRUE(),D321&lt;=TARGET_LEVEL_NUM),"Applicable","N/A")</f>
        <v/>
      </c>
      <c r="I321" s="40" t="inlineStr">
        <is>
          <t>Architecture / documentation review</t>
        </is>
      </c>
      <c r="J321" s="40" t="inlineStr">
        <is>
          <t>Sampled, periodic</t>
        </is>
      </c>
      <c r="K321" s="42" t="inlineStr">
        <is>
          <t>Design/Governance</t>
        </is>
      </c>
      <c r="L321" s="42" t="inlineStr">
        <is>
          <t>Not assessed</t>
        </is>
      </c>
      <c r="M321" s="40" t="n"/>
      <c r="N321" s="40" t="n"/>
      <c r="O321" s="42" t="inlineStr">
        <is>
          <t>Medium</t>
        </is>
      </c>
      <c r="P321" s="43">
        <f>IF(H321="N/A","N/A",INDEX(CRIT_MATRIX,MATCH(O321,CRIT_MATRIX_ROWS,0),MATCH(APP_RISK_TIER,CRIT_MATRIX_COLS,0)))</f>
        <v/>
      </c>
    </row>
    <row r="322" ht="39.75" customHeight="1" s="19">
      <c r="A322" s="42" t="inlineStr">
        <is>
          <t>V16.2.1</t>
        </is>
      </c>
      <c r="B322" s="40" t="inlineStr">
        <is>
          <t>V16 - Security Logging and Error Handling</t>
        </is>
      </c>
      <c r="C322" s="40" t="inlineStr">
        <is>
          <t>V16.2 - General Logging</t>
        </is>
      </c>
      <c r="D322" s="42" t="n">
        <v>2</v>
      </c>
      <c r="E322" s="40" t="inlineStr">
        <is>
          <t>Verify that each log entry includes necessary metadata (such as when, where, who, what) that would allow for a detailed investigation of the timeline when an event happens.</t>
        </is>
      </c>
      <c r="F322" s="40" t="inlineStr">
        <is>
          <t>Always</t>
        </is>
      </c>
      <c r="G322" s="42" t="inlineStr">
        <is>
          <t>TRUE</t>
        </is>
      </c>
      <c r="H322" s="43">
        <f>IF(AND(TRUE(),D322&lt;=TARGET_LEVEL_NUM),"Applicable","N/A")</f>
        <v/>
      </c>
      <c r="I322" s="40" t="inlineStr">
        <is>
          <t>Configuration review + SAST</t>
        </is>
      </c>
      <c r="J322" s="40" t="inlineStr">
        <is>
          <t>Deterministic, continuous</t>
        </is>
      </c>
      <c r="K322" s="42" t="inlineStr">
        <is>
          <t>Pipeline</t>
        </is>
      </c>
      <c r="L322" s="42" t="inlineStr">
        <is>
          <t>Not assessed</t>
        </is>
      </c>
      <c r="M322" s="40" t="n"/>
      <c r="N322" s="40" t="n"/>
      <c r="O322" s="42" t="inlineStr">
        <is>
          <t>Medium</t>
        </is>
      </c>
      <c r="P322" s="43">
        <f>IF(H322="N/A","N/A",INDEX(CRIT_MATRIX,MATCH(O322,CRIT_MATRIX_ROWS,0),MATCH(APP_RISK_TIER,CRIT_MATRIX_COLS,0)))</f>
        <v/>
      </c>
    </row>
    <row r="323" ht="39.75" customHeight="1" s="19">
      <c r="A323" s="42" t="inlineStr">
        <is>
          <t>V16.2.2</t>
        </is>
      </c>
      <c r="B323" s="40" t="inlineStr">
        <is>
          <t>V16 - Security Logging and Error Handling</t>
        </is>
      </c>
      <c r="C323" s="40" t="inlineStr">
        <is>
          <t>V16.2 - General Logging</t>
        </is>
      </c>
      <c r="D323" s="42" t="n">
        <v>2</v>
      </c>
      <c r="E323" s="40" t="inlineStr">
        <is>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is>
      </c>
      <c r="F323" s="40" t="inlineStr">
        <is>
          <t>Always</t>
        </is>
      </c>
      <c r="G323" s="42" t="inlineStr">
        <is>
          <t>TRUE</t>
        </is>
      </c>
      <c r="H323" s="43">
        <f>IF(AND(TRUE(),D323&lt;=TARGET_LEVEL_NUM),"Applicable","N/A")</f>
        <v/>
      </c>
      <c r="I323" s="40" t="inlineStr">
        <is>
          <t>Configuration review + SAST</t>
        </is>
      </c>
      <c r="J323" s="40" t="inlineStr">
        <is>
          <t>Deterministic, continuous</t>
        </is>
      </c>
      <c r="K323" s="42" t="inlineStr">
        <is>
          <t>Pipeline</t>
        </is>
      </c>
      <c r="L323" s="42" t="inlineStr">
        <is>
          <t>Not assessed</t>
        </is>
      </c>
      <c r="M323" s="40" t="n"/>
      <c r="N323" s="40" t="n"/>
      <c r="O323" s="42" t="inlineStr">
        <is>
          <t>Medium</t>
        </is>
      </c>
      <c r="P323" s="43">
        <f>IF(H323="N/A","N/A",INDEX(CRIT_MATRIX,MATCH(O323,CRIT_MATRIX_ROWS,0),MATCH(APP_RISK_TIER,CRIT_MATRIX_COLS,0)))</f>
        <v/>
      </c>
    </row>
    <row r="324" ht="39.75" customHeight="1" s="19">
      <c r="A324" s="42" t="inlineStr">
        <is>
          <t>V16.2.3</t>
        </is>
      </c>
      <c r="B324" s="40" t="inlineStr">
        <is>
          <t>V16 - Security Logging and Error Handling</t>
        </is>
      </c>
      <c r="C324" s="40" t="inlineStr">
        <is>
          <t>V16.2 - General Logging</t>
        </is>
      </c>
      <c r="D324" s="42" t="n">
        <v>2</v>
      </c>
      <c r="E324" s="40" t="inlineStr">
        <is>
          <t>Verify that the application only stores or broadcasts logs to the files and services that are documented in the log inventory.</t>
        </is>
      </c>
      <c r="F324" s="40" t="inlineStr">
        <is>
          <t>Always</t>
        </is>
      </c>
      <c r="G324" s="42" t="inlineStr">
        <is>
          <t>TRUE</t>
        </is>
      </c>
      <c r="H324" s="43">
        <f>IF(AND(TRUE(),D324&lt;=TARGET_LEVEL_NUM),"Applicable","N/A")</f>
        <v/>
      </c>
      <c r="I324" s="40" t="inlineStr">
        <is>
          <t>Configuration review + SAST</t>
        </is>
      </c>
      <c r="J324" s="40" t="inlineStr">
        <is>
          <t>Deterministic, continuous</t>
        </is>
      </c>
      <c r="K324" s="42" t="inlineStr">
        <is>
          <t>Pipeline</t>
        </is>
      </c>
      <c r="L324" s="42" t="inlineStr">
        <is>
          <t>Not assessed</t>
        </is>
      </c>
      <c r="M324" s="40" t="n"/>
      <c r="N324" s="40" t="n"/>
      <c r="O324" s="42" t="inlineStr">
        <is>
          <t>Medium</t>
        </is>
      </c>
      <c r="P324" s="43">
        <f>IF(H324="N/A","N/A",INDEX(CRIT_MATRIX,MATCH(O324,CRIT_MATRIX_ROWS,0),MATCH(APP_RISK_TIER,CRIT_MATRIX_COLS,0)))</f>
        <v/>
      </c>
    </row>
    <row r="325" ht="39.75" customHeight="1" s="19">
      <c r="A325" s="42" t="inlineStr">
        <is>
          <t>V16.2.4</t>
        </is>
      </c>
      <c r="B325" s="40" t="inlineStr">
        <is>
          <t>V16 - Security Logging and Error Handling</t>
        </is>
      </c>
      <c r="C325" s="40" t="inlineStr">
        <is>
          <t>V16.2 - General Logging</t>
        </is>
      </c>
      <c r="D325" s="42" t="n">
        <v>2</v>
      </c>
      <c r="E325" s="40" t="inlineStr">
        <is>
          <t>Verify that logs can be read and correlated by the log processor that is in use, preferably by using a common logging format.</t>
        </is>
      </c>
      <c r="F325" s="40" t="inlineStr">
        <is>
          <t>Always</t>
        </is>
      </c>
      <c r="G325" s="42" t="inlineStr">
        <is>
          <t>TRUE</t>
        </is>
      </c>
      <c r="H325" s="43">
        <f>IF(AND(TRUE(),D325&lt;=TARGET_LEVEL_NUM),"Applicable","N/A")</f>
        <v/>
      </c>
      <c r="I325" s="40" t="inlineStr">
        <is>
          <t>Configuration review + SAST</t>
        </is>
      </c>
      <c r="J325" s="40" t="inlineStr">
        <is>
          <t>Deterministic, continuous</t>
        </is>
      </c>
      <c r="K325" s="42" t="inlineStr">
        <is>
          <t>Pipeline</t>
        </is>
      </c>
      <c r="L325" s="42" t="inlineStr">
        <is>
          <t>Not assessed</t>
        </is>
      </c>
      <c r="M325" s="40" t="n"/>
      <c r="N325" s="40" t="n"/>
      <c r="O325" s="42" t="inlineStr">
        <is>
          <t>Medium</t>
        </is>
      </c>
      <c r="P325" s="43">
        <f>IF(H325="N/A","N/A",INDEX(CRIT_MATRIX,MATCH(O325,CRIT_MATRIX_ROWS,0),MATCH(APP_RISK_TIER,CRIT_MATRIX_COLS,0)))</f>
        <v/>
      </c>
    </row>
    <row r="326" ht="39.75" customHeight="1" s="19">
      <c r="A326" s="42" t="inlineStr">
        <is>
          <t>V16.2.5</t>
        </is>
      </c>
      <c r="B326" s="40" t="inlineStr">
        <is>
          <t>V16 - Security Logging and Error Handling</t>
        </is>
      </c>
      <c r="C326" s="40" t="inlineStr">
        <is>
          <t>V16.2 - General Logging</t>
        </is>
      </c>
      <c r="D326" s="42" t="n">
        <v>2</v>
      </c>
      <c r="E326" s="40" t="inlineStr">
        <is>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is>
      </c>
      <c r="F326" s="40" t="inlineStr">
        <is>
          <t>Always</t>
        </is>
      </c>
      <c r="G326" s="42" t="inlineStr">
        <is>
          <t>TRUE</t>
        </is>
      </c>
      <c r="H326" s="43">
        <f>IF(AND(TRUE(),D326&lt;=TARGET_LEVEL_NUM),"Applicable","N/A")</f>
        <v/>
      </c>
      <c r="I326" s="40" t="inlineStr">
        <is>
          <t>Configuration review + SAST</t>
        </is>
      </c>
      <c r="J326" s="40" t="inlineStr">
        <is>
          <t>Deterministic, continuous</t>
        </is>
      </c>
      <c r="K326" s="42" t="inlineStr">
        <is>
          <t>Pipeline</t>
        </is>
      </c>
      <c r="L326" s="42" t="inlineStr">
        <is>
          <t>Not assessed</t>
        </is>
      </c>
      <c r="M326" s="40" t="n"/>
      <c r="N326" s="40" t="n"/>
      <c r="O326" s="42" t="inlineStr">
        <is>
          <t>Medium</t>
        </is>
      </c>
      <c r="P326" s="43">
        <f>IF(H326="N/A","N/A",INDEX(CRIT_MATRIX,MATCH(O326,CRIT_MATRIX_ROWS,0),MATCH(APP_RISK_TIER,CRIT_MATRIX_COLS,0)))</f>
        <v/>
      </c>
    </row>
    <row r="327" ht="39.75" customHeight="1" s="19">
      <c r="A327" s="42" t="inlineStr">
        <is>
          <t>V16.3.1</t>
        </is>
      </c>
      <c r="B327" s="40" t="inlineStr">
        <is>
          <t>V16 - Security Logging and Error Handling</t>
        </is>
      </c>
      <c r="C327" s="40" t="inlineStr">
        <is>
          <t>V16.3 - Security Events</t>
        </is>
      </c>
      <c r="D327" s="42" t="n">
        <v>2</v>
      </c>
      <c r="E327" s="40" t="inlineStr">
        <is>
          <t>Verify that all authentication operations are logged, including successful and unsuccessful attempts. Additional metadata, such as the type of authentication or factors used, should also be collected.</t>
        </is>
      </c>
      <c r="F327" s="40" t="inlineStr">
        <is>
          <t>Always</t>
        </is>
      </c>
      <c r="G327" s="42" t="inlineStr">
        <is>
          <t>TRUE</t>
        </is>
      </c>
      <c r="H327" s="43">
        <f>IF(AND(TRUE(),D327&lt;=TARGET_LEVEL_NUM),"Applicable","N/A")</f>
        <v/>
      </c>
      <c r="I327" s="40" t="inlineStr">
        <is>
          <t>Configuration review + SAST</t>
        </is>
      </c>
      <c r="J327" s="40" t="inlineStr">
        <is>
          <t>Deterministic, continuous</t>
        </is>
      </c>
      <c r="K327" s="42" t="inlineStr">
        <is>
          <t>Pipeline</t>
        </is>
      </c>
      <c r="L327" s="42" t="inlineStr">
        <is>
          <t>Not assessed</t>
        </is>
      </c>
      <c r="M327" s="40" t="n"/>
      <c r="N327" s="40" t="n"/>
      <c r="O327" s="42" t="inlineStr">
        <is>
          <t>Medium</t>
        </is>
      </c>
      <c r="P327" s="43">
        <f>IF(H327="N/A","N/A",INDEX(CRIT_MATRIX,MATCH(O327,CRIT_MATRIX_ROWS,0),MATCH(APP_RISK_TIER,CRIT_MATRIX_COLS,0)))</f>
        <v/>
      </c>
    </row>
    <row r="328" ht="39.75" customHeight="1" s="19">
      <c r="A328" s="42" t="inlineStr">
        <is>
          <t>V16.3.2</t>
        </is>
      </c>
      <c r="B328" s="40" t="inlineStr">
        <is>
          <t>V16 - Security Logging and Error Handling</t>
        </is>
      </c>
      <c r="C328" s="40" t="inlineStr">
        <is>
          <t>V16.3 - Security Events</t>
        </is>
      </c>
      <c r="D328" s="42" t="n">
        <v>2</v>
      </c>
      <c r="E328" s="40" t="inlineStr">
        <is>
          <t>Verify that failed authorization attempts are logged. For L3, this must include logging all authorization decisions, including logging when sensitive data is accessed (without logging the sensitive data itself).</t>
        </is>
      </c>
      <c r="F328" s="40" t="inlineStr">
        <is>
          <t>Always</t>
        </is>
      </c>
      <c r="G328" s="42" t="inlineStr">
        <is>
          <t>TRUE</t>
        </is>
      </c>
      <c r="H328" s="43">
        <f>IF(AND(TRUE(),D328&lt;=TARGET_LEVEL_NUM),"Applicable","N/A")</f>
        <v/>
      </c>
      <c r="I328" s="40" t="inlineStr">
        <is>
          <t>Configuration review + SAST</t>
        </is>
      </c>
      <c r="J328" s="40" t="inlineStr">
        <is>
          <t>Deterministic, continuous</t>
        </is>
      </c>
      <c r="K328" s="42" t="inlineStr">
        <is>
          <t>Pipeline</t>
        </is>
      </c>
      <c r="L328" s="42" t="inlineStr">
        <is>
          <t>Not assessed</t>
        </is>
      </c>
      <c r="M328" s="40" t="n"/>
      <c r="N328" s="40" t="n"/>
      <c r="O328" s="42" t="inlineStr">
        <is>
          <t>Medium</t>
        </is>
      </c>
      <c r="P328" s="43">
        <f>IF(H328="N/A","N/A",INDEX(CRIT_MATRIX,MATCH(O328,CRIT_MATRIX_ROWS,0),MATCH(APP_RISK_TIER,CRIT_MATRIX_COLS,0)))</f>
        <v/>
      </c>
    </row>
    <row r="329" ht="39.75" customHeight="1" s="19">
      <c r="A329" s="42" t="inlineStr">
        <is>
          <t>V16.3.3</t>
        </is>
      </c>
      <c r="B329" s="40" t="inlineStr">
        <is>
          <t>V16 - Security Logging and Error Handling</t>
        </is>
      </c>
      <c r="C329" s="40" t="inlineStr">
        <is>
          <t>V16.3 - Security Events</t>
        </is>
      </c>
      <c r="D329" s="42" t="n">
        <v>2</v>
      </c>
      <c r="E329" s="40" t="inlineStr">
        <is>
          <t>Verify that the application logs the security events that are defined in the documentation and also logs attempts to bypass the security controls, such as input validation, business logic, and anti-automation.</t>
        </is>
      </c>
      <c r="F329" s="40" t="inlineStr">
        <is>
          <t>Always</t>
        </is>
      </c>
      <c r="G329" s="42" t="inlineStr">
        <is>
          <t>TRUE</t>
        </is>
      </c>
      <c r="H329" s="43">
        <f>IF(AND(TRUE(),D329&lt;=TARGET_LEVEL_NUM),"Applicable","N/A")</f>
        <v/>
      </c>
      <c r="I329" s="40" t="inlineStr">
        <is>
          <t>Configuration review + SAST</t>
        </is>
      </c>
      <c r="J329" s="40" t="inlineStr">
        <is>
          <t>Deterministic, continuous</t>
        </is>
      </c>
      <c r="K329" s="42" t="inlineStr">
        <is>
          <t>Pipeline</t>
        </is>
      </c>
      <c r="L329" s="42" t="inlineStr">
        <is>
          <t>Not assessed</t>
        </is>
      </c>
      <c r="M329" s="40" t="n"/>
      <c r="N329" s="40" t="n"/>
      <c r="O329" s="42" t="inlineStr">
        <is>
          <t>Medium</t>
        </is>
      </c>
      <c r="P329" s="43">
        <f>IF(H329="N/A","N/A",INDEX(CRIT_MATRIX,MATCH(O329,CRIT_MATRIX_ROWS,0),MATCH(APP_RISK_TIER,CRIT_MATRIX_COLS,0)))</f>
        <v/>
      </c>
    </row>
    <row r="330" ht="39.75" customHeight="1" s="19">
      <c r="A330" s="42" t="inlineStr">
        <is>
          <t>V16.3.4</t>
        </is>
      </c>
      <c r="B330" s="40" t="inlineStr">
        <is>
          <t>V16 - Security Logging and Error Handling</t>
        </is>
      </c>
      <c r="C330" s="40" t="inlineStr">
        <is>
          <t>V16.3 - Security Events</t>
        </is>
      </c>
      <c r="D330" s="42" t="n">
        <v>2</v>
      </c>
      <c r="E330" s="40" t="inlineStr">
        <is>
          <t>Verify that the application logs unexpected errors and security control failures such as backend TLS failures.</t>
        </is>
      </c>
      <c r="F330" s="40" t="inlineStr">
        <is>
          <t>Always</t>
        </is>
      </c>
      <c r="G330" s="42" t="inlineStr">
        <is>
          <t>TRUE</t>
        </is>
      </c>
      <c r="H330" s="43">
        <f>IF(AND(TRUE(),D330&lt;=TARGET_LEVEL_NUM),"Applicable","N/A")</f>
        <v/>
      </c>
      <c r="I330" s="40" t="inlineStr">
        <is>
          <t>Configuration review + SAST</t>
        </is>
      </c>
      <c r="J330" s="40" t="inlineStr">
        <is>
          <t>Deterministic, continuous</t>
        </is>
      </c>
      <c r="K330" s="42" t="inlineStr">
        <is>
          <t>Pipeline</t>
        </is>
      </c>
      <c r="L330" s="42" t="inlineStr">
        <is>
          <t>Not assessed</t>
        </is>
      </c>
      <c r="M330" s="40" t="n"/>
      <c r="N330" s="40" t="n"/>
      <c r="O330" s="42" t="inlineStr">
        <is>
          <t>Medium</t>
        </is>
      </c>
      <c r="P330" s="43">
        <f>IF(H330="N/A","N/A",INDEX(CRIT_MATRIX,MATCH(O330,CRIT_MATRIX_ROWS,0),MATCH(APP_RISK_TIER,CRIT_MATRIX_COLS,0)))</f>
        <v/>
      </c>
    </row>
    <row r="331" ht="39.75" customHeight="1" s="19">
      <c r="A331" s="42" t="inlineStr">
        <is>
          <t>V16.4.1</t>
        </is>
      </c>
      <c r="B331" s="40" t="inlineStr">
        <is>
          <t>V16 - Security Logging and Error Handling</t>
        </is>
      </c>
      <c r="C331" s="40" t="inlineStr">
        <is>
          <t>V16.4 - Log Protection</t>
        </is>
      </c>
      <c r="D331" s="42" t="n">
        <v>2</v>
      </c>
      <c r="E331" s="40" t="inlineStr">
        <is>
          <t>Verify that all logging components appropriately encode data to prevent log injection.</t>
        </is>
      </c>
      <c r="F331" s="40" t="inlineStr">
        <is>
          <t>Always</t>
        </is>
      </c>
      <c r="G331" s="42" t="inlineStr">
        <is>
          <t>TRUE</t>
        </is>
      </c>
      <c r="H331" s="43">
        <f>IF(AND(TRUE(),D331&lt;=TARGET_LEVEL_NUM),"Applicable","N/A")</f>
        <v/>
      </c>
      <c r="I331" s="40" t="inlineStr">
        <is>
          <t>Configuration review + SAST</t>
        </is>
      </c>
      <c r="J331" s="40" t="inlineStr">
        <is>
          <t>Deterministic, continuous</t>
        </is>
      </c>
      <c r="K331" s="42" t="inlineStr">
        <is>
          <t>Pipeline</t>
        </is>
      </c>
      <c r="L331" s="42" t="inlineStr">
        <is>
          <t>Not assessed</t>
        </is>
      </c>
      <c r="M331" s="40" t="n"/>
      <c r="N331" s="40" t="n"/>
      <c r="O331" s="42" t="inlineStr">
        <is>
          <t>Medium</t>
        </is>
      </c>
      <c r="P331" s="43">
        <f>IF(H331="N/A","N/A",INDEX(CRIT_MATRIX,MATCH(O331,CRIT_MATRIX_ROWS,0),MATCH(APP_RISK_TIER,CRIT_MATRIX_COLS,0)))</f>
        <v/>
      </c>
    </row>
    <row r="332" ht="39.75" customHeight="1" s="19">
      <c r="A332" s="42" t="inlineStr">
        <is>
          <t>V16.4.2</t>
        </is>
      </c>
      <c r="B332" s="40" t="inlineStr">
        <is>
          <t>V16 - Security Logging and Error Handling</t>
        </is>
      </c>
      <c r="C332" s="40" t="inlineStr">
        <is>
          <t>V16.4 - Log Protection</t>
        </is>
      </c>
      <c r="D332" s="42" t="n">
        <v>2</v>
      </c>
      <c r="E332" s="40" t="inlineStr">
        <is>
          <t>Verify that logs are protected from unauthorized access and cannot be modified.</t>
        </is>
      </c>
      <c r="F332" s="40" t="inlineStr">
        <is>
          <t>Always</t>
        </is>
      </c>
      <c r="G332" s="42" t="inlineStr">
        <is>
          <t>TRUE</t>
        </is>
      </c>
      <c r="H332" s="43">
        <f>IF(AND(TRUE(),D332&lt;=TARGET_LEVEL_NUM),"Applicable","N/A")</f>
        <v/>
      </c>
      <c r="I332" s="40" t="inlineStr">
        <is>
          <t>Configuration review + SAST</t>
        </is>
      </c>
      <c r="J332" s="40" t="inlineStr">
        <is>
          <t>Deterministic, continuous</t>
        </is>
      </c>
      <c r="K332" s="42" t="inlineStr">
        <is>
          <t>Pipeline</t>
        </is>
      </c>
      <c r="L332" s="42" t="inlineStr">
        <is>
          <t>Not assessed</t>
        </is>
      </c>
      <c r="M332" s="40" t="n"/>
      <c r="N332" s="40" t="n"/>
      <c r="O332" s="42" t="inlineStr">
        <is>
          <t>Medium</t>
        </is>
      </c>
      <c r="P332" s="43">
        <f>IF(H332="N/A","N/A",INDEX(CRIT_MATRIX,MATCH(O332,CRIT_MATRIX_ROWS,0),MATCH(APP_RISK_TIER,CRIT_MATRIX_COLS,0)))</f>
        <v/>
      </c>
    </row>
    <row r="333" ht="39.75" customHeight="1" s="19">
      <c r="A333" s="42" t="inlineStr">
        <is>
          <t>V16.4.3</t>
        </is>
      </c>
      <c r="B333" s="40" t="inlineStr">
        <is>
          <t>V16 - Security Logging and Error Handling</t>
        </is>
      </c>
      <c r="C333" s="40" t="inlineStr">
        <is>
          <t>V16.4 - Log Protection</t>
        </is>
      </c>
      <c r="D333" s="42" t="n">
        <v>2</v>
      </c>
      <c r="E333" s="40" t="inlineStr">
        <is>
          <t>Verify that logs are securely transmitted to a logically separate system for analysis, detection, alerting, and escalation. The aim is to ensure that if the application is breached, the logs are not compromised.</t>
        </is>
      </c>
      <c r="F333" s="40" t="inlineStr">
        <is>
          <t>Always</t>
        </is>
      </c>
      <c r="G333" s="42" t="inlineStr">
        <is>
          <t>TRUE</t>
        </is>
      </c>
      <c r="H333" s="43">
        <f>IF(AND(TRUE(),D333&lt;=TARGET_LEVEL_NUM),"Applicable","N/A")</f>
        <v/>
      </c>
      <c r="I333" s="40" t="inlineStr">
        <is>
          <t>Configuration review + SAST</t>
        </is>
      </c>
      <c r="J333" s="40" t="inlineStr">
        <is>
          <t>Deterministic, continuous</t>
        </is>
      </c>
      <c r="K333" s="42" t="inlineStr">
        <is>
          <t>Pipeline</t>
        </is>
      </c>
      <c r="L333" s="42" t="inlineStr">
        <is>
          <t>Not assessed</t>
        </is>
      </c>
      <c r="M333" s="40" t="n"/>
      <c r="N333" s="40" t="n"/>
      <c r="O333" s="42" t="inlineStr">
        <is>
          <t>Medium</t>
        </is>
      </c>
      <c r="P333" s="43">
        <f>IF(H333="N/A","N/A",INDEX(CRIT_MATRIX,MATCH(O333,CRIT_MATRIX_ROWS,0),MATCH(APP_RISK_TIER,CRIT_MATRIX_COLS,0)))</f>
        <v/>
      </c>
    </row>
    <row r="334" ht="39.75" customHeight="1" s="19">
      <c r="A334" s="42" t="inlineStr">
        <is>
          <t>V16.5.1</t>
        </is>
      </c>
      <c r="B334" s="40" t="inlineStr">
        <is>
          <t>V16 - Security Logging and Error Handling</t>
        </is>
      </c>
      <c r="C334" s="40" t="inlineStr">
        <is>
          <t>V16.5 - Error Handling</t>
        </is>
      </c>
      <c r="D334" s="42" t="n">
        <v>2</v>
      </c>
      <c r="E334" s="40" t="inlineStr">
        <is>
          <t>Verify that a generic message is returned to the consumer when an unexpected or security-sensitive error occurs, ensuring no exposure of sensitive internal system data such as stack traces, queries, secret keys, and tokens.</t>
        </is>
      </c>
      <c r="F334" s="40" t="inlineStr">
        <is>
          <t>Always</t>
        </is>
      </c>
      <c r="G334" s="42" t="inlineStr">
        <is>
          <t>TRUE</t>
        </is>
      </c>
      <c r="H334" s="43">
        <f>IF(AND(TRUE(),D334&lt;=TARGET_LEVEL_NUM),"Applicable","N/A")</f>
        <v/>
      </c>
      <c r="I334" s="40" t="inlineStr">
        <is>
          <t>Configuration review + SAST</t>
        </is>
      </c>
      <c r="J334" s="40" t="inlineStr">
        <is>
          <t>Deterministic, continuous</t>
        </is>
      </c>
      <c r="K334" s="42" t="inlineStr">
        <is>
          <t>Pipeline</t>
        </is>
      </c>
      <c r="L334" s="42" t="inlineStr">
        <is>
          <t>Not assessed</t>
        </is>
      </c>
      <c r="M334" s="40" t="n"/>
      <c r="N334" s="40" t="n"/>
      <c r="O334" s="42" t="inlineStr">
        <is>
          <t>Medium</t>
        </is>
      </c>
      <c r="P334" s="43">
        <f>IF(H334="N/A","N/A",INDEX(CRIT_MATRIX,MATCH(O334,CRIT_MATRIX_ROWS,0),MATCH(APP_RISK_TIER,CRIT_MATRIX_COLS,0)))</f>
        <v/>
      </c>
    </row>
    <row r="335" ht="39.75" customHeight="1" s="19">
      <c r="A335" s="42" t="inlineStr">
        <is>
          <t>V16.5.2</t>
        </is>
      </c>
      <c r="B335" s="40" t="inlineStr">
        <is>
          <t>V16 - Security Logging and Error Handling</t>
        </is>
      </c>
      <c r="C335" s="40" t="inlineStr">
        <is>
          <t>V16.5 - Error Handling</t>
        </is>
      </c>
      <c r="D335" s="42" t="n">
        <v>2</v>
      </c>
      <c r="E335" s="40" t="inlineStr">
        <is>
          <t>Verify that the application continues to operate securely when external resource access fails, for example, by using patterns such as circuit breakers or graceful degradation.</t>
        </is>
      </c>
      <c r="F335" s="40" t="inlineStr">
        <is>
          <t>Always</t>
        </is>
      </c>
      <c r="G335" s="42" t="inlineStr">
        <is>
          <t>TRUE</t>
        </is>
      </c>
      <c r="H335" s="43">
        <f>IF(AND(TRUE(),D335&lt;=TARGET_LEVEL_NUM),"Applicable","N/A")</f>
        <v/>
      </c>
      <c r="I335" s="40" t="inlineStr">
        <is>
          <t>Configuration review + SAST</t>
        </is>
      </c>
      <c r="J335" s="40" t="inlineStr">
        <is>
          <t>Deterministic, continuous</t>
        </is>
      </c>
      <c r="K335" s="42" t="inlineStr">
        <is>
          <t>Pipeline</t>
        </is>
      </c>
      <c r="L335" s="42" t="inlineStr">
        <is>
          <t>Not assessed</t>
        </is>
      </c>
      <c r="M335" s="40" t="n"/>
      <c r="N335" s="40" t="n"/>
      <c r="O335" s="42" t="inlineStr">
        <is>
          <t>Medium</t>
        </is>
      </c>
      <c r="P335" s="43">
        <f>IF(H335="N/A","N/A",INDEX(CRIT_MATRIX,MATCH(O335,CRIT_MATRIX_ROWS,0),MATCH(APP_RISK_TIER,CRIT_MATRIX_COLS,0)))</f>
        <v/>
      </c>
    </row>
    <row r="336" ht="39.75" customHeight="1" s="19">
      <c r="A336" s="42" t="inlineStr">
        <is>
          <t>V16.5.3</t>
        </is>
      </c>
      <c r="B336" s="40" t="inlineStr">
        <is>
          <t>V16 - Security Logging and Error Handling</t>
        </is>
      </c>
      <c r="C336" s="40" t="inlineStr">
        <is>
          <t>V16.5 - Error Handling</t>
        </is>
      </c>
      <c r="D336" s="42" t="n">
        <v>2</v>
      </c>
      <c r="E336" s="40" t="inlineStr">
        <is>
          <t>Verify that the application fails gracefully and securely, including when an exception occurs, preventing fail-open conditions such as processing a transaction despite errors resulting from validation logic.</t>
        </is>
      </c>
      <c r="F336" s="40" t="inlineStr">
        <is>
          <t>Always</t>
        </is>
      </c>
      <c r="G336" s="42" t="inlineStr">
        <is>
          <t>TRUE</t>
        </is>
      </c>
      <c r="H336" s="43">
        <f>IF(AND(TRUE(),D336&lt;=TARGET_LEVEL_NUM),"Applicable","N/A")</f>
        <v/>
      </c>
      <c r="I336" s="40" t="inlineStr">
        <is>
          <t>Configuration review + SAST</t>
        </is>
      </c>
      <c r="J336" s="40" t="inlineStr">
        <is>
          <t>Deterministic, continuous</t>
        </is>
      </c>
      <c r="K336" s="42" t="inlineStr">
        <is>
          <t>Pipeline</t>
        </is>
      </c>
      <c r="L336" s="42" t="inlineStr">
        <is>
          <t>Not assessed</t>
        </is>
      </c>
      <c r="M336" s="40" t="n"/>
      <c r="N336" s="40" t="n"/>
      <c r="O336" s="42" t="inlineStr">
        <is>
          <t>Medium</t>
        </is>
      </c>
      <c r="P336" s="43">
        <f>IF(H336="N/A","N/A",INDEX(CRIT_MATRIX,MATCH(O336,CRIT_MATRIX_ROWS,0),MATCH(APP_RISK_TIER,CRIT_MATRIX_COLS,0)))</f>
        <v/>
      </c>
    </row>
    <row r="337" ht="39.75" customHeight="1" s="19">
      <c r="A337" s="42" t="inlineStr">
        <is>
          <t>V16.5.4</t>
        </is>
      </c>
      <c r="B337" s="40" t="inlineStr">
        <is>
          <t>V16 - Security Logging and Error Handling</t>
        </is>
      </c>
      <c r="C337" s="40" t="inlineStr">
        <is>
          <t>V16.5 - Error Handling</t>
        </is>
      </c>
      <c r="D337" s="42" t="n">
        <v>3</v>
      </c>
      <c r="E337" s="40" t="inlineStr">
        <is>
          <t>Verify that a "last resort" error handler is defined which will catch all unhandled exceptions. This is both to avoid losing error details that must go to log files and to ensure that an error does not take down the entire application process, leading to a loss of availability.</t>
        </is>
      </c>
      <c r="F337" s="40" t="inlineStr">
        <is>
          <t>Always</t>
        </is>
      </c>
      <c r="G337" s="42" t="inlineStr">
        <is>
          <t>TRUE</t>
        </is>
      </c>
      <c r="H337" s="43">
        <f>IF(AND(TRUE(),D337&lt;=TARGET_LEVEL_NUM),"Applicable","N/A")</f>
        <v/>
      </c>
      <c r="I337" s="40" t="inlineStr">
        <is>
          <t>Configuration review + SAST</t>
        </is>
      </c>
      <c r="J337" s="40" t="inlineStr">
        <is>
          <t>Deterministic, continuous</t>
        </is>
      </c>
      <c r="K337" s="42" t="inlineStr">
        <is>
          <t>Pipeline</t>
        </is>
      </c>
      <c r="L337" s="42" t="inlineStr">
        <is>
          <t>Not assessed</t>
        </is>
      </c>
      <c r="M337" s="40" t="n"/>
      <c r="N337" s="40" t="n"/>
      <c r="O337" s="42" t="inlineStr">
        <is>
          <t>Medium</t>
        </is>
      </c>
      <c r="P337" s="43">
        <f>IF(H337="N/A","N/A",INDEX(CRIT_MATRIX,MATCH(O337,CRIT_MATRIX_ROWS,0),MATCH(APP_RISK_TIER,CRIT_MATRIX_COLS,0)))</f>
        <v/>
      </c>
    </row>
    <row r="338" ht="39.75" customHeight="1" s="19">
      <c r="A338" s="42" t="inlineStr">
        <is>
          <t>V17.1.1</t>
        </is>
      </c>
      <c r="B338" s="40" t="inlineStr">
        <is>
          <t>V17 - WebRTC</t>
        </is>
      </c>
      <c r="C338" s="40" t="inlineStr">
        <is>
          <t>V17.1 - TURN Server</t>
        </is>
      </c>
      <c r="D338" s="42" t="n">
        <v>2</v>
      </c>
      <c r="E338" s="40" t="inlineStr">
        <is>
          <t>Verify that the Traversal Using Relays around NAT (TURN) service only allows access to IP addresses that are not reserved for special purposes (e.g., internal networks, broadcast, loopback). Note that this applies to both IPv4 and IPv6 addresses.</t>
        </is>
      </c>
      <c r="F338" s="40" t="inlineStr">
        <is>
          <t>If uses WebRTC</t>
        </is>
      </c>
      <c r="G338" s="42" t="inlineStr">
        <is>
          <t>WEBRTC_USED="Yes"</t>
        </is>
      </c>
      <c r="H338" s="43">
        <f>IF(AND(WEBRTC_USED="Yes",D338&lt;=TARGET_LEVEL_NUM),"Applicable","N/A")</f>
        <v/>
      </c>
      <c r="I338" s="40" t="inlineStr">
        <is>
          <t>SAST + DAST / configuration review</t>
        </is>
      </c>
      <c r="J338" s="40" t="inlineStr">
        <is>
          <t>Deterministic, continuous</t>
        </is>
      </c>
      <c r="K338" s="42" t="inlineStr">
        <is>
          <t>Pipeline</t>
        </is>
      </c>
      <c r="L338" s="42" t="inlineStr">
        <is>
          <t>Not assessed</t>
        </is>
      </c>
      <c r="M338" s="40" t="n"/>
      <c r="N338" s="40" t="n"/>
      <c r="O338" s="42" t="inlineStr">
        <is>
          <t>Medium</t>
        </is>
      </c>
      <c r="P338" s="43">
        <f>IF(H338="N/A","N/A",INDEX(CRIT_MATRIX,MATCH(O338,CRIT_MATRIX_ROWS,0),MATCH(APP_RISK_TIER,CRIT_MATRIX_COLS,0)))</f>
        <v/>
      </c>
    </row>
    <row r="339" ht="39.75" customHeight="1" s="19">
      <c r="A339" s="42" t="inlineStr">
        <is>
          <t>V17.1.2</t>
        </is>
      </c>
      <c r="B339" s="40" t="inlineStr">
        <is>
          <t>V17 - WebRTC</t>
        </is>
      </c>
      <c r="C339" s="40" t="inlineStr">
        <is>
          <t>V17.1 - TURN Server</t>
        </is>
      </c>
      <c r="D339" s="42" t="n">
        <v>3</v>
      </c>
      <c r="E339" s="40" t="inlineStr">
        <is>
          <t>Verify that the Traversal Using Relays around NAT (TURN) service is not susceptible to resource exhaustion when legitimate users attempt to open a large number of ports on the TURN server.</t>
        </is>
      </c>
      <c r="F339" s="40" t="inlineStr">
        <is>
          <t>If uses WebRTC</t>
        </is>
      </c>
      <c r="G339" s="42" t="inlineStr">
        <is>
          <t>WEBRTC_USED="Yes"</t>
        </is>
      </c>
      <c r="H339" s="43">
        <f>IF(AND(WEBRTC_USED="Yes",D339&lt;=TARGET_LEVEL_NUM),"Applicable","N/A")</f>
        <v/>
      </c>
      <c r="I339" s="40" t="inlineStr">
        <is>
          <t>SAST + DAST / configuration review</t>
        </is>
      </c>
      <c r="J339" s="40" t="inlineStr">
        <is>
          <t>Deterministic, continuous</t>
        </is>
      </c>
      <c r="K339" s="42" t="inlineStr">
        <is>
          <t>Pipeline</t>
        </is>
      </c>
      <c r="L339" s="42" t="inlineStr">
        <is>
          <t>Not assessed</t>
        </is>
      </c>
      <c r="M339" s="40" t="n"/>
      <c r="N339" s="40" t="n"/>
      <c r="O339" s="42" t="inlineStr">
        <is>
          <t>Medium</t>
        </is>
      </c>
      <c r="P339" s="43">
        <f>IF(H339="N/A","N/A",INDEX(CRIT_MATRIX,MATCH(O339,CRIT_MATRIX_ROWS,0),MATCH(APP_RISK_TIER,CRIT_MATRIX_COLS,0)))</f>
        <v/>
      </c>
    </row>
    <row r="340" ht="39.75" customHeight="1" s="19">
      <c r="A340" s="42" t="inlineStr">
        <is>
          <t>V17.2.1</t>
        </is>
      </c>
      <c r="B340" s="40" t="inlineStr">
        <is>
          <t>V17 - WebRTC</t>
        </is>
      </c>
      <c r="C340" s="40" t="inlineStr">
        <is>
          <t>V17.2 - Media</t>
        </is>
      </c>
      <c r="D340" s="42" t="n">
        <v>2</v>
      </c>
      <c r="E340" s="40" t="inlineStr">
        <is>
          <t>Verify that the key for the Datagram Transport Layer Security (DTLS) certificate is managed and protected based on the documented policy for management of cryptographic keys.</t>
        </is>
      </c>
      <c r="F340" s="40" t="inlineStr">
        <is>
          <t>If uses WebRTC</t>
        </is>
      </c>
      <c r="G340" s="42" t="inlineStr">
        <is>
          <t>WEBRTC_USED="Yes"</t>
        </is>
      </c>
      <c r="H340" s="43">
        <f>IF(AND(WEBRTC_USED="Yes",D340&lt;=TARGET_LEVEL_NUM),"Applicable","N/A")</f>
        <v/>
      </c>
      <c r="I340" s="40" t="inlineStr">
        <is>
          <t>SAST + DAST / configuration review</t>
        </is>
      </c>
      <c r="J340" s="40" t="inlineStr">
        <is>
          <t>Deterministic, continuous</t>
        </is>
      </c>
      <c r="K340" s="42" t="inlineStr">
        <is>
          <t>Pipeline</t>
        </is>
      </c>
      <c r="L340" s="42" t="inlineStr">
        <is>
          <t>Not assessed</t>
        </is>
      </c>
      <c r="M340" s="40" t="n"/>
      <c r="N340" s="40" t="n"/>
      <c r="O340" s="42" t="inlineStr">
        <is>
          <t>Medium</t>
        </is>
      </c>
      <c r="P340" s="43">
        <f>IF(H340="N/A","N/A",INDEX(CRIT_MATRIX,MATCH(O340,CRIT_MATRIX_ROWS,0),MATCH(APP_RISK_TIER,CRIT_MATRIX_COLS,0)))</f>
        <v/>
      </c>
    </row>
    <row r="341" ht="39.75" customHeight="1" s="19">
      <c r="A341" s="42" t="inlineStr">
        <is>
          <t>V17.2.2</t>
        </is>
      </c>
      <c r="B341" s="40" t="inlineStr">
        <is>
          <t>V17 - WebRTC</t>
        </is>
      </c>
      <c r="C341" s="40" t="inlineStr">
        <is>
          <t>V17.2 - Media</t>
        </is>
      </c>
      <c r="D341" s="42" t="n">
        <v>2</v>
      </c>
      <c r="E341" s="40" t="inlineStr">
        <is>
          <t>Verify that the media server is configured to use and support approved Datagram Transport Layer Security (DTLS) cipher suites and a secure protection profile for the DTLS Extension for establishing keys for the Secure Real-time Transport Protocol (DTLS-SRTP).</t>
        </is>
      </c>
      <c r="F341" s="40" t="inlineStr">
        <is>
          <t>If uses WebRTC</t>
        </is>
      </c>
      <c r="G341" s="42" t="inlineStr">
        <is>
          <t>WEBRTC_USED="Yes"</t>
        </is>
      </c>
      <c r="H341" s="43">
        <f>IF(AND(WEBRTC_USED="Yes",D341&lt;=TARGET_LEVEL_NUM),"Applicable","N/A")</f>
        <v/>
      </c>
      <c r="I341" s="40" t="inlineStr">
        <is>
          <t>SAST + DAST / configuration review</t>
        </is>
      </c>
      <c r="J341" s="40" t="inlineStr">
        <is>
          <t>Deterministic, continuous</t>
        </is>
      </c>
      <c r="K341" s="42" t="inlineStr">
        <is>
          <t>Pipeline</t>
        </is>
      </c>
      <c r="L341" s="42" t="inlineStr">
        <is>
          <t>Not assessed</t>
        </is>
      </c>
      <c r="M341" s="40" t="n"/>
      <c r="N341" s="40" t="n"/>
      <c r="O341" s="42" t="inlineStr">
        <is>
          <t>Medium</t>
        </is>
      </c>
      <c r="P341" s="43">
        <f>IF(H341="N/A","N/A",INDEX(CRIT_MATRIX,MATCH(O341,CRIT_MATRIX_ROWS,0),MATCH(APP_RISK_TIER,CRIT_MATRIX_COLS,0)))</f>
        <v/>
      </c>
    </row>
    <row r="342" ht="39.75" customHeight="1" s="19">
      <c r="A342" s="42" t="inlineStr">
        <is>
          <t>V17.2.3</t>
        </is>
      </c>
      <c r="B342" s="40" t="inlineStr">
        <is>
          <t>V17 - WebRTC</t>
        </is>
      </c>
      <c r="C342" s="40" t="inlineStr">
        <is>
          <t>V17.2 - Media</t>
        </is>
      </c>
      <c r="D342" s="42" t="n">
        <v>2</v>
      </c>
      <c r="E342" s="40" t="inlineStr">
        <is>
          <t>Verify that Secure Real-time Transport Protocol (SRTP) authentication is checked at the media server to prevent Real-time Transport Protocol (RTP) injection attacks from leading to either a Denial of Service condition or audio or video media insertion into media streams.</t>
        </is>
      </c>
      <c r="F342" s="40" t="inlineStr">
        <is>
          <t>If uses WebRTC</t>
        </is>
      </c>
      <c r="G342" s="42" t="inlineStr">
        <is>
          <t>WEBRTC_USED="Yes"</t>
        </is>
      </c>
      <c r="H342" s="43">
        <f>IF(AND(WEBRTC_USED="Yes",D342&lt;=TARGET_LEVEL_NUM),"Applicable","N/A")</f>
        <v/>
      </c>
      <c r="I342" s="40" t="inlineStr">
        <is>
          <t>SAST + DAST / configuration review</t>
        </is>
      </c>
      <c r="J342" s="40" t="inlineStr">
        <is>
          <t>Deterministic, continuous</t>
        </is>
      </c>
      <c r="K342" s="42" t="inlineStr">
        <is>
          <t>Pipeline</t>
        </is>
      </c>
      <c r="L342" s="42" t="inlineStr">
        <is>
          <t>Not assessed</t>
        </is>
      </c>
      <c r="M342" s="40" t="n"/>
      <c r="N342" s="40" t="n"/>
      <c r="O342" s="42" t="inlineStr">
        <is>
          <t>Medium</t>
        </is>
      </c>
      <c r="P342" s="43">
        <f>IF(H342="N/A","N/A",INDEX(CRIT_MATRIX,MATCH(O342,CRIT_MATRIX_ROWS,0),MATCH(APP_RISK_TIER,CRIT_MATRIX_COLS,0)))</f>
        <v/>
      </c>
    </row>
    <row r="343" ht="39.75" customHeight="1" s="19">
      <c r="A343" s="42" t="inlineStr">
        <is>
          <t>V17.2.4</t>
        </is>
      </c>
      <c r="B343" s="40" t="inlineStr">
        <is>
          <t>V17 - WebRTC</t>
        </is>
      </c>
      <c r="C343" s="40" t="inlineStr">
        <is>
          <t>V17.2 - Media</t>
        </is>
      </c>
      <c r="D343" s="42" t="n">
        <v>2</v>
      </c>
      <c r="E343" s="40" t="inlineStr">
        <is>
          <t>Verify that the media server is able to continue processing incoming media traffic when encountering malformed Secure Real-time Transport Protocol (SRTP) packets.</t>
        </is>
      </c>
      <c r="F343" s="40" t="inlineStr">
        <is>
          <t>If uses WebRTC</t>
        </is>
      </c>
      <c r="G343" s="42" t="inlineStr">
        <is>
          <t>WEBRTC_USED="Yes"</t>
        </is>
      </c>
      <c r="H343" s="43">
        <f>IF(AND(WEBRTC_USED="Yes",D343&lt;=TARGET_LEVEL_NUM),"Applicable","N/A")</f>
        <v/>
      </c>
      <c r="I343" s="40" t="inlineStr">
        <is>
          <t>SAST + DAST / configuration review</t>
        </is>
      </c>
      <c r="J343" s="40" t="inlineStr">
        <is>
          <t>Deterministic, continuous</t>
        </is>
      </c>
      <c r="K343" s="42" t="inlineStr">
        <is>
          <t>Pipeline</t>
        </is>
      </c>
      <c r="L343" s="42" t="inlineStr">
        <is>
          <t>Not assessed</t>
        </is>
      </c>
      <c r="M343" s="40" t="n"/>
      <c r="N343" s="40" t="n"/>
      <c r="O343" s="42" t="inlineStr">
        <is>
          <t>Medium</t>
        </is>
      </c>
      <c r="P343" s="43">
        <f>IF(H343="N/A","N/A",INDEX(CRIT_MATRIX,MATCH(O343,CRIT_MATRIX_ROWS,0),MATCH(APP_RISK_TIER,CRIT_MATRIX_COLS,0)))</f>
        <v/>
      </c>
    </row>
    <row r="344" ht="39.75" customHeight="1" s="19">
      <c r="A344" s="42" t="inlineStr">
        <is>
          <t>V17.2.5</t>
        </is>
      </c>
      <c r="B344" s="40" t="inlineStr">
        <is>
          <t>V17 - WebRTC</t>
        </is>
      </c>
      <c r="C344" s="40" t="inlineStr">
        <is>
          <t>V17.2 - Media</t>
        </is>
      </c>
      <c r="D344" s="42" t="n">
        <v>3</v>
      </c>
      <c r="E344" s="40" t="inlineStr">
        <is>
          <t>Verify that the media server is able to continue processing incoming media traffic during a flood of Secure Real-time Transport Protocol (SRTP) packets from legitimate users.</t>
        </is>
      </c>
      <c r="F344" s="40" t="inlineStr">
        <is>
          <t>If uses WebRTC</t>
        </is>
      </c>
      <c r="G344" s="42" t="inlineStr">
        <is>
          <t>WEBRTC_USED="Yes"</t>
        </is>
      </c>
      <c r="H344" s="43">
        <f>IF(AND(WEBRTC_USED="Yes",D344&lt;=TARGET_LEVEL_NUM),"Applicable","N/A")</f>
        <v/>
      </c>
      <c r="I344" s="40" t="inlineStr">
        <is>
          <t>SAST + DAST / configuration review</t>
        </is>
      </c>
      <c r="J344" s="40" t="inlineStr">
        <is>
          <t>Deterministic, continuous</t>
        </is>
      </c>
      <c r="K344" s="42" t="inlineStr">
        <is>
          <t>Pipeline</t>
        </is>
      </c>
      <c r="L344" s="42" t="inlineStr">
        <is>
          <t>Not assessed</t>
        </is>
      </c>
      <c r="M344" s="40" t="n"/>
      <c r="N344" s="40" t="n"/>
      <c r="O344" s="42" t="inlineStr">
        <is>
          <t>Medium</t>
        </is>
      </c>
      <c r="P344" s="43">
        <f>IF(H344="N/A","N/A",INDEX(CRIT_MATRIX,MATCH(O344,CRIT_MATRIX_ROWS,0),MATCH(APP_RISK_TIER,CRIT_MATRIX_COLS,0)))</f>
        <v/>
      </c>
    </row>
    <row r="345" ht="39.75" customHeight="1" s="19">
      <c r="A345" s="42" t="inlineStr">
        <is>
          <t>V17.2.6</t>
        </is>
      </c>
      <c r="B345" s="40" t="inlineStr">
        <is>
          <t>V17 - WebRTC</t>
        </is>
      </c>
      <c r="C345" s="40" t="inlineStr">
        <is>
          <t>V17.2 - Media</t>
        </is>
      </c>
      <c r="D345" s="42" t="n">
        <v>3</v>
      </c>
      <c r="E345" s="40" t="inlineStr">
        <is>
          <t>Verify that the media server is not susceptible to the "ClientHello" Race Condition vulnerability in Datagram Transport Layer Security (DTLS) by checking if the media server is publicly known to be vulnerable or by performing the race condition test.</t>
        </is>
      </c>
      <c r="F345" s="40" t="inlineStr">
        <is>
          <t>If uses WebRTC</t>
        </is>
      </c>
      <c r="G345" s="42" t="inlineStr">
        <is>
          <t>WEBRTC_USED="Yes"</t>
        </is>
      </c>
      <c r="H345" s="43">
        <f>IF(AND(WEBRTC_USED="Yes",D345&lt;=TARGET_LEVEL_NUM),"Applicable","N/A")</f>
        <v/>
      </c>
      <c r="I345" s="40" t="inlineStr">
        <is>
          <t>SAST + DAST / configuration review</t>
        </is>
      </c>
      <c r="J345" s="40" t="inlineStr">
        <is>
          <t>Deterministic, continuous</t>
        </is>
      </c>
      <c r="K345" s="42" t="inlineStr">
        <is>
          <t>Pipeline</t>
        </is>
      </c>
      <c r="L345" s="42" t="inlineStr">
        <is>
          <t>Not assessed</t>
        </is>
      </c>
      <c r="M345" s="40" t="n"/>
      <c r="N345" s="40" t="n"/>
      <c r="O345" s="42" t="inlineStr">
        <is>
          <t>Medium</t>
        </is>
      </c>
      <c r="P345" s="43">
        <f>IF(H345="N/A","N/A",INDEX(CRIT_MATRIX,MATCH(O345,CRIT_MATRIX_ROWS,0),MATCH(APP_RISK_TIER,CRIT_MATRIX_COLS,0)))</f>
        <v/>
      </c>
    </row>
    <row r="346" ht="39.75" customHeight="1" s="19">
      <c r="A346" s="42" t="inlineStr">
        <is>
          <t>V17.2.7</t>
        </is>
      </c>
      <c r="B346" s="40" t="inlineStr">
        <is>
          <t>V17 - WebRTC</t>
        </is>
      </c>
      <c r="C346" s="40" t="inlineStr">
        <is>
          <t>V17.2 - Media</t>
        </is>
      </c>
      <c r="D346" s="42" t="n">
        <v>3</v>
      </c>
      <c r="E346" s="40" t="inlineStr">
        <is>
          <t>Verify that any audio or video recording mechanisms associated with the media server are able to continue processing incoming media traffic during a flood of Secure Real-time Transport Protocol (SRTP) packets from legitimate users.</t>
        </is>
      </c>
      <c r="F346" s="40" t="inlineStr">
        <is>
          <t>If uses WebRTC</t>
        </is>
      </c>
      <c r="G346" s="42" t="inlineStr">
        <is>
          <t>WEBRTC_USED="Yes"</t>
        </is>
      </c>
      <c r="H346" s="43">
        <f>IF(AND(WEBRTC_USED="Yes",D346&lt;=TARGET_LEVEL_NUM),"Applicable","N/A")</f>
        <v/>
      </c>
      <c r="I346" s="40" t="inlineStr">
        <is>
          <t>SAST + DAST / configuration review</t>
        </is>
      </c>
      <c r="J346" s="40" t="inlineStr">
        <is>
          <t>Deterministic, continuous</t>
        </is>
      </c>
      <c r="K346" s="42" t="inlineStr">
        <is>
          <t>Pipeline</t>
        </is>
      </c>
      <c r="L346" s="42" t="inlineStr">
        <is>
          <t>Not assessed</t>
        </is>
      </c>
      <c r="M346" s="40" t="n"/>
      <c r="N346" s="40" t="n"/>
      <c r="O346" s="42" t="inlineStr">
        <is>
          <t>Medium</t>
        </is>
      </c>
      <c r="P346" s="43">
        <f>IF(H346="N/A","N/A",INDEX(CRIT_MATRIX,MATCH(O346,CRIT_MATRIX_ROWS,0),MATCH(APP_RISK_TIER,CRIT_MATRIX_COLS,0)))</f>
        <v/>
      </c>
    </row>
    <row r="347" ht="39.75" customHeight="1" s="19">
      <c r="A347" s="42" t="inlineStr">
        <is>
          <t>V17.2.8</t>
        </is>
      </c>
      <c r="B347" s="40" t="inlineStr">
        <is>
          <t>V17 - WebRTC</t>
        </is>
      </c>
      <c r="C347" s="40" t="inlineStr">
        <is>
          <t>V17.2 - Media</t>
        </is>
      </c>
      <c r="D347" s="42" t="n">
        <v>3</v>
      </c>
      <c r="E347" s="40" t="inlineStr">
        <is>
          <t>Verify that the Datagram Transport Layer Security (DTLS) certificate is checked against the Session Description Protocol (SDP) fingerprint attribute, terminating the media stream if the check fails, to ensure the authenticity of the media stream.</t>
        </is>
      </c>
      <c r="F347" s="40" t="inlineStr">
        <is>
          <t>If uses WebRTC</t>
        </is>
      </c>
      <c r="G347" s="42" t="inlineStr">
        <is>
          <t>WEBRTC_USED="Yes"</t>
        </is>
      </c>
      <c r="H347" s="43">
        <f>IF(AND(WEBRTC_USED="Yes",D347&lt;=TARGET_LEVEL_NUM),"Applicable","N/A")</f>
        <v/>
      </c>
      <c r="I347" s="40" t="inlineStr">
        <is>
          <t>SAST + DAST / configuration review</t>
        </is>
      </c>
      <c r="J347" s="40" t="inlineStr">
        <is>
          <t>Deterministic, continuous</t>
        </is>
      </c>
      <c r="K347" s="42" t="inlineStr">
        <is>
          <t>Pipeline</t>
        </is>
      </c>
      <c r="L347" s="42" t="inlineStr">
        <is>
          <t>Not assessed</t>
        </is>
      </c>
      <c r="M347" s="40" t="n"/>
      <c r="N347" s="40" t="n"/>
      <c r="O347" s="42" t="inlineStr">
        <is>
          <t>Medium</t>
        </is>
      </c>
      <c r="P347" s="43">
        <f>IF(H347="N/A","N/A",INDEX(CRIT_MATRIX,MATCH(O347,CRIT_MATRIX_ROWS,0),MATCH(APP_RISK_TIER,CRIT_MATRIX_COLS,0)))</f>
        <v/>
      </c>
    </row>
    <row r="348" ht="39.75" customHeight="1" s="19">
      <c r="A348" s="42" t="inlineStr">
        <is>
          <t>V17.3.1</t>
        </is>
      </c>
      <c r="B348" s="40" t="inlineStr">
        <is>
          <t>V17 - WebRTC</t>
        </is>
      </c>
      <c r="C348" s="40" t="inlineStr">
        <is>
          <t>V17.3 - Signaling</t>
        </is>
      </c>
      <c r="D348" s="42" t="n">
        <v>2</v>
      </c>
      <c r="E348" s="40" t="inlineStr">
        <is>
          <t>Verify that the signaling server is able to continue processing legitimate incoming signaling messages during a flood attack. This should be achieved by implementing rate limiting at the signaling level.</t>
        </is>
      </c>
      <c r="F348" s="40" t="inlineStr">
        <is>
          <t>If uses WebRTC</t>
        </is>
      </c>
      <c r="G348" s="42" t="inlineStr">
        <is>
          <t>WEBRTC_USED="Yes"</t>
        </is>
      </c>
      <c r="H348" s="43">
        <f>IF(AND(WEBRTC_USED="Yes",D348&lt;=TARGET_LEVEL_NUM),"Applicable","N/A")</f>
        <v/>
      </c>
      <c r="I348" s="40" t="inlineStr">
        <is>
          <t>SAST + DAST / configuration review</t>
        </is>
      </c>
      <c r="J348" s="40" t="inlineStr">
        <is>
          <t>Deterministic, continuous</t>
        </is>
      </c>
      <c r="K348" s="42" t="inlineStr">
        <is>
          <t>Pipeline</t>
        </is>
      </c>
      <c r="L348" s="42" t="inlineStr">
        <is>
          <t>Not assessed</t>
        </is>
      </c>
      <c r="M348" s="40" t="n"/>
      <c r="N348" s="40" t="n"/>
      <c r="O348" s="42" t="inlineStr">
        <is>
          <t>Medium</t>
        </is>
      </c>
      <c r="P348" s="43">
        <f>IF(H348="N/A","N/A",INDEX(CRIT_MATRIX,MATCH(O348,CRIT_MATRIX_ROWS,0),MATCH(APP_RISK_TIER,CRIT_MATRIX_COLS,0)))</f>
        <v/>
      </c>
    </row>
    <row r="349" ht="39.75" customHeight="1" s="19">
      <c r="A349" s="42" t="inlineStr">
        <is>
          <t>V17.3.2</t>
        </is>
      </c>
      <c r="B349" s="40" t="inlineStr">
        <is>
          <t>V17 - WebRTC</t>
        </is>
      </c>
      <c r="C349" s="40" t="inlineStr">
        <is>
          <t>V17.3 - Signaling</t>
        </is>
      </c>
      <c r="D349" s="42" t="n">
        <v>2</v>
      </c>
      <c r="E349" s="40" t="inlineStr">
        <is>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is>
      </c>
      <c r="F349" s="40" t="inlineStr">
        <is>
          <t>If uses WebRTC</t>
        </is>
      </c>
      <c r="G349" s="42" t="inlineStr">
        <is>
          <t>WEBRTC_USED="Yes"</t>
        </is>
      </c>
      <c r="H349" s="43">
        <f>IF(AND(WEBRTC_USED="Yes",D349&lt;=TARGET_LEVEL_NUM),"Applicable","N/A")</f>
        <v/>
      </c>
      <c r="I349" s="40" t="inlineStr">
        <is>
          <t>SAST + DAST / configuration review</t>
        </is>
      </c>
      <c r="J349" s="40" t="inlineStr">
        <is>
          <t>Deterministic, continuous</t>
        </is>
      </c>
      <c r="K349" s="42" t="inlineStr">
        <is>
          <t>Pipeline</t>
        </is>
      </c>
      <c r="L349" s="42" t="inlineStr">
        <is>
          <t>Not assessed</t>
        </is>
      </c>
      <c r="M349" s="40" t="n"/>
      <c r="N349" s="40" t="n"/>
      <c r="O349" s="42" t="inlineStr">
        <is>
          <t>Medium</t>
        </is>
      </c>
      <c r="P349" s="43">
        <f>IF(H349="N/A","N/A",INDEX(CRIT_MATRIX,MATCH(O349,CRIT_MATRIX_ROWS,0),MATCH(APP_RISK_TIER,CRIT_MATRIX_COLS,0)))</f>
        <v/>
      </c>
    </row>
  </sheetData>
  <autoFilter ref="A4:P349"/>
  <mergeCells count="2">
    <mergeCell ref="A2:N2"/>
    <mergeCell ref="A1:N1"/>
  </mergeCells>
  <conditionalFormatting sqref="H5:H349">
    <cfRule type="cellIs" rank="0" priority="2" equalAverage="0" operator="equal" aboveAverage="0" dxfId="5" text="" percent="0" bottom="0">
      <formula>"N/A"</formula>
    </cfRule>
  </conditionalFormatting>
  <conditionalFormatting sqref="L5:L349">
    <cfRule type="cellIs" rank="0" priority="3" equalAverage="0" operator="equal" aboveAverage="0" dxfId="6" text="" percent="0" bottom="0">
      <formula>"Gap"</formula>
    </cfRule>
    <cfRule type="cellIs" rank="0" priority="4" equalAverage="0" operator="equal" aboveAverage="0" dxfId="7" text="" percent="0" bottom="0">
      <formula>"Partial coverage"</formula>
    </cfRule>
    <cfRule type="cellIs" rank="0" priority="5" equalAverage="0" operator="equal" aboveAverage="0" dxfId="8" text="" percent="0" bottom="0">
      <formula>"Full coverage"</formula>
    </cfRule>
  </conditionalFormatting>
  <conditionalFormatting sqref="P5:P349">
    <cfRule type="cellIs" priority="5" operator="equal" dxfId="9">
      <formula>"Critical"</formula>
    </cfRule>
    <cfRule type="cellIs" priority="6" operator="equal" dxfId="10">
      <formula>"High"</formula>
    </cfRule>
    <cfRule type="cellIs" priority="7" operator="equal" dxfId="11">
      <formula>"Medium"</formula>
    </cfRule>
    <cfRule type="cellIs" priority="8" operator="equal" dxfId="12">
      <formula>"N/A"</formula>
    </cfRule>
  </conditionalFormatting>
  <dataValidations count="1">
    <dataValidation sqref="L5:L349" showDropDown="0" showInputMessage="0" showErrorMessage="0" allowBlank="1" type="list" errorStyle="stop" operator="between">
      <formula1>"Not assessed,Full coverage,Partial coverage,Gap,N/A"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P24"/>
  <sheetViews>
    <sheetView workbookViewId="0">
      <pane ySplit="4" topLeftCell="A5" activePane="bottomLeft" state="frozen"/>
      <selection pane="bottomLeft" activeCell="A1" sqref="A1"/>
    </sheetView>
  </sheetViews>
  <sheetFormatPr baseColWidth="8" defaultRowHeight="15"/>
  <cols>
    <col width="14" customWidth="1" style="19" min="1" max="1"/>
    <col width="24" customWidth="1" style="19" min="2" max="2"/>
    <col width="20" customWidth="1" style="19" min="3" max="3"/>
    <col width="7" customWidth="1" style="19" min="4" max="4"/>
    <col width="55" customWidth="1" style="19" min="5" max="5"/>
    <col width="26" customWidth="1" style="19" min="6" max="6"/>
    <col width="24" customWidth="1" style="19" min="7" max="7"/>
    <col width="11" customWidth="1" style="19" min="8" max="8"/>
    <col width="30" customWidth="1" style="19" min="9" max="9"/>
    <col width="18" customWidth="1" style="19" min="10" max="10"/>
    <col width="14" customWidth="1" style="19" min="11" max="11"/>
    <col width="16" customWidth="1" style="19" min="12" max="12"/>
    <col width="22" customWidth="1" style="19" min="13" max="13"/>
    <col width="26" customWidth="1" style="19" min="14" max="14"/>
    <col width="16" customWidth="1" style="19" min="15" max="15"/>
    <col width="14" customWidth="1" style="19" min="16" max="16"/>
  </cols>
  <sheetData>
    <row r="1">
      <c r="A1" s="44" t="inlineStr">
        <is>
          <t>Custom Controls — Company-Specific Additions Beyond OWASP ASVS</t>
        </is>
      </c>
    </row>
    <row r="2" ht="60" customHeight="1" s="19">
      <c r="A2" s="45" t="inlineStr">
        <is>
          <t>Use this sheet for requirements that matter to your organization but aren't part of the OWASP ASVS 345-requirement set (e.g., an internal policy, a contractual/regulatory obligation specific to your company, or a control for a technology ASVS doesn't cover). Never add these rows to the 'Master Template' sheet — that sheet must stay a verbatim copy of ASVS so it can be safely updated from future ASVS releases. Column G here is a live formula (unlike the hidden helper column on Master Template) — edit it directly to control when a row applies; leave it as =TRUE() to make a row always applicable regardless of the application's characterization answers.</t>
        </is>
      </c>
    </row>
    <row r="4" ht="27.75" customHeight="1" s="19">
      <c r="A4" s="46" t="inlineStr">
        <is>
          <t>Control ID</t>
        </is>
      </c>
      <c r="B4" s="46" t="inlineStr">
        <is>
          <t>Category</t>
        </is>
      </c>
      <c r="C4" s="46" t="inlineStr">
        <is>
          <t>Sub-category</t>
        </is>
      </c>
      <c r="D4" s="46" t="inlineStr">
        <is>
          <t>Level</t>
        </is>
      </c>
      <c r="E4" s="46" t="inlineStr">
        <is>
          <t>Requirement</t>
        </is>
      </c>
      <c r="F4" s="46" t="inlineStr">
        <is>
          <t>Applicability Condition</t>
        </is>
      </c>
      <c r="G4" s="46" t="inlineStr">
        <is>
          <t>Applicability Formula</t>
        </is>
      </c>
      <c r="H4" s="46" t="inlineStr">
        <is>
          <t>Applicable?</t>
        </is>
      </c>
      <c r="I4" s="46" t="inlineStr">
        <is>
          <t>Control Type</t>
        </is>
      </c>
      <c r="J4" s="46" t="inlineStr">
        <is>
          <t>Nature</t>
        </is>
      </c>
      <c r="K4" s="46" t="inlineStr">
        <is>
          <t>Verification Stage</t>
        </is>
      </c>
      <c r="L4" s="46" t="inlineStr">
        <is>
          <t>Coverage Status</t>
        </is>
      </c>
      <c r="M4" s="46" t="inlineStr">
        <is>
          <t>Tool / Evidence</t>
        </is>
      </c>
      <c r="N4" s="46" t="inlineStr">
        <is>
          <t>Notes</t>
        </is>
      </c>
      <c r="O4" s="46" t="inlineStr">
        <is>
          <t>Requirement Impact</t>
        </is>
      </c>
      <c r="P4" s="46" t="inlineStr">
        <is>
          <t>Criticality</t>
        </is>
      </c>
    </row>
    <row r="5" ht="45" customHeight="1" s="19">
      <c r="A5" s="47" t="inlineStr">
        <is>
          <t>EXAMPLE-01</t>
        </is>
      </c>
      <c r="B5" s="47" t="inlineStr">
        <is>
          <t>Internal Tooling</t>
        </is>
      </c>
      <c r="C5" s="47" t="inlineStr"/>
      <c r="D5" s="48" t="n">
        <v>1</v>
      </c>
      <c r="E5" s="47" t="inlineStr">
        <is>
          <t>EXAMPLE (edit or delete this row) — All internal admin panels must sit behind company SSO, not a local username/password.</t>
        </is>
      </c>
      <c r="F5" s="47" t="inlineStr">
        <is>
          <t>Always applicable</t>
        </is>
      </c>
      <c r="G5" s="47">
        <f>TRUE()</f>
        <v/>
      </c>
      <c r="H5" s="48">
        <f>IF($A5="","",IF(AND(G5,D5&lt;=TARGET_LEVEL_NUM),"Applicable","N/A"))</f>
        <v/>
      </c>
      <c r="I5" s="47" t="inlineStr">
        <is>
          <t>SAST (policy rule) + manual config review</t>
        </is>
      </c>
      <c r="J5" s="47" t="inlineStr">
        <is>
          <t>Deterministic, continuous</t>
        </is>
      </c>
      <c r="K5" s="47" t="inlineStr">
        <is>
          <t>Pipeline</t>
        </is>
      </c>
      <c r="L5" s="47" t="inlineStr">
        <is>
          <t>Not assessed</t>
        </is>
      </c>
      <c r="M5" s="47" t="inlineStr"/>
      <c r="N5" s="47" t="inlineStr">
        <is>
          <t>This is a worked example — replace with your own control, or delete the row.</t>
        </is>
      </c>
      <c r="O5" s="48" t="inlineStr">
        <is>
          <t>High</t>
        </is>
      </c>
      <c r="P5" s="48">
        <f>IF($A5="","",IF(H5="N/A","N/A",IFERROR(INDEX(CRIT_MATRIX,MATCH(O5,CRIT_MATRIX_ROWS,0),MATCH(APP_RISK_TIER,CRIT_MATRIX_COLS,0)),"")))</f>
        <v/>
      </c>
    </row>
    <row r="6" ht="45" customHeight="1" s="19">
      <c r="A6" s="49" t="n"/>
      <c r="B6" s="49" t="n"/>
      <c r="C6" s="49" t="n"/>
      <c r="D6" s="50" t="n"/>
      <c r="E6" s="49" t="n"/>
      <c r="F6" s="49" t="n"/>
      <c r="G6" s="49">
        <f>TRUE()</f>
        <v/>
      </c>
      <c r="H6" s="50">
        <f>IF($A6="","",IF(AND(G6,D6&lt;=TARGET_LEVEL_NUM),"Applicable","N/A"))</f>
        <v/>
      </c>
      <c r="I6" s="49" t="n"/>
      <c r="J6" s="49" t="n"/>
      <c r="K6" s="49" t="n"/>
      <c r="L6" s="49" t="n"/>
      <c r="M6" s="49" t="n"/>
      <c r="N6" s="49" t="n"/>
      <c r="O6" s="50" t="n"/>
      <c r="P6" s="50">
        <f>IF($A6="","",IF(H6="N/A","N/A",IFERROR(INDEX(CRIT_MATRIX,MATCH(O6,CRIT_MATRIX_ROWS,0),MATCH(APP_RISK_TIER,CRIT_MATRIX_COLS,0)),"")))</f>
        <v/>
      </c>
    </row>
    <row r="7" ht="45" customHeight="1" s="19">
      <c r="A7" s="49" t="n"/>
      <c r="B7" s="49" t="n"/>
      <c r="C7" s="49" t="n"/>
      <c r="D7" s="50" t="n"/>
      <c r="E7" s="49" t="n"/>
      <c r="F7" s="49" t="n"/>
      <c r="G7" s="49">
        <f>TRUE()</f>
        <v/>
      </c>
      <c r="H7" s="50">
        <f>IF($A7="","",IF(AND(G7,D7&lt;=TARGET_LEVEL_NUM),"Applicable","N/A"))</f>
        <v/>
      </c>
      <c r="I7" s="49" t="n"/>
      <c r="J7" s="49" t="n"/>
      <c r="K7" s="49" t="n"/>
      <c r="L7" s="49" t="n"/>
      <c r="M7" s="49" t="n"/>
      <c r="N7" s="49" t="n"/>
      <c r="O7" s="50" t="n"/>
      <c r="P7" s="50">
        <f>IF($A7="","",IF(H7="N/A","N/A",IFERROR(INDEX(CRIT_MATRIX,MATCH(O7,CRIT_MATRIX_ROWS,0),MATCH(APP_RISK_TIER,CRIT_MATRIX_COLS,0)),"")))</f>
        <v/>
      </c>
    </row>
    <row r="8" ht="45" customHeight="1" s="19">
      <c r="A8" s="49" t="n"/>
      <c r="B8" s="49" t="n"/>
      <c r="C8" s="49" t="n"/>
      <c r="D8" s="50" t="n"/>
      <c r="E8" s="49" t="n"/>
      <c r="F8" s="49" t="n"/>
      <c r="G8" s="49">
        <f>TRUE()</f>
        <v/>
      </c>
      <c r="H8" s="50">
        <f>IF($A8="","",IF(AND(G8,D8&lt;=TARGET_LEVEL_NUM),"Applicable","N/A"))</f>
        <v/>
      </c>
      <c r="I8" s="49" t="n"/>
      <c r="J8" s="49" t="n"/>
      <c r="K8" s="49" t="n"/>
      <c r="L8" s="49" t="n"/>
      <c r="M8" s="49" t="n"/>
      <c r="N8" s="49" t="n"/>
      <c r="O8" s="50" t="n"/>
      <c r="P8" s="50">
        <f>IF($A8="","",IF(H8="N/A","N/A",IFERROR(INDEX(CRIT_MATRIX,MATCH(O8,CRIT_MATRIX_ROWS,0),MATCH(APP_RISK_TIER,CRIT_MATRIX_COLS,0)),"")))</f>
        <v/>
      </c>
    </row>
    <row r="9" ht="45" customHeight="1" s="19">
      <c r="A9" s="49" t="n"/>
      <c r="B9" s="49" t="n"/>
      <c r="C9" s="49" t="n"/>
      <c r="D9" s="50" t="n"/>
      <c r="E9" s="49" t="n"/>
      <c r="F9" s="49" t="n"/>
      <c r="G9" s="49">
        <f>TRUE()</f>
        <v/>
      </c>
      <c r="H9" s="50">
        <f>IF($A9="","",IF(AND(G9,D9&lt;=TARGET_LEVEL_NUM),"Applicable","N/A"))</f>
        <v/>
      </c>
      <c r="I9" s="49" t="n"/>
      <c r="J9" s="49" t="n"/>
      <c r="K9" s="49" t="n"/>
      <c r="L9" s="49" t="n"/>
      <c r="M9" s="49" t="n"/>
      <c r="N9" s="49" t="n"/>
      <c r="O9" s="50" t="n"/>
      <c r="P9" s="50">
        <f>IF($A9="","",IF(H9="N/A","N/A",IFERROR(INDEX(CRIT_MATRIX,MATCH(O9,CRIT_MATRIX_ROWS,0),MATCH(APP_RISK_TIER,CRIT_MATRIX_COLS,0)),"")))</f>
        <v/>
      </c>
    </row>
    <row r="10" ht="45" customHeight="1" s="19">
      <c r="A10" s="49" t="n"/>
      <c r="B10" s="49" t="n"/>
      <c r="C10" s="49" t="n"/>
      <c r="D10" s="50" t="n"/>
      <c r="E10" s="49" t="n"/>
      <c r="F10" s="49" t="n"/>
      <c r="G10" s="49">
        <f>TRUE()</f>
        <v/>
      </c>
      <c r="H10" s="50">
        <f>IF($A10="","",IF(AND(G10,D10&lt;=TARGET_LEVEL_NUM),"Applicable","N/A"))</f>
        <v/>
      </c>
      <c r="I10" s="49" t="n"/>
      <c r="J10" s="49" t="n"/>
      <c r="K10" s="49" t="n"/>
      <c r="L10" s="49" t="n"/>
      <c r="M10" s="49" t="n"/>
      <c r="N10" s="49" t="n"/>
      <c r="O10" s="50" t="n"/>
      <c r="P10" s="50">
        <f>IF($A10="","",IF(H10="N/A","N/A",IFERROR(INDEX(CRIT_MATRIX,MATCH(O10,CRIT_MATRIX_ROWS,0),MATCH(APP_RISK_TIER,CRIT_MATRIX_COLS,0)),"")))</f>
        <v/>
      </c>
    </row>
    <row r="11" ht="45" customHeight="1" s="19">
      <c r="A11" s="49" t="n"/>
      <c r="B11" s="49" t="n"/>
      <c r="C11" s="49" t="n"/>
      <c r="D11" s="50" t="n"/>
      <c r="E11" s="49" t="n"/>
      <c r="F11" s="49" t="n"/>
      <c r="G11" s="49">
        <f>TRUE()</f>
        <v/>
      </c>
      <c r="H11" s="50">
        <f>IF($A11="","",IF(AND(G11,D11&lt;=TARGET_LEVEL_NUM),"Applicable","N/A"))</f>
        <v/>
      </c>
      <c r="I11" s="49" t="n"/>
      <c r="J11" s="49" t="n"/>
      <c r="K11" s="49" t="n"/>
      <c r="L11" s="49" t="n"/>
      <c r="M11" s="49" t="n"/>
      <c r="N11" s="49" t="n"/>
      <c r="O11" s="50" t="n"/>
      <c r="P11" s="50">
        <f>IF($A11="","",IF(H11="N/A","N/A",IFERROR(INDEX(CRIT_MATRIX,MATCH(O11,CRIT_MATRIX_ROWS,0),MATCH(APP_RISK_TIER,CRIT_MATRIX_COLS,0)),"")))</f>
        <v/>
      </c>
    </row>
    <row r="12" ht="45" customHeight="1" s="19">
      <c r="A12" s="49" t="n"/>
      <c r="B12" s="49" t="n"/>
      <c r="C12" s="49" t="n"/>
      <c r="D12" s="50" t="n"/>
      <c r="E12" s="49" t="n"/>
      <c r="F12" s="49" t="n"/>
      <c r="G12" s="49">
        <f>TRUE()</f>
        <v/>
      </c>
      <c r="H12" s="50">
        <f>IF($A12="","",IF(AND(G12,D12&lt;=TARGET_LEVEL_NUM),"Applicable","N/A"))</f>
        <v/>
      </c>
      <c r="I12" s="49" t="n"/>
      <c r="J12" s="49" t="n"/>
      <c r="K12" s="49" t="n"/>
      <c r="L12" s="49" t="n"/>
      <c r="M12" s="49" t="n"/>
      <c r="N12" s="49" t="n"/>
      <c r="O12" s="50" t="n"/>
      <c r="P12" s="50">
        <f>IF($A12="","",IF(H12="N/A","N/A",IFERROR(INDEX(CRIT_MATRIX,MATCH(O12,CRIT_MATRIX_ROWS,0),MATCH(APP_RISK_TIER,CRIT_MATRIX_COLS,0)),"")))</f>
        <v/>
      </c>
    </row>
    <row r="13" ht="45" customHeight="1" s="19">
      <c r="A13" s="49" t="n"/>
      <c r="B13" s="49" t="n"/>
      <c r="C13" s="49" t="n"/>
      <c r="D13" s="50" t="n"/>
      <c r="E13" s="49" t="n"/>
      <c r="F13" s="49" t="n"/>
      <c r="G13" s="49">
        <f>TRUE()</f>
        <v/>
      </c>
      <c r="H13" s="50">
        <f>IF($A13="","",IF(AND(G13,D13&lt;=TARGET_LEVEL_NUM),"Applicable","N/A"))</f>
        <v/>
      </c>
      <c r="I13" s="49" t="n"/>
      <c r="J13" s="49" t="n"/>
      <c r="K13" s="49" t="n"/>
      <c r="L13" s="49" t="n"/>
      <c r="M13" s="49" t="n"/>
      <c r="N13" s="49" t="n"/>
      <c r="O13" s="50" t="n"/>
      <c r="P13" s="50">
        <f>IF($A13="","",IF(H13="N/A","N/A",IFERROR(INDEX(CRIT_MATRIX,MATCH(O13,CRIT_MATRIX_ROWS,0),MATCH(APP_RISK_TIER,CRIT_MATRIX_COLS,0)),"")))</f>
        <v/>
      </c>
    </row>
    <row r="14" ht="45" customHeight="1" s="19">
      <c r="A14" s="49" t="n"/>
      <c r="B14" s="49" t="n"/>
      <c r="C14" s="49" t="n"/>
      <c r="D14" s="50" t="n"/>
      <c r="E14" s="49" t="n"/>
      <c r="F14" s="49" t="n"/>
      <c r="G14" s="49">
        <f>TRUE()</f>
        <v/>
      </c>
      <c r="H14" s="50">
        <f>IF($A14="","",IF(AND(G14,D14&lt;=TARGET_LEVEL_NUM),"Applicable","N/A"))</f>
        <v/>
      </c>
      <c r="I14" s="49" t="n"/>
      <c r="J14" s="49" t="n"/>
      <c r="K14" s="49" t="n"/>
      <c r="L14" s="49" t="n"/>
      <c r="M14" s="49" t="n"/>
      <c r="N14" s="49" t="n"/>
      <c r="O14" s="50" t="n"/>
      <c r="P14" s="50">
        <f>IF($A14="","",IF(H14="N/A","N/A",IFERROR(INDEX(CRIT_MATRIX,MATCH(O14,CRIT_MATRIX_ROWS,0),MATCH(APP_RISK_TIER,CRIT_MATRIX_COLS,0)),"")))</f>
        <v/>
      </c>
    </row>
    <row r="15" ht="45" customHeight="1" s="19">
      <c r="A15" s="49" t="n"/>
      <c r="B15" s="49" t="n"/>
      <c r="C15" s="49" t="n"/>
      <c r="D15" s="50" t="n"/>
      <c r="E15" s="49" t="n"/>
      <c r="F15" s="49" t="n"/>
      <c r="G15" s="49">
        <f>TRUE()</f>
        <v/>
      </c>
      <c r="H15" s="50">
        <f>IF($A15="","",IF(AND(G15,D15&lt;=TARGET_LEVEL_NUM),"Applicable","N/A"))</f>
        <v/>
      </c>
      <c r="I15" s="49" t="n"/>
      <c r="J15" s="49" t="n"/>
      <c r="K15" s="49" t="n"/>
      <c r="L15" s="49" t="n"/>
      <c r="M15" s="49" t="n"/>
      <c r="N15" s="49" t="n"/>
      <c r="O15" s="50" t="n"/>
      <c r="P15" s="50">
        <f>IF($A15="","",IF(H15="N/A","N/A",IFERROR(INDEX(CRIT_MATRIX,MATCH(O15,CRIT_MATRIX_ROWS,0),MATCH(APP_RISK_TIER,CRIT_MATRIX_COLS,0)),"")))</f>
        <v/>
      </c>
    </row>
    <row r="16" ht="45" customHeight="1" s="19">
      <c r="A16" s="49" t="n"/>
      <c r="B16" s="49" t="n"/>
      <c r="C16" s="49" t="n"/>
      <c r="D16" s="50" t="n"/>
      <c r="E16" s="49" t="n"/>
      <c r="F16" s="49" t="n"/>
      <c r="G16" s="49">
        <f>TRUE()</f>
        <v/>
      </c>
      <c r="H16" s="50">
        <f>IF($A16="","",IF(AND(G16,D16&lt;=TARGET_LEVEL_NUM),"Applicable","N/A"))</f>
        <v/>
      </c>
      <c r="I16" s="49" t="n"/>
      <c r="J16" s="49" t="n"/>
      <c r="K16" s="49" t="n"/>
      <c r="L16" s="49" t="n"/>
      <c r="M16" s="49" t="n"/>
      <c r="N16" s="49" t="n"/>
      <c r="O16" s="50" t="n"/>
      <c r="P16" s="50">
        <f>IF($A16="","",IF(H16="N/A","N/A",IFERROR(INDEX(CRIT_MATRIX,MATCH(O16,CRIT_MATRIX_ROWS,0),MATCH(APP_RISK_TIER,CRIT_MATRIX_COLS,0)),"")))</f>
        <v/>
      </c>
    </row>
    <row r="17" ht="45" customHeight="1" s="19">
      <c r="A17" s="49" t="n"/>
      <c r="B17" s="49" t="n"/>
      <c r="C17" s="49" t="n"/>
      <c r="D17" s="50" t="n"/>
      <c r="E17" s="49" t="n"/>
      <c r="F17" s="49" t="n"/>
      <c r="G17" s="49">
        <f>TRUE()</f>
        <v/>
      </c>
      <c r="H17" s="50">
        <f>IF($A17="","",IF(AND(G17,D17&lt;=TARGET_LEVEL_NUM),"Applicable","N/A"))</f>
        <v/>
      </c>
      <c r="I17" s="49" t="n"/>
      <c r="J17" s="49" t="n"/>
      <c r="K17" s="49" t="n"/>
      <c r="L17" s="49" t="n"/>
      <c r="M17" s="49" t="n"/>
      <c r="N17" s="49" t="n"/>
      <c r="O17" s="50" t="n"/>
      <c r="P17" s="50">
        <f>IF($A17="","",IF(H17="N/A","N/A",IFERROR(INDEX(CRIT_MATRIX,MATCH(O17,CRIT_MATRIX_ROWS,0),MATCH(APP_RISK_TIER,CRIT_MATRIX_COLS,0)),"")))</f>
        <v/>
      </c>
    </row>
    <row r="18" ht="45" customHeight="1" s="19">
      <c r="A18" s="49" t="n"/>
      <c r="B18" s="49" t="n"/>
      <c r="C18" s="49" t="n"/>
      <c r="D18" s="50" t="n"/>
      <c r="E18" s="49" t="n"/>
      <c r="F18" s="49" t="n"/>
      <c r="G18" s="49">
        <f>TRUE()</f>
        <v/>
      </c>
      <c r="H18" s="50">
        <f>IF($A18="","",IF(AND(G18,D18&lt;=TARGET_LEVEL_NUM),"Applicable","N/A"))</f>
        <v/>
      </c>
      <c r="I18" s="49" t="n"/>
      <c r="J18" s="49" t="n"/>
      <c r="K18" s="49" t="n"/>
      <c r="L18" s="49" t="n"/>
      <c r="M18" s="49" t="n"/>
      <c r="N18" s="49" t="n"/>
      <c r="O18" s="50" t="n"/>
      <c r="P18" s="50">
        <f>IF($A18="","",IF(H18="N/A","N/A",IFERROR(INDEX(CRIT_MATRIX,MATCH(O18,CRIT_MATRIX_ROWS,0),MATCH(APP_RISK_TIER,CRIT_MATRIX_COLS,0)),"")))</f>
        <v/>
      </c>
    </row>
    <row r="19" ht="45" customHeight="1" s="19">
      <c r="A19" s="49" t="n"/>
      <c r="B19" s="49" t="n"/>
      <c r="C19" s="49" t="n"/>
      <c r="D19" s="50" t="n"/>
      <c r="E19" s="49" t="n"/>
      <c r="F19" s="49" t="n"/>
      <c r="G19" s="49">
        <f>TRUE()</f>
        <v/>
      </c>
      <c r="H19" s="50">
        <f>IF($A19="","",IF(AND(G19,D19&lt;=TARGET_LEVEL_NUM),"Applicable","N/A"))</f>
        <v/>
      </c>
      <c r="I19" s="49" t="n"/>
      <c r="J19" s="49" t="n"/>
      <c r="K19" s="49" t="n"/>
      <c r="L19" s="49" t="n"/>
      <c r="M19" s="49" t="n"/>
      <c r="N19" s="49" t="n"/>
      <c r="O19" s="50" t="n"/>
      <c r="P19" s="50">
        <f>IF($A19="","",IF(H19="N/A","N/A",IFERROR(INDEX(CRIT_MATRIX,MATCH(O19,CRIT_MATRIX_ROWS,0),MATCH(APP_RISK_TIER,CRIT_MATRIX_COLS,0)),"")))</f>
        <v/>
      </c>
    </row>
    <row r="20" ht="45" customHeight="1" s="19">
      <c r="A20" s="49" t="n"/>
      <c r="B20" s="49" t="n"/>
      <c r="C20" s="49" t="n"/>
      <c r="D20" s="50" t="n"/>
      <c r="E20" s="49" t="n"/>
      <c r="F20" s="49" t="n"/>
      <c r="G20" s="49">
        <f>TRUE()</f>
        <v/>
      </c>
      <c r="H20" s="50">
        <f>IF($A20="","",IF(AND(G20,D20&lt;=TARGET_LEVEL_NUM),"Applicable","N/A"))</f>
        <v/>
      </c>
      <c r="I20" s="49" t="n"/>
      <c r="J20" s="49" t="n"/>
      <c r="K20" s="49" t="n"/>
      <c r="L20" s="49" t="n"/>
      <c r="M20" s="49" t="n"/>
      <c r="N20" s="49" t="n"/>
      <c r="O20" s="50" t="n"/>
      <c r="P20" s="50">
        <f>IF($A20="","",IF(H20="N/A","N/A",IFERROR(INDEX(CRIT_MATRIX,MATCH(O20,CRIT_MATRIX_ROWS,0),MATCH(APP_RISK_TIER,CRIT_MATRIX_COLS,0)),"")))</f>
        <v/>
      </c>
    </row>
    <row r="21" ht="45" customHeight="1" s="19">
      <c r="A21" s="49" t="n"/>
      <c r="B21" s="49" t="n"/>
      <c r="C21" s="49" t="n"/>
      <c r="D21" s="50" t="n"/>
      <c r="E21" s="49" t="n"/>
      <c r="F21" s="49" t="n"/>
      <c r="G21" s="49">
        <f>TRUE()</f>
        <v/>
      </c>
      <c r="H21" s="50">
        <f>IF($A21="","",IF(AND(G21,D21&lt;=TARGET_LEVEL_NUM),"Applicable","N/A"))</f>
        <v/>
      </c>
      <c r="I21" s="49" t="n"/>
      <c r="J21" s="49" t="n"/>
      <c r="K21" s="49" t="n"/>
      <c r="L21" s="49" t="n"/>
      <c r="M21" s="49" t="n"/>
      <c r="N21" s="49" t="n"/>
      <c r="O21" s="50" t="n"/>
      <c r="P21" s="50">
        <f>IF($A21="","",IF(H21="N/A","N/A",IFERROR(INDEX(CRIT_MATRIX,MATCH(O21,CRIT_MATRIX_ROWS,0),MATCH(APP_RISK_TIER,CRIT_MATRIX_COLS,0)),"")))</f>
        <v/>
      </c>
    </row>
    <row r="22" ht="45" customHeight="1" s="19">
      <c r="A22" s="49" t="n"/>
      <c r="B22" s="49" t="n"/>
      <c r="C22" s="49" t="n"/>
      <c r="D22" s="50" t="n"/>
      <c r="E22" s="49" t="n"/>
      <c r="F22" s="49" t="n"/>
      <c r="G22" s="49">
        <f>TRUE()</f>
        <v/>
      </c>
      <c r="H22" s="50">
        <f>IF($A22="","",IF(AND(G22,D22&lt;=TARGET_LEVEL_NUM),"Applicable","N/A"))</f>
        <v/>
      </c>
      <c r="I22" s="49" t="n"/>
      <c r="J22" s="49" t="n"/>
      <c r="K22" s="49" t="n"/>
      <c r="L22" s="49" t="n"/>
      <c r="M22" s="49" t="n"/>
      <c r="N22" s="49" t="n"/>
      <c r="O22" s="50" t="n"/>
      <c r="P22" s="50">
        <f>IF($A22="","",IF(H22="N/A","N/A",IFERROR(INDEX(CRIT_MATRIX,MATCH(O22,CRIT_MATRIX_ROWS,0),MATCH(APP_RISK_TIER,CRIT_MATRIX_COLS,0)),"")))</f>
        <v/>
      </c>
    </row>
    <row r="23" ht="45" customHeight="1" s="19">
      <c r="A23" s="49" t="n"/>
      <c r="B23" s="49" t="n"/>
      <c r="C23" s="49" t="n"/>
      <c r="D23" s="50" t="n"/>
      <c r="E23" s="49" t="n"/>
      <c r="F23" s="49" t="n"/>
      <c r="G23" s="49">
        <f>TRUE()</f>
        <v/>
      </c>
      <c r="H23" s="50">
        <f>IF($A23="","",IF(AND(G23,D23&lt;=TARGET_LEVEL_NUM),"Applicable","N/A"))</f>
        <v/>
      </c>
      <c r="I23" s="49" t="n"/>
      <c r="J23" s="49" t="n"/>
      <c r="K23" s="49" t="n"/>
      <c r="L23" s="49" t="n"/>
      <c r="M23" s="49" t="n"/>
      <c r="N23" s="49" t="n"/>
      <c r="O23" s="50" t="n"/>
      <c r="P23" s="50">
        <f>IF($A23="","",IF(H23="N/A","N/A",IFERROR(INDEX(CRIT_MATRIX,MATCH(O23,CRIT_MATRIX_ROWS,0),MATCH(APP_RISK_TIER,CRIT_MATRIX_COLS,0)),"")))</f>
        <v/>
      </c>
    </row>
    <row r="24" ht="45" customHeight="1" s="19">
      <c r="A24" s="49" t="n"/>
      <c r="B24" s="49" t="n"/>
      <c r="C24" s="49" t="n"/>
      <c r="D24" s="50" t="n"/>
      <c r="E24" s="49" t="n"/>
      <c r="F24" s="49" t="n"/>
      <c r="G24" s="49">
        <f>TRUE()</f>
        <v/>
      </c>
      <c r="H24" s="50">
        <f>IF($A24="","",IF(AND(G24,D24&lt;=TARGET_LEVEL_NUM),"Applicable","N/A"))</f>
        <v/>
      </c>
      <c r="I24" s="49" t="n"/>
      <c r="J24" s="49" t="n"/>
      <c r="K24" s="49" t="n"/>
      <c r="L24" s="49" t="n"/>
      <c r="M24" s="49" t="n"/>
      <c r="N24" s="49" t="n"/>
      <c r="O24" s="50" t="n"/>
      <c r="P24" s="50">
        <f>IF($A24="","",IF(H24="N/A","N/A",IFERROR(INDEX(CRIT_MATRIX,MATCH(O24,CRIT_MATRIX_ROWS,0),MATCH(APP_RISK_TIER,CRIT_MATRIX_COLS,0)),"")))</f>
        <v/>
      </c>
    </row>
  </sheetData>
  <autoFilter ref="A4:P24"/>
  <mergeCells count="1">
    <mergeCell ref="A2:P2"/>
  </mergeCells>
  <conditionalFormatting sqref="H5:H24">
    <cfRule type="cellIs" priority="1" operator="equal" dxfId="12">
      <formula>"N/A"</formula>
    </cfRule>
  </conditionalFormatting>
  <conditionalFormatting sqref="L5:L24">
    <cfRule type="cellIs" priority="2" operator="equal" dxfId="9">
      <formula>"Gap"</formula>
    </cfRule>
    <cfRule type="cellIs" priority="3" operator="equal" dxfId="11">
      <formula>"Partial coverage"</formula>
    </cfRule>
    <cfRule type="cellIs" priority="4" operator="equal" dxfId="13">
      <formula>"Full coverage"</formula>
    </cfRule>
  </conditionalFormatting>
  <conditionalFormatting sqref="P5:P24">
    <cfRule type="cellIs" priority="5" operator="equal" dxfId="9">
      <formula>"Critical"</formula>
    </cfRule>
    <cfRule type="cellIs" priority="6" operator="equal" dxfId="10">
      <formula>"High"</formula>
    </cfRule>
    <cfRule type="cellIs" priority="7" operator="equal" dxfId="11">
      <formula>"Medium"</formula>
    </cfRule>
    <cfRule type="cellIs" priority="8" operator="equal" dxfId="12">
      <formula>"N/A"</formula>
    </cfRule>
  </conditionalFormatting>
  <dataValidations count="3">
    <dataValidation sqref="D5:D24" showDropDown="0" showInputMessage="0" showErrorMessage="0" allowBlank="1" type="list">
      <formula1>"1,2,3"</formula1>
    </dataValidation>
    <dataValidation sqref="L5:L24" showDropDown="0" showInputMessage="0" showErrorMessage="0" allowBlank="1" type="list">
      <formula1>"Not assessed,Full coverage,Partial coverage,Gap,N/A"</formula1>
    </dataValidation>
    <dataValidation sqref="O5:O24" showDropDown="0" showInputMessage="0" showErrorMessage="0" allowBlank="1" type="list">
      <formula1>"Low,Medium,High"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2026-09-19T14:27:09Z</dcterms:created>
  <dcterms:modified xsi:type="dcterms:W3CDTF">2026-09-21T19:23:40Z</dcterms:modified>
  <cp:revision>0</cp:revision>
</cp:coreProperties>
</file>