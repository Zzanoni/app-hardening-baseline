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Master Template" sheetId="3" state="visible" r:id="rId3"/>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_xlnm._FilterDatabase" localSheetId="2" hidden="1">'Master Template'!$A$4:$P$349</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s>
  <fills count="8">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20" t="inlineStr">
        <is>
          <t>ASVS-Based Application Hardening Master Template — User Guide</t>
        </is>
      </c>
    </row>
    <row r="3" ht="18" customHeight="1" s="19">
      <c r="A3" s="21" t="inlineStr">
        <is>
          <t>What this file is</t>
        </is>
      </c>
    </row>
    <row r="4" ht="45" customHeight="1" s="19">
      <c r="A4" s="22" t="inlineStr">
        <is>
          <t>This workbook is the master application-hardening baseline, built from the complete OWASP ASVS 5.0.0 requirement set (345 requirements, 17 chapters, levels L1/L2/L3). It complements the governance document 'Application Hardening — Agnostic Baseline and Coverage Matrix'. It is maintained once, centrally, and then filtered per application without being rewritten each time.</t>
        </is>
      </c>
    </row>
    <row r="5" ht="45" customHeight="1" s="19">
      <c r="A5" s="22" t="inlineStr">
        <is>
          <t>Source — OWASP Application Security Verification Standard (ASVS) v5.0.0 — https://github.com/OWASP/ASVS</t>
        </is>
      </c>
    </row>
    <row r="6" ht="18" customHeight="1" s="19">
      <c r="A6" s="21" t="inlineStr">
        <is>
          <t>How to use it for a specific application</t>
        </is>
      </c>
    </row>
    <row r="7" ht="45" customHeight="1" s="19">
      <c r="A7" s="22" t="inlineStr">
        <is>
          <t>Step 1 — Make a copy of this file named after the application (e.g., Hardening_AppX.xlsx).</t>
        </is>
      </c>
    </row>
    <row r="8" ht="45" customHeight="1" s="19">
      <c r="A8" s="22" t="inlineStr">
        <is>
          <t>Step 2 — On the 'Characterization Form' sheet, fill in the 'Answer' column (highlighted in yellow) describing the nature of the application (target ASVS level, whether it exposes an API, uses OAuth/OIDC, is session-based, etc.). Use only the values offered in each dropdown — the closed vocabulary is what drives automatic filtering.</t>
        </is>
      </c>
    </row>
    <row r="9" ht="45" customHeight="1" s="19">
      <c r="A9" s="22" t="inlineStr">
        <is>
          <t>Step 3 — Go to the 'Master Template' sheet. Column H (Applicable?) recalculates automatically from two things: (a) whether the requirement's ASVS chapter applies to this kind of application, and (b) whether the requirement's level is within the target level chosen in Step 2. Column P (Criticality) recalculates alongside it, from column O (Requirement Impact, fixed per ASVS chapter) crossed against this application's risk tier (computed from the Characterization Form's Data Sensitivity, Exposure, and Business Impact answers). Use the header AutoFilter to filter 'Applicable' and work only with the requirements that actually apply to this application.</t>
        </is>
      </c>
    </row>
    <row r="10" ht="45" customHeight="1" s="19">
      <c r="A10" s="22" t="inlineStr">
        <is>
          <t>Step 4 — For every requirement marked 'Applicable', fill in column L (Coverage Status) with the real status (Full coverage, Partial coverage, Gap, Not assessed), column M with the actual tool/evidence used at this company, and column N with notes.</t>
        </is>
      </c>
    </row>
    <row r="11" ht="45" customHeight="1" s="19">
      <c r="A11" s="22" t="inlineStr">
        <is>
          <t>Step 5 — Requirements marked 'N/A' need no status — they remain on record as 'considered and excluded by criterion', which is itself the audit evidence that the item was not overlooked, only ruled out based on the answers given in the Characterization Form.</t>
        </is>
      </c>
    </row>
    <row r="12" ht="18" customHeight="1" s="19">
      <c r="A12" t="inlineStr">
        <is>
          <t>Step 6 — Column P (Criticality: Low/Medium/High/Critical) tells you which applicable requirements matter most for this specific application — it is not fixed per ASVS requirement, it depends on both the requirement's inherent impact and this application's risk profile. Items marked Critical or High are subject to the company's governance rules for high-risk findings (see the governance document's 'Governance rules by criticality' section).</t>
        </is>
      </c>
    </row>
    <row r="13" ht="45" customHeight="1" s="19">
      <c r="A13" t="inlineStr"/>
    </row>
    <row r="14" ht="18" customHeight="1" s="19">
      <c r="A14" s="21" t="inlineStr">
        <is>
          <t>Formalizing the output per application</t>
        </is>
      </c>
    </row>
    <row r="15" ht="45" customHeight="1" s="19">
      <c r="A15" s="22" t="inlineStr">
        <is>
          <t>Confluence — Once filled in, this filtered sheet is the data source for the per-application hardening record. Given the volume (100+ applications), a Confluence page per application (built from a page template) is the recommended format over a Word document per app — it stays versioned, searchable, linkable and commentable without generating a hundred loose files. How to turn a filtered sheet into a Confluence page is covered separately.</t>
        </is>
      </c>
    </row>
    <row r="16" ht="18" customHeight="1" s="19">
      <c r="A16" s="21" t="inlineStr">
        <is>
          <t>Maintaining the baseline</t>
        </is>
      </c>
    </row>
    <row r="17" ht="45" customHeight="1" s="19">
      <c r="A17" s="22" t="inlineStr">
        <is>
          <t>Updating a requirement — When a requirement changes (e.g., ASVS releases a new version, or a regulatory requirement is added), edit only this master file. The change propagates to any application whose next copy/update is generated from it.</t>
        </is>
      </c>
    </row>
    <row r="18" ht="18" customHeight="1" s="19">
      <c r="A18" s="21" t="inlineStr">
        <is>
          <t>Scope note</t>
        </is>
      </c>
    </row>
    <row r="19" ht="45" customHeight="1" s="19">
      <c r="A19" s="22" t="inlineStr">
        <is>
          <t>Applicability in this template is scored at the ASVS chapter level (17 chapters), not per individual requirement. Within an applicable chapter, all requirements at or below the application's target level are considered applicable. This keeps the model auditable and maintainable across 100+ applications, at the cost of some requirements inside an applicable chapter being marginally relevant to a given app — those should be marked 'N/A' manually in column L with a one-line justification in column N.</t>
        </is>
      </c>
    </row>
    <row r="20" ht="45" customHeight="1" s="19">
      <c r="A20" s="21" t="inlineStr">
        <is>
          <t>Color conventions</t>
        </is>
      </c>
    </row>
    <row r="21" ht="45" customHeight="1" s="19">
      <c r="A21" s="22" t="inlineStr">
        <is>
          <t>Yellow — Input cell — fill in per application (Characterization Form).</t>
        </is>
      </c>
    </row>
    <row r="22">
      <c r="A22" s="22" t="inlineStr">
        <is>
          <t>Light grey — Row computed as N/A for the current application (Master Template, column H).</t>
        </is>
      </c>
    </row>
    <row r="23">
      <c r="A23" s="22" t="inlineStr">
        <is>
          <t>Red / Yellow / Green (column L) — Coverage status: Gap (red), Partial coverage (yellow), Full coverage (green).</t>
        </is>
      </c>
    </row>
    <row r="24">
      <c r="A24" t="inlineStr">
        <is>
          <t>Red / Orange / Yellow / Grey (column P) — Criticality: Critical (red), High (orange), Medium (yellow), N/A (grey).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3"/>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5" t="inlineStr">
        <is>
          <t>APP_NAME</t>
        </is>
      </c>
      <c r="B5" s="26" t="inlineStr">
        <is>
          <t>Application name</t>
        </is>
      </c>
      <c r="C5" s="26" t="inlineStr">
        <is>
          <t>—</t>
        </is>
      </c>
      <c r="D5" s="27" t="n"/>
      <c r="E5" s="28" t="inlineStr">
        <is>
          <t>Free text — identifies the application being assessed.</t>
        </is>
      </c>
    </row>
    <row r="6" ht="45.75" customHeight="1" s="19">
      <c r="A6" s="25" t="inlineStr">
        <is>
          <t>TARGET_LEVEL</t>
        </is>
      </c>
      <c r="B6" s="26" t="inlineStr">
        <is>
          <t>Target ASVS verification level for this application</t>
        </is>
      </c>
      <c r="C6" s="26" t="inlineStr">
        <is>
          <t>L1, L2, L3</t>
        </is>
      </c>
      <c r="D6" s="27" t="n"/>
      <c r="E6" s="28"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5" t="inlineStr">
        <is>
          <t>API_EXPOSED</t>
        </is>
      </c>
      <c r="B7" s="26" t="inlineStr">
        <is>
          <t>Does the application expose an API (REST/GraphQL/WebSocket/RPC) for external or service-to-service consumption?</t>
        </is>
      </c>
      <c r="C7" s="26" t="inlineStr">
        <is>
          <t>Yes, No</t>
        </is>
      </c>
      <c r="D7" s="27" t="n"/>
      <c r="E7" s="28" t="inlineStr">
        <is>
          <t>Gates ASVS Chapter V4 (API and Web Service). Includes internal APIs consumed by other teams/services.</t>
        </is>
      </c>
    </row>
    <row r="8" ht="45.75" customHeight="1" s="19">
      <c r="A8" s="25" t="inlineStr">
        <is>
          <t>SPA_FRONTEND</t>
        </is>
      </c>
      <c r="B8" s="26" t="inlineStr">
        <is>
          <t>Does the application have a client-side front end (SPA) that executes logic in the user's browser?</t>
        </is>
      </c>
      <c r="C8" s="26" t="inlineStr">
        <is>
          <t>Yes, No</t>
        </is>
      </c>
      <c r="D8" s="27" t="n"/>
      <c r="E8" s="28" t="inlineStr">
        <is>
          <t>Gates ASVS Chapter V3 (Web Frontend Security). Distinct from pure server-side rendering.</t>
        </is>
      </c>
    </row>
    <row r="9" ht="45.75" customHeight="1" s="19">
      <c r="A9" s="25" t="inlineStr">
        <is>
          <t>SESSION_STATEFUL</t>
        </is>
      </c>
      <c r="B9" s="26" t="inlineStr">
        <is>
          <t>Does the application maintain server-side stateful sessions (session ID + store)?</t>
        </is>
      </c>
      <c r="C9" s="26" t="inlineStr">
        <is>
          <t>Yes, No</t>
        </is>
      </c>
      <c r="D9" s="27" t="n"/>
      <c r="E9" s="28" t="inlineStr">
        <is>
          <t>Gates ASVS Chapter V7 (Session Management) when 'Yes', and Chapter V9 (Self-contained Tokens) when 'No' (i.e., a stateless/JWT-only model).</t>
        </is>
      </c>
    </row>
    <row r="10" ht="45.75" customHeight="1" s="19">
      <c r="A10" s="25" t="inlineStr">
        <is>
          <t>FILE_HANDLING</t>
        </is>
      </c>
      <c r="B10" s="26" t="inlineStr">
        <is>
          <t>Does the application handle file upload, storage, or download of user-provided files?</t>
        </is>
      </c>
      <c r="C10" s="26" t="inlineStr">
        <is>
          <t>Yes, No</t>
        </is>
      </c>
      <c r="D10" s="27" t="n"/>
      <c r="E10" s="28" t="inlineStr">
        <is>
          <t>Gates ASVS Chapter V5 (File Handling).</t>
        </is>
      </c>
    </row>
    <row r="11" ht="45.75" customHeight="1" s="19">
      <c r="A11" s="25" t="inlineStr">
        <is>
          <t>OAUTH_OIDC_USED</t>
        </is>
      </c>
      <c r="B11" s="26" t="inlineStr">
        <is>
          <t>Does the application use OAuth 2.0 or OpenID Connect, in any role (client, authorization server, resource server, or OpenID Provider)?</t>
        </is>
      </c>
      <c r="C11" s="26" t="inlineStr">
        <is>
          <t>Yes, No</t>
        </is>
      </c>
      <c r="D11" s="27" t="n"/>
      <c r="E11" s="28" t="inlineStr">
        <is>
          <t>Gates ASVS Chapter V10 (OAuth and OIDC). Enterprise SSO via OIDC/SAML counts as 'Yes'.</t>
        </is>
      </c>
    </row>
    <row r="12" ht="45.75" customHeight="1" s="19">
      <c r="A12" s="25" t="inlineStr">
        <is>
          <t>DATA_SENSITIVITY</t>
        </is>
      </c>
      <c r="B12" s="26" t="inlineStr">
        <is>
          <t>Data classification the application stores or processes</t>
        </is>
      </c>
      <c r="C12" s="26" t="inlineStr">
        <is>
          <t>None, Internal, Confidential, Regulated</t>
        </is>
      </c>
      <c r="D12" s="27" t="n"/>
      <c r="E12" s="28"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5" t="inlineStr">
        <is>
          <t>WEBRTC_USED</t>
        </is>
      </c>
      <c r="B13" s="26" t="inlineStr">
        <is>
          <t>Does the application use WebRTC (real-time audio/video/data channels)?</t>
        </is>
      </c>
      <c r="C13" s="26" t="inlineStr">
        <is>
          <t>Yes, No</t>
        </is>
      </c>
      <c r="D13" s="27" t="n"/>
      <c r="E13" s="28"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n"/>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n"/>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7" t="inlineStr">
        <is>
          <t>ASVS ID</t>
        </is>
      </c>
      <c r="B4" s="37" t="inlineStr">
        <is>
          <t>Chapter</t>
        </is>
      </c>
      <c r="C4" s="37" t="inlineStr">
        <is>
          <t>Section</t>
        </is>
      </c>
      <c r="D4" s="37" t="inlineStr">
        <is>
          <t>Level</t>
        </is>
      </c>
      <c r="E4" s="37" t="inlineStr">
        <is>
          <t>Requirement</t>
        </is>
      </c>
      <c r="F4" s="37" t="inlineStr">
        <is>
          <t>Applicability Condition</t>
        </is>
      </c>
      <c r="G4" s="37" t="inlineStr">
        <is>
          <t>Applicability Formula</t>
        </is>
      </c>
      <c r="H4" s="37" t="inlineStr">
        <is>
          <t>Applicable?</t>
        </is>
      </c>
      <c r="I4" s="37" t="inlineStr">
        <is>
          <t>Control Type</t>
        </is>
      </c>
      <c r="J4" s="37" t="inlineStr">
        <is>
          <t>Nature</t>
        </is>
      </c>
      <c r="K4" s="37" t="inlineStr">
        <is>
          <t>Verification Stage</t>
        </is>
      </c>
      <c r="L4" s="37" t="inlineStr">
        <is>
          <t>Coverage Status</t>
        </is>
      </c>
      <c r="M4" s="37" t="inlineStr">
        <is>
          <t>Tool / Evidence</t>
        </is>
      </c>
      <c r="N4" s="37" t="inlineStr">
        <is>
          <t>Notes</t>
        </is>
      </c>
      <c r="O4" s="38" t="inlineStr">
        <is>
          <t>Requirement Impact</t>
        </is>
      </c>
      <c r="P4" s="38" t="inlineStr">
        <is>
          <t>Criticality</t>
        </is>
      </c>
    </row>
    <row r="5" ht="39.75" customHeight="1" s="19">
      <c r="A5" s="39" t="inlineStr">
        <is>
          <t>V1.1.1</t>
        </is>
      </c>
      <c r="B5" s="40" t="inlineStr">
        <is>
          <t>V1 - Encoding and Sanitization</t>
        </is>
      </c>
      <c r="C5" s="40" t="inlineStr">
        <is>
          <t>V1.1 - Encoding and Sanitization Architecture</t>
        </is>
      </c>
      <c r="D5" s="39"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39" t="inlineStr">
        <is>
          <t>TRUE</t>
        </is>
      </c>
      <c r="H5" s="41">
        <f>IF(AND(TRUE(),D5&lt;=TARGET_LEVEL_NUM),"Applicable","N/A")</f>
        <v/>
      </c>
      <c r="I5" s="40" t="inlineStr">
        <is>
          <t>SAST + DAST</t>
        </is>
      </c>
      <c r="J5" s="40" t="inlineStr">
        <is>
          <t>Deterministic, continuous</t>
        </is>
      </c>
      <c r="K5" s="39" t="inlineStr">
        <is>
          <t>Pipeline</t>
        </is>
      </c>
      <c r="L5" s="39" t="inlineStr">
        <is>
          <t>Not assessed</t>
        </is>
      </c>
      <c r="M5" s="40" t="n"/>
      <c r="N5" s="40" t="n"/>
      <c r="O5" s="42" t="inlineStr">
        <is>
          <t>High</t>
        </is>
      </c>
      <c r="P5" s="43">
        <f>IF(H5="N/A","N/A",INDEX(CRIT_MATRIX,MATCH(O5,CRIT_MATRIX_ROWS,0),MATCH(APP_RISK_TIER,CRIT_MATRIX_COLS,0)))</f>
        <v/>
      </c>
    </row>
    <row r="6" ht="39.75" customHeight="1" s="19">
      <c r="A6" s="39" t="inlineStr">
        <is>
          <t>V1.1.2</t>
        </is>
      </c>
      <c r="B6" s="40" t="inlineStr">
        <is>
          <t>V1 - Encoding and Sanitization</t>
        </is>
      </c>
      <c r="C6" s="40" t="inlineStr">
        <is>
          <t>V1.1 - Encoding and Sanitization Architecture</t>
        </is>
      </c>
      <c r="D6" s="39" t="n">
        <v>2</v>
      </c>
      <c r="E6" s="40" t="inlineStr">
        <is>
          <t>Verify that the application performs output encoding and escaping either as a final step before being used by the interpreter for which it is intended or by the interpreter itself.</t>
        </is>
      </c>
      <c r="F6" s="40" t="inlineStr">
        <is>
          <t>Always</t>
        </is>
      </c>
      <c r="G6" s="39" t="inlineStr">
        <is>
          <t>TRUE</t>
        </is>
      </c>
      <c r="H6" s="41">
        <f>IF(AND(TRUE(),D6&lt;=TARGET_LEVEL_NUM),"Applicable","N/A")</f>
        <v/>
      </c>
      <c r="I6" s="40" t="inlineStr">
        <is>
          <t>SAST + DAST</t>
        </is>
      </c>
      <c r="J6" s="40" t="inlineStr">
        <is>
          <t>Deterministic, continuous</t>
        </is>
      </c>
      <c r="K6" s="39" t="inlineStr">
        <is>
          <t>Pipeline</t>
        </is>
      </c>
      <c r="L6" s="39" t="inlineStr">
        <is>
          <t>Not assessed</t>
        </is>
      </c>
      <c r="M6" s="40" t="n"/>
      <c r="N6" s="40" t="n"/>
      <c r="O6" s="42" t="inlineStr">
        <is>
          <t>High</t>
        </is>
      </c>
      <c r="P6" s="43">
        <f>IF(H6="N/A","N/A",INDEX(CRIT_MATRIX,MATCH(O6,CRIT_MATRIX_ROWS,0),MATCH(APP_RISK_TIER,CRIT_MATRIX_COLS,0)))</f>
        <v/>
      </c>
    </row>
    <row r="7" ht="39.75" customHeight="1" s="19">
      <c r="A7" s="39" t="inlineStr">
        <is>
          <t>V1.2.1</t>
        </is>
      </c>
      <c r="B7" s="40" t="inlineStr">
        <is>
          <t>V1 - Encoding and Sanitization</t>
        </is>
      </c>
      <c r="C7" s="40" t="inlineStr">
        <is>
          <t>V1.2 - Injection Prevention</t>
        </is>
      </c>
      <c r="D7" s="39"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39" t="inlineStr">
        <is>
          <t>TRUE</t>
        </is>
      </c>
      <c r="H7" s="41">
        <f>IF(AND(TRUE(),D7&lt;=TARGET_LEVEL_NUM),"Applicable","N/A")</f>
        <v/>
      </c>
      <c r="I7" s="40" t="inlineStr">
        <is>
          <t>SAST + DAST</t>
        </is>
      </c>
      <c r="J7" s="40" t="inlineStr">
        <is>
          <t>Deterministic, continuous</t>
        </is>
      </c>
      <c r="K7" s="39" t="inlineStr">
        <is>
          <t>Pipeline</t>
        </is>
      </c>
      <c r="L7" s="39" t="inlineStr">
        <is>
          <t>Not assessed</t>
        </is>
      </c>
      <c r="M7" s="40" t="n"/>
      <c r="N7" s="40" t="n"/>
      <c r="O7" s="42" t="inlineStr">
        <is>
          <t>High</t>
        </is>
      </c>
      <c r="P7" s="43">
        <f>IF(H7="N/A","N/A",INDEX(CRIT_MATRIX,MATCH(O7,CRIT_MATRIX_ROWS,0),MATCH(APP_RISK_TIER,CRIT_MATRIX_COLS,0)))</f>
        <v/>
      </c>
    </row>
    <row r="8" ht="39.75" customHeight="1" s="19">
      <c r="A8" s="39" t="inlineStr">
        <is>
          <t>V1.2.2</t>
        </is>
      </c>
      <c r="B8" s="40" t="inlineStr">
        <is>
          <t>V1 - Encoding and Sanitization</t>
        </is>
      </c>
      <c r="C8" s="40" t="inlineStr">
        <is>
          <t>V1.2 - Injection Prevention</t>
        </is>
      </c>
      <c r="D8" s="39"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39" t="inlineStr">
        <is>
          <t>TRUE</t>
        </is>
      </c>
      <c r="H8" s="41">
        <f>IF(AND(TRUE(),D8&lt;=TARGET_LEVEL_NUM),"Applicable","N/A")</f>
        <v/>
      </c>
      <c r="I8" s="40" t="inlineStr">
        <is>
          <t>SAST + DAST</t>
        </is>
      </c>
      <c r="J8" s="40" t="inlineStr">
        <is>
          <t>Deterministic, continuous</t>
        </is>
      </c>
      <c r="K8" s="39" t="inlineStr">
        <is>
          <t>Pipeline</t>
        </is>
      </c>
      <c r="L8" s="39" t="inlineStr">
        <is>
          <t>Not assessed</t>
        </is>
      </c>
      <c r="M8" s="40" t="n"/>
      <c r="N8" s="40" t="n"/>
      <c r="O8" s="42" t="inlineStr">
        <is>
          <t>High</t>
        </is>
      </c>
      <c r="P8" s="43">
        <f>IF(H8="N/A","N/A",INDEX(CRIT_MATRIX,MATCH(O8,CRIT_MATRIX_ROWS,0),MATCH(APP_RISK_TIER,CRIT_MATRIX_COLS,0)))</f>
        <v/>
      </c>
    </row>
    <row r="9" ht="39.75" customHeight="1" s="19">
      <c r="A9" s="39" t="inlineStr">
        <is>
          <t>V1.2.3</t>
        </is>
      </c>
      <c r="B9" s="40" t="inlineStr">
        <is>
          <t>V1 - Encoding and Sanitization</t>
        </is>
      </c>
      <c r="C9" s="40" t="inlineStr">
        <is>
          <t>V1.2 - Injection Prevention</t>
        </is>
      </c>
      <c r="D9" s="39"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39" t="inlineStr">
        <is>
          <t>TRUE</t>
        </is>
      </c>
      <c r="H9" s="41">
        <f>IF(AND(TRUE(),D9&lt;=TARGET_LEVEL_NUM),"Applicable","N/A")</f>
        <v/>
      </c>
      <c r="I9" s="40" t="inlineStr">
        <is>
          <t>SAST + DAST</t>
        </is>
      </c>
      <c r="J9" s="40" t="inlineStr">
        <is>
          <t>Deterministic, continuous</t>
        </is>
      </c>
      <c r="K9" s="39" t="inlineStr">
        <is>
          <t>Pipeline</t>
        </is>
      </c>
      <c r="L9" s="39" t="inlineStr">
        <is>
          <t>Not assessed</t>
        </is>
      </c>
      <c r="M9" s="40" t="n"/>
      <c r="N9" s="40" t="n"/>
      <c r="O9" s="42" t="inlineStr">
        <is>
          <t>High</t>
        </is>
      </c>
      <c r="P9" s="43">
        <f>IF(H9="N/A","N/A",INDEX(CRIT_MATRIX,MATCH(O9,CRIT_MATRIX_ROWS,0),MATCH(APP_RISK_TIER,CRIT_MATRIX_COLS,0)))</f>
        <v/>
      </c>
    </row>
    <row r="10" ht="39.75" customHeight="1" s="19">
      <c r="A10" s="39" t="inlineStr">
        <is>
          <t>V1.2.4</t>
        </is>
      </c>
      <c r="B10" s="40" t="inlineStr">
        <is>
          <t>V1 - Encoding and Sanitization</t>
        </is>
      </c>
      <c r="C10" s="40" t="inlineStr">
        <is>
          <t>V1.2 - Injection Prevention</t>
        </is>
      </c>
      <c r="D10" s="39"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39" t="inlineStr">
        <is>
          <t>TRUE</t>
        </is>
      </c>
      <c r="H10" s="41">
        <f>IF(AND(TRUE(),D10&lt;=TARGET_LEVEL_NUM),"Applicable","N/A")</f>
        <v/>
      </c>
      <c r="I10" s="40" t="inlineStr">
        <is>
          <t>SAST + DAST</t>
        </is>
      </c>
      <c r="J10" s="40" t="inlineStr">
        <is>
          <t>Deterministic, continuous</t>
        </is>
      </c>
      <c r="K10" s="39" t="inlineStr">
        <is>
          <t>Pipeline</t>
        </is>
      </c>
      <c r="L10" s="39" t="inlineStr">
        <is>
          <t>Not assessed</t>
        </is>
      </c>
      <c r="M10" s="40" t="n"/>
      <c r="N10" s="40" t="n"/>
      <c r="O10" s="42" t="inlineStr">
        <is>
          <t>High</t>
        </is>
      </c>
      <c r="P10" s="43">
        <f>IF(H10="N/A","N/A",INDEX(CRIT_MATRIX,MATCH(O10,CRIT_MATRIX_ROWS,0),MATCH(APP_RISK_TIER,CRIT_MATRIX_COLS,0)))</f>
        <v/>
      </c>
    </row>
    <row r="11" ht="39.75" customHeight="1" s="19">
      <c r="A11" s="39" t="inlineStr">
        <is>
          <t>V1.2.5</t>
        </is>
      </c>
      <c r="B11" s="40" t="inlineStr">
        <is>
          <t>V1 - Encoding and Sanitization</t>
        </is>
      </c>
      <c r="C11" s="40" t="inlineStr">
        <is>
          <t>V1.2 - Injection Prevention</t>
        </is>
      </c>
      <c r="D11" s="39" t="n">
        <v>1</v>
      </c>
      <c r="E11" s="40" t="inlineStr">
        <is>
          <t>Verify that the application protects against OS command injection and that operating system calls use parameterized OS queries or use contextual command line output encoding.</t>
        </is>
      </c>
      <c r="F11" s="40" t="inlineStr">
        <is>
          <t>Always</t>
        </is>
      </c>
      <c r="G11" s="39" t="inlineStr">
        <is>
          <t>TRUE</t>
        </is>
      </c>
      <c r="H11" s="41">
        <f>IF(AND(TRUE(),D11&lt;=TARGET_LEVEL_NUM),"Applicable","N/A")</f>
        <v/>
      </c>
      <c r="I11" s="40" t="inlineStr">
        <is>
          <t>SAST + DAST</t>
        </is>
      </c>
      <c r="J11" s="40" t="inlineStr">
        <is>
          <t>Deterministic, continuous</t>
        </is>
      </c>
      <c r="K11" s="39" t="inlineStr">
        <is>
          <t>Pipeline</t>
        </is>
      </c>
      <c r="L11" s="39" t="inlineStr">
        <is>
          <t>Not assessed</t>
        </is>
      </c>
      <c r="M11" s="40" t="n"/>
      <c r="N11" s="40" t="n"/>
      <c r="O11" s="42" t="inlineStr">
        <is>
          <t>High</t>
        </is>
      </c>
      <c r="P11" s="43">
        <f>IF(H11="N/A","N/A",INDEX(CRIT_MATRIX,MATCH(O11,CRIT_MATRIX_ROWS,0),MATCH(APP_RISK_TIER,CRIT_MATRIX_COLS,0)))</f>
        <v/>
      </c>
    </row>
    <row r="12" ht="39.75" customHeight="1" s="19">
      <c r="A12" s="39" t="inlineStr">
        <is>
          <t>V1.2.6</t>
        </is>
      </c>
      <c r="B12" s="40" t="inlineStr">
        <is>
          <t>V1 - Encoding and Sanitization</t>
        </is>
      </c>
      <c r="C12" s="40" t="inlineStr">
        <is>
          <t>V1.2 - Injection Prevention</t>
        </is>
      </c>
      <c r="D12" s="39" t="n">
        <v>2</v>
      </c>
      <c r="E12" s="40" t="inlineStr">
        <is>
          <t>Verify that the application protects against LDAP injection vulnerabilities, or that specific security controls to prevent LDAP injection have been implemented.</t>
        </is>
      </c>
      <c r="F12" s="40" t="inlineStr">
        <is>
          <t>Always</t>
        </is>
      </c>
      <c r="G12" s="39" t="inlineStr">
        <is>
          <t>TRUE</t>
        </is>
      </c>
      <c r="H12" s="41">
        <f>IF(AND(TRUE(),D12&lt;=TARGET_LEVEL_NUM),"Applicable","N/A")</f>
        <v/>
      </c>
      <c r="I12" s="40" t="inlineStr">
        <is>
          <t>SAST + DAST</t>
        </is>
      </c>
      <c r="J12" s="40" t="inlineStr">
        <is>
          <t>Deterministic, continuous</t>
        </is>
      </c>
      <c r="K12" s="39" t="inlineStr">
        <is>
          <t>Pipeline</t>
        </is>
      </c>
      <c r="L12" s="39" t="inlineStr">
        <is>
          <t>Not assessed</t>
        </is>
      </c>
      <c r="M12" s="40" t="n"/>
      <c r="N12" s="40" t="n"/>
      <c r="O12" s="42" t="inlineStr">
        <is>
          <t>High</t>
        </is>
      </c>
      <c r="P12" s="43">
        <f>IF(H12="N/A","N/A",INDEX(CRIT_MATRIX,MATCH(O12,CRIT_MATRIX_ROWS,0),MATCH(APP_RISK_TIER,CRIT_MATRIX_COLS,0)))</f>
        <v/>
      </c>
    </row>
    <row r="13" ht="39.75" customHeight="1" s="19">
      <c r="A13" s="39" t="inlineStr">
        <is>
          <t>V1.2.7</t>
        </is>
      </c>
      <c r="B13" s="40" t="inlineStr">
        <is>
          <t>V1 - Encoding and Sanitization</t>
        </is>
      </c>
      <c r="C13" s="40" t="inlineStr">
        <is>
          <t>V1.2 - Injection Prevention</t>
        </is>
      </c>
      <c r="D13" s="39" t="n">
        <v>2</v>
      </c>
      <c r="E13" s="40" t="inlineStr">
        <is>
          <t>Verify that the application is protected against XPath injection attacks by using query parameterization or precompiled queries.</t>
        </is>
      </c>
      <c r="F13" s="40" t="inlineStr">
        <is>
          <t>Always</t>
        </is>
      </c>
      <c r="G13" s="39" t="inlineStr">
        <is>
          <t>TRUE</t>
        </is>
      </c>
      <c r="H13" s="41">
        <f>IF(AND(TRUE(),D13&lt;=TARGET_LEVEL_NUM),"Applicable","N/A")</f>
        <v/>
      </c>
      <c r="I13" s="40" t="inlineStr">
        <is>
          <t>SAST + DAST</t>
        </is>
      </c>
      <c r="J13" s="40" t="inlineStr">
        <is>
          <t>Deterministic, continuous</t>
        </is>
      </c>
      <c r="K13" s="39" t="inlineStr">
        <is>
          <t>Pipeline</t>
        </is>
      </c>
      <c r="L13" s="39" t="inlineStr">
        <is>
          <t>Not assessed</t>
        </is>
      </c>
      <c r="M13" s="40" t="n"/>
      <c r="N13" s="40" t="n"/>
      <c r="O13" s="42" t="inlineStr">
        <is>
          <t>High</t>
        </is>
      </c>
      <c r="P13" s="43">
        <f>IF(H13="N/A","N/A",INDEX(CRIT_MATRIX,MATCH(O13,CRIT_MATRIX_ROWS,0),MATCH(APP_RISK_TIER,CRIT_MATRIX_COLS,0)))</f>
        <v/>
      </c>
    </row>
    <row r="14" ht="39.75" customHeight="1" s="19">
      <c r="A14" s="39" t="inlineStr">
        <is>
          <t>V1.2.8</t>
        </is>
      </c>
      <c r="B14" s="40" t="inlineStr">
        <is>
          <t>V1 - Encoding and Sanitization</t>
        </is>
      </c>
      <c r="C14" s="40" t="inlineStr">
        <is>
          <t>V1.2 - Injection Prevention</t>
        </is>
      </c>
      <c r="D14" s="39" t="n">
        <v>2</v>
      </c>
      <c r="E14" s="40" t="inlineStr">
        <is>
          <t>Verify that LaTeX processors are configured securely (such as not using the "--shell-escape" flag) and an allowlist of commands is used to prevent LaTeX injection attacks.</t>
        </is>
      </c>
      <c r="F14" s="40" t="inlineStr">
        <is>
          <t>Always</t>
        </is>
      </c>
      <c r="G14" s="39" t="inlineStr">
        <is>
          <t>TRUE</t>
        </is>
      </c>
      <c r="H14" s="41">
        <f>IF(AND(TRUE(),D14&lt;=TARGET_LEVEL_NUM),"Applicable","N/A")</f>
        <v/>
      </c>
      <c r="I14" s="40" t="inlineStr">
        <is>
          <t>SAST + DAST</t>
        </is>
      </c>
      <c r="J14" s="40" t="inlineStr">
        <is>
          <t>Deterministic, continuous</t>
        </is>
      </c>
      <c r="K14" s="39" t="inlineStr">
        <is>
          <t>Pipeline</t>
        </is>
      </c>
      <c r="L14" s="39" t="inlineStr">
        <is>
          <t>Not assessed</t>
        </is>
      </c>
      <c r="M14" s="40" t="n"/>
      <c r="N14" s="40" t="n"/>
      <c r="O14" s="42" t="inlineStr">
        <is>
          <t>High</t>
        </is>
      </c>
      <c r="P14" s="43">
        <f>IF(H14="N/A","N/A",INDEX(CRIT_MATRIX,MATCH(O14,CRIT_MATRIX_ROWS,0),MATCH(APP_RISK_TIER,CRIT_MATRIX_COLS,0)))</f>
        <v/>
      </c>
    </row>
    <row r="15" ht="39.75" customHeight="1" s="19">
      <c r="A15" s="39" t="inlineStr">
        <is>
          <t>V1.2.9</t>
        </is>
      </c>
      <c r="B15" s="40" t="inlineStr">
        <is>
          <t>V1 - Encoding and Sanitization</t>
        </is>
      </c>
      <c r="C15" s="40" t="inlineStr">
        <is>
          <t>V1.2 - Injection Prevention</t>
        </is>
      </c>
      <c r="D15" s="39" t="n">
        <v>2</v>
      </c>
      <c r="E15" s="40" t="inlineStr">
        <is>
          <t>Verify that the application escapes special characters in regular expressions (typically using a backslash) to prevent them from being misinterpreted as metacharacters.</t>
        </is>
      </c>
      <c r="F15" s="40" t="inlineStr">
        <is>
          <t>Always</t>
        </is>
      </c>
      <c r="G15" s="39" t="inlineStr">
        <is>
          <t>TRUE</t>
        </is>
      </c>
      <c r="H15" s="41">
        <f>IF(AND(TRUE(),D15&lt;=TARGET_LEVEL_NUM),"Applicable","N/A")</f>
        <v/>
      </c>
      <c r="I15" s="40" t="inlineStr">
        <is>
          <t>SAST + DAST</t>
        </is>
      </c>
      <c r="J15" s="40" t="inlineStr">
        <is>
          <t>Deterministic, continuous</t>
        </is>
      </c>
      <c r="K15" s="39" t="inlineStr">
        <is>
          <t>Pipeline</t>
        </is>
      </c>
      <c r="L15" s="39" t="inlineStr">
        <is>
          <t>Not assessed</t>
        </is>
      </c>
      <c r="M15" s="40" t="n"/>
      <c r="N15" s="40" t="n"/>
      <c r="O15" s="42" t="inlineStr">
        <is>
          <t>High</t>
        </is>
      </c>
      <c r="P15" s="43">
        <f>IF(H15="N/A","N/A",INDEX(CRIT_MATRIX,MATCH(O15,CRIT_MATRIX_ROWS,0),MATCH(APP_RISK_TIER,CRIT_MATRIX_COLS,0)))</f>
        <v/>
      </c>
    </row>
    <row r="16" ht="39.75" customHeight="1" s="19">
      <c r="A16" s="39" t="inlineStr">
        <is>
          <t>V1.2.10</t>
        </is>
      </c>
      <c r="B16" s="40" t="inlineStr">
        <is>
          <t>V1 - Encoding and Sanitization</t>
        </is>
      </c>
      <c r="C16" s="40" t="inlineStr">
        <is>
          <t>V1.2 - Injection Prevention</t>
        </is>
      </c>
      <c r="D16" s="39"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39" t="inlineStr">
        <is>
          <t>TRUE</t>
        </is>
      </c>
      <c r="H16" s="41">
        <f>IF(AND(TRUE(),D16&lt;=TARGET_LEVEL_NUM),"Applicable","N/A")</f>
        <v/>
      </c>
      <c r="I16" s="40" t="inlineStr">
        <is>
          <t>SAST + DAST</t>
        </is>
      </c>
      <c r="J16" s="40" t="inlineStr">
        <is>
          <t>Deterministic, continuous</t>
        </is>
      </c>
      <c r="K16" s="39" t="inlineStr">
        <is>
          <t>Pipeline</t>
        </is>
      </c>
      <c r="L16" s="39" t="inlineStr">
        <is>
          <t>Not assessed</t>
        </is>
      </c>
      <c r="M16" s="40" t="n"/>
      <c r="N16" s="40" t="n"/>
      <c r="O16" s="42" t="inlineStr">
        <is>
          <t>High</t>
        </is>
      </c>
      <c r="P16" s="43">
        <f>IF(H16="N/A","N/A",INDEX(CRIT_MATRIX,MATCH(O16,CRIT_MATRIX_ROWS,0),MATCH(APP_RISK_TIER,CRIT_MATRIX_COLS,0)))</f>
        <v/>
      </c>
    </row>
    <row r="17" ht="39.75" customHeight="1" s="19">
      <c r="A17" s="39" t="inlineStr">
        <is>
          <t>V1.3.1</t>
        </is>
      </c>
      <c r="B17" s="40" t="inlineStr">
        <is>
          <t>V1 - Encoding and Sanitization</t>
        </is>
      </c>
      <c r="C17" s="40" t="inlineStr">
        <is>
          <t>V1.3 - Sanitization</t>
        </is>
      </c>
      <c r="D17" s="39" t="n">
        <v>1</v>
      </c>
      <c r="E17" s="40" t="inlineStr">
        <is>
          <t>Verify that all untrusted HTML input from WYSIWYG editors or similar is sanitized using a well-known and secure HTML sanitization library or framework feature.</t>
        </is>
      </c>
      <c r="F17" s="40" t="inlineStr">
        <is>
          <t>Always</t>
        </is>
      </c>
      <c r="G17" s="39" t="inlineStr">
        <is>
          <t>TRUE</t>
        </is>
      </c>
      <c r="H17" s="41">
        <f>IF(AND(TRUE(),D17&lt;=TARGET_LEVEL_NUM),"Applicable","N/A")</f>
        <v/>
      </c>
      <c r="I17" s="40" t="inlineStr">
        <is>
          <t>SAST + DAST</t>
        </is>
      </c>
      <c r="J17" s="40" t="inlineStr">
        <is>
          <t>Deterministic, continuous</t>
        </is>
      </c>
      <c r="K17" s="39" t="inlineStr">
        <is>
          <t>Pipeline</t>
        </is>
      </c>
      <c r="L17" s="39" t="inlineStr">
        <is>
          <t>Not assessed</t>
        </is>
      </c>
      <c r="M17" s="40" t="n"/>
      <c r="N17" s="40" t="n"/>
      <c r="O17" s="42" t="inlineStr">
        <is>
          <t>High</t>
        </is>
      </c>
      <c r="P17" s="43">
        <f>IF(H17="N/A","N/A",INDEX(CRIT_MATRIX,MATCH(O17,CRIT_MATRIX_ROWS,0),MATCH(APP_RISK_TIER,CRIT_MATRIX_COLS,0)))</f>
        <v/>
      </c>
    </row>
    <row r="18" ht="39.75" customHeight="1" s="19">
      <c r="A18" s="39" t="inlineStr">
        <is>
          <t>V1.3.2</t>
        </is>
      </c>
      <c r="B18" s="40" t="inlineStr">
        <is>
          <t>V1 - Encoding and Sanitization</t>
        </is>
      </c>
      <c r="C18" s="40" t="inlineStr">
        <is>
          <t>V1.3 - Sanitization</t>
        </is>
      </c>
      <c r="D18" s="39"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39" t="inlineStr">
        <is>
          <t>TRUE</t>
        </is>
      </c>
      <c r="H18" s="41">
        <f>IF(AND(TRUE(),D18&lt;=TARGET_LEVEL_NUM),"Applicable","N/A")</f>
        <v/>
      </c>
      <c r="I18" s="40" t="inlineStr">
        <is>
          <t>SAST + DAST</t>
        </is>
      </c>
      <c r="J18" s="40" t="inlineStr">
        <is>
          <t>Deterministic, continuous</t>
        </is>
      </c>
      <c r="K18" s="39" t="inlineStr">
        <is>
          <t>Pipeline</t>
        </is>
      </c>
      <c r="L18" s="39" t="inlineStr">
        <is>
          <t>Not assessed</t>
        </is>
      </c>
      <c r="M18" s="40" t="n"/>
      <c r="N18" s="40" t="n"/>
      <c r="O18" s="42" t="inlineStr">
        <is>
          <t>High</t>
        </is>
      </c>
      <c r="P18" s="43">
        <f>IF(H18="N/A","N/A",INDEX(CRIT_MATRIX,MATCH(O18,CRIT_MATRIX_ROWS,0),MATCH(APP_RISK_TIER,CRIT_MATRIX_COLS,0)))</f>
        <v/>
      </c>
    </row>
    <row r="19" ht="39.75" customHeight="1" s="19">
      <c r="A19" s="39" t="inlineStr">
        <is>
          <t>V1.3.3</t>
        </is>
      </c>
      <c r="B19" s="40" t="inlineStr">
        <is>
          <t>V1 - Encoding and Sanitization</t>
        </is>
      </c>
      <c r="C19" s="40" t="inlineStr">
        <is>
          <t>V1.3 - Sanitization</t>
        </is>
      </c>
      <c r="D19" s="39"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39" t="inlineStr">
        <is>
          <t>TRUE</t>
        </is>
      </c>
      <c r="H19" s="41">
        <f>IF(AND(TRUE(),D19&lt;=TARGET_LEVEL_NUM),"Applicable","N/A")</f>
        <v/>
      </c>
      <c r="I19" s="40" t="inlineStr">
        <is>
          <t>SAST + DAST</t>
        </is>
      </c>
      <c r="J19" s="40" t="inlineStr">
        <is>
          <t>Deterministic, continuous</t>
        </is>
      </c>
      <c r="K19" s="39" t="inlineStr">
        <is>
          <t>Pipeline</t>
        </is>
      </c>
      <c r="L19" s="39" t="inlineStr">
        <is>
          <t>Not assessed</t>
        </is>
      </c>
      <c r="M19" s="40" t="n"/>
      <c r="N19" s="40" t="n"/>
      <c r="O19" s="42" t="inlineStr">
        <is>
          <t>High</t>
        </is>
      </c>
      <c r="P19" s="43">
        <f>IF(H19="N/A","N/A",INDEX(CRIT_MATRIX,MATCH(O19,CRIT_MATRIX_ROWS,0),MATCH(APP_RISK_TIER,CRIT_MATRIX_COLS,0)))</f>
        <v/>
      </c>
    </row>
    <row r="20" ht="39.75" customHeight="1" s="19">
      <c r="A20" s="39" t="inlineStr">
        <is>
          <t>V1.3.4</t>
        </is>
      </c>
      <c r="B20" s="40" t="inlineStr">
        <is>
          <t>V1 - Encoding and Sanitization</t>
        </is>
      </c>
      <c r="C20" s="40" t="inlineStr">
        <is>
          <t>V1.3 - Sanitization</t>
        </is>
      </c>
      <c r="D20" s="39"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39" t="inlineStr">
        <is>
          <t>TRUE</t>
        </is>
      </c>
      <c r="H20" s="41">
        <f>IF(AND(TRUE(),D20&lt;=TARGET_LEVEL_NUM),"Applicable","N/A")</f>
        <v/>
      </c>
      <c r="I20" s="40" t="inlineStr">
        <is>
          <t>SAST + DAST</t>
        </is>
      </c>
      <c r="J20" s="40" t="inlineStr">
        <is>
          <t>Deterministic, continuous</t>
        </is>
      </c>
      <c r="K20" s="39" t="inlineStr">
        <is>
          <t>Pipeline</t>
        </is>
      </c>
      <c r="L20" s="39" t="inlineStr">
        <is>
          <t>Not assessed</t>
        </is>
      </c>
      <c r="M20" s="40" t="n"/>
      <c r="N20" s="40" t="n"/>
      <c r="O20" s="42" t="inlineStr">
        <is>
          <t>High</t>
        </is>
      </c>
      <c r="P20" s="43">
        <f>IF(H20="N/A","N/A",INDEX(CRIT_MATRIX,MATCH(O20,CRIT_MATRIX_ROWS,0),MATCH(APP_RISK_TIER,CRIT_MATRIX_COLS,0)))</f>
        <v/>
      </c>
    </row>
    <row r="21" ht="39.75" customHeight="1" s="19">
      <c r="A21" s="39" t="inlineStr">
        <is>
          <t>V1.3.5</t>
        </is>
      </c>
      <c r="B21" s="40" t="inlineStr">
        <is>
          <t>V1 - Encoding and Sanitization</t>
        </is>
      </c>
      <c r="C21" s="40" t="inlineStr">
        <is>
          <t>V1.3 - Sanitization</t>
        </is>
      </c>
      <c r="D21" s="39" t="n">
        <v>2</v>
      </c>
      <c r="E21" s="40" t="inlineStr">
        <is>
          <t>Verify that the application sanitizes or disables user-supplied scriptable or expression template language content, such as Markdown, CSS or XSL stylesheets, BBCode, or similar.</t>
        </is>
      </c>
      <c r="F21" s="40" t="inlineStr">
        <is>
          <t>Always</t>
        </is>
      </c>
      <c r="G21" s="39" t="inlineStr">
        <is>
          <t>TRUE</t>
        </is>
      </c>
      <c r="H21" s="41">
        <f>IF(AND(TRUE(),D21&lt;=TARGET_LEVEL_NUM),"Applicable","N/A")</f>
        <v/>
      </c>
      <c r="I21" s="40" t="inlineStr">
        <is>
          <t>SAST + DAST</t>
        </is>
      </c>
      <c r="J21" s="40" t="inlineStr">
        <is>
          <t>Deterministic, continuous</t>
        </is>
      </c>
      <c r="K21" s="39" t="inlineStr">
        <is>
          <t>Pipeline</t>
        </is>
      </c>
      <c r="L21" s="39" t="inlineStr">
        <is>
          <t>Not assessed</t>
        </is>
      </c>
      <c r="M21" s="40" t="n"/>
      <c r="N21" s="40" t="n"/>
      <c r="O21" s="42" t="inlineStr">
        <is>
          <t>High</t>
        </is>
      </c>
      <c r="P21" s="43">
        <f>IF(H21="N/A","N/A",INDEX(CRIT_MATRIX,MATCH(O21,CRIT_MATRIX_ROWS,0),MATCH(APP_RISK_TIER,CRIT_MATRIX_COLS,0)))</f>
        <v/>
      </c>
    </row>
    <row r="22" ht="39.75" customHeight="1" s="19">
      <c r="A22" s="39" t="inlineStr">
        <is>
          <t>V1.3.6</t>
        </is>
      </c>
      <c r="B22" s="40" t="inlineStr">
        <is>
          <t>V1 - Encoding and Sanitization</t>
        </is>
      </c>
      <c r="C22" s="40" t="inlineStr">
        <is>
          <t>V1.3 - Sanitization</t>
        </is>
      </c>
      <c r="D22" s="39"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39" t="inlineStr">
        <is>
          <t>TRUE</t>
        </is>
      </c>
      <c r="H22" s="41">
        <f>IF(AND(TRUE(),D22&lt;=TARGET_LEVEL_NUM),"Applicable","N/A")</f>
        <v/>
      </c>
      <c r="I22" s="40" t="inlineStr">
        <is>
          <t>SAST + DAST</t>
        </is>
      </c>
      <c r="J22" s="40" t="inlineStr">
        <is>
          <t>Deterministic, continuous</t>
        </is>
      </c>
      <c r="K22" s="39" t="inlineStr">
        <is>
          <t>Pipeline</t>
        </is>
      </c>
      <c r="L22" s="39" t="inlineStr">
        <is>
          <t>Not assessed</t>
        </is>
      </c>
      <c r="M22" s="40" t="n"/>
      <c r="N22" s="40" t="n"/>
      <c r="O22" s="42" t="inlineStr">
        <is>
          <t>High</t>
        </is>
      </c>
      <c r="P22" s="43">
        <f>IF(H22="N/A","N/A",INDEX(CRIT_MATRIX,MATCH(O22,CRIT_MATRIX_ROWS,0),MATCH(APP_RISK_TIER,CRIT_MATRIX_COLS,0)))</f>
        <v/>
      </c>
    </row>
    <row r="23" ht="39.75" customHeight="1" s="19">
      <c r="A23" s="39" t="inlineStr">
        <is>
          <t>V1.3.7</t>
        </is>
      </c>
      <c r="B23" s="40" t="inlineStr">
        <is>
          <t>V1 - Encoding and Sanitization</t>
        </is>
      </c>
      <c r="C23" s="40" t="inlineStr">
        <is>
          <t>V1.3 - Sanitization</t>
        </is>
      </c>
      <c r="D23" s="39"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39" t="inlineStr">
        <is>
          <t>TRUE</t>
        </is>
      </c>
      <c r="H23" s="41">
        <f>IF(AND(TRUE(),D23&lt;=TARGET_LEVEL_NUM),"Applicable","N/A")</f>
        <v/>
      </c>
      <c r="I23" s="40" t="inlineStr">
        <is>
          <t>SAST + DAST</t>
        </is>
      </c>
      <c r="J23" s="40" t="inlineStr">
        <is>
          <t>Deterministic, continuous</t>
        </is>
      </c>
      <c r="K23" s="39" t="inlineStr">
        <is>
          <t>Pipeline</t>
        </is>
      </c>
      <c r="L23" s="39" t="inlineStr">
        <is>
          <t>Not assessed</t>
        </is>
      </c>
      <c r="M23" s="40" t="n"/>
      <c r="N23" s="40" t="n"/>
      <c r="O23" s="42" t="inlineStr">
        <is>
          <t>High</t>
        </is>
      </c>
      <c r="P23" s="43">
        <f>IF(H23="N/A","N/A",INDEX(CRIT_MATRIX,MATCH(O23,CRIT_MATRIX_ROWS,0),MATCH(APP_RISK_TIER,CRIT_MATRIX_COLS,0)))</f>
        <v/>
      </c>
    </row>
    <row r="24" ht="39.75" customHeight="1" s="19">
      <c r="A24" s="39" t="inlineStr">
        <is>
          <t>V1.3.8</t>
        </is>
      </c>
      <c r="B24" s="40" t="inlineStr">
        <is>
          <t>V1 - Encoding and Sanitization</t>
        </is>
      </c>
      <c r="C24" s="40" t="inlineStr">
        <is>
          <t>V1.3 - Sanitization</t>
        </is>
      </c>
      <c r="D24" s="39"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39" t="inlineStr">
        <is>
          <t>TRUE</t>
        </is>
      </c>
      <c r="H24" s="41">
        <f>IF(AND(TRUE(),D24&lt;=TARGET_LEVEL_NUM),"Applicable","N/A")</f>
        <v/>
      </c>
      <c r="I24" s="40" t="inlineStr">
        <is>
          <t>SAST + DAST</t>
        </is>
      </c>
      <c r="J24" s="40" t="inlineStr">
        <is>
          <t>Deterministic, continuous</t>
        </is>
      </c>
      <c r="K24" s="39" t="inlineStr">
        <is>
          <t>Pipeline</t>
        </is>
      </c>
      <c r="L24" s="39" t="inlineStr">
        <is>
          <t>Not assessed</t>
        </is>
      </c>
      <c r="M24" s="40" t="n"/>
      <c r="N24" s="40" t="n"/>
      <c r="O24" s="42" t="inlineStr">
        <is>
          <t>High</t>
        </is>
      </c>
      <c r="P24" s="43">
        <f>IF(H24="N/A","N/A",INDEX(CRIT_MATRIX,MATCH(O24,CRIT_MATRIX_ROWS,0),MATCH(APP_RISK_TIER,CRIT_MATRIX_COLS,0)))</f>
        <v/>
      </c>
    </row>
    <row r="25" ht="39.75" customHeight="1" s="19">
      <c r="A25" s="39" t="inlineStr">
        <is>
          <t>V1.3.9</t>
        </is>
      </c>
      <c r="B25" s="40" t="inlineStr">
        <is>
          <t>V1 - Encoding and Sanitization</t>
        </is>
      </c>
      <c r="C25" s="40" t="inlineStr">
        <is>
          <t>V1.3 - Sanitization</t>
        </is>
      </c>
      <c r="D25" s="39" t="n">
        <v>2</v>
      </c>
      <c r="E25" s="40" t="inlineStr">
        <is>
          <t>Verify that the application sanitizes content before it is sent to memcache to prevent injection attacks.</t>
        </is>
      </c>
      <c r="F25" s="40" t="inlineStr">
        <is>
          <t>Always</t>
        </is>
      </c>
      <c r="G25" s="39" t="inlineStr">
        <is>
          <t>TRUE</t>
        </is>
      </c>
      <c r="H25" s="41">
        <f>IF(AND(TRUE(),D25&lt;=TARGET_LEVEL_NUM),"Applicable","N/A")</f>
        <v/>
      </c>
      <c r="I25" s="40" t="inlineStr">
        <is>
          <t>SAST + DAST</t>
        </is>
      </c>
      <c r="J25" s="40" t="inlineStr">
        <is>
          <t>Deterministic, continuous</t>
        </is>
      </c>
      <c r="K25" s="39" t="inlineStr">
        <is>
          <t>Pipeline</t>
        </is>
      </c>
      <c r="L25" s="39" t="inlineStr">
        <is>
          <t>Not assessed</t>
        </is>
      </c>
      <c r="M25" s="40" t="n"/>
      <c r="N25" s="40" t="n"/>
      <c r="O25" s="42" t="inlineStr">
        <is>
          <t>High</t>
        </is>
      </c>
      <c r="P25" s="43">
        <f>IF(H25="N/A","N/A",INDEX(CRIT_MATRIX,MATCH(O25,CRIT_MATRIX_ROWS,0),MATCH(APP_RISK_TIER,CRIT_MATRIX_COLS,0)))</f>
        <v/>
      </c>
    </row>
    <row r="26" ht="39.75" customHeight="1" s="19">
      <c r="A26" s="39" t="inlineStr">
        <is>
          <t>V1.3.10</t>
        </is>
      </c>
      <c r="B26" s="40" t="inlineStr">
        <is>
          <t>V1 - Encoding and Sanitization</t>
        </is>
      </c>
      <c r="C26" s="40" t="inlineStr">
        <is>
          <t>V1.3 - Sanitization</t>
        </is>
      </c>
      <c r="D26" s="39" t="n">
        <v>2</v>
      </c>
      <c r="E26" s="40" t="inlineStr">
        <is>
          <t>Verify that format strings which might resolve in an unexpected or malicious way when used are sanitized before being processed.</t>
        </is>
      </c>
      <c r="F26" s="40" t="inlineStr">
        <is>
          <t>Always</t>
        </is>
      </c>
      <c r="G26" s="39" t="inlineStr">
        <is>
          <t>TRUE</t>
        </is>
      </c>
      <c r="H26" s="41">
        <f>IF(AND(TRUE(),D26&lt;=TARGET_LEVEL_NUM),"Applicable","N/A")</f>
        <v/>
      </c>
      <c r="I26" s="40" t="inlineStr">
        <is>
          <t>SAST + DAST</t>
        </is>
      </c>
      <c r="J26" s="40" t="inlineStr">
        <is>
          <t>Deterministic, continuous</t>
        </is>
      </c>
      <c r="K26" s="39" t="inlineStr">
        <is>
          <t>Pipeline</t>
        </is>
      </c>
      <c r="L26" s="39" t="inlineStr">
        <is>
          <t>Not assessed</t>
        </is>
      </c>
      <c r="M26" s="40" t="n"/>
      <c r="N26" s="40" t="n"/>
      <c r="O26" s="42" t="inlineStr">
        <is>
          <t>High</t>
        </is>
      </c>
      <c r="P26" s="43">
        <f>IF(H26="N/A","N/A",INDEX(CRIT_MATRIX,MATCH(O26,CRIT_MATRIX_ROWS,0),MATCH(APP_RISK_TIER,CRIT_MATRIX_COLS,0)))</f>
        <v/>
      </c>
    </row>
    <row r="27" ht="39.75" customHeight="1" s="19">
      <c r="A27" s="39" t="inlineStr">
        <is>
          <t>V1.3.11</t>
        </is>
      </c>
      <c r="B27" s="40" t="inlineStr">
        <is>
          <t>V1 - Encoding and Sanitization</t>
        </is>
      </c>
      <c r="C27" s="40" t="inlineStr">
        <is>
          <t>V1.3 - Sanitization</t>
        </is>
      </c>
      <c r="D27" s="39" t="n">
        <v>2</v>
      </c>
      <c r="E27" s="40" t="inlineStr">
        <is>
          <t>Verify that the application sanitizes user input before passing to mail systems to protect against SMTP or IMAP injection.</t>
        </is>
      </c>
      <c r="F27" s="40" t="inlineStr">
        <is>
          <t>Always</t>
        </is>
      </c>
      <c r="G27" s="39" t="inlineStr">
        <is>
          <t>TRUE</t>
        </is>
      </c>
      <c r="H27" s="41">
        <f>IF(AND(TRUE(),D27&lt;=TARGET_LEVEL_NUM),"Applicable","N/A")</f>
        <v/>
      </c>
      <c r="I27" s="40" t="inlineStr">
        <is>
          <t>SAST + DAST</t>
        </is>
      </c>
      <c r="J27" s="40" t="inlineStr">
        <is>
          <t>Deterministic, continuous</t>
        </is>
      </c>
      <c r="K27" s="39" t="inlineStr">
        <is>
          <t>Pipeline</t>
        </is>
      </c>
      <c r="L27" s="39" t="inlineStr">
        <is>
          <t>Not assessed</t>
        </is>
      </c>
      <c r="M27" s="40" t="n"/>
      <c r="N27" s="40" t="n"/>
      <c r="O27" s="42" t="inlineStr">
        <is>
          <t>High</t>
        </is>
      </c>
      <c r="P27" s="43">
        <f>IF(H27="N/A","N/A",INDEX(CRIT_MATRIX,MATCH(O27,CRIT_MATRIX_ROWS,0),MATCH(APP_RISK_TIER,CRIT_MATRIX_COLS,0)))</f>
        <v/>
      </c>
    </row>
    <row r="28" ht="39.75" customHeight="1" s="19">
      <c r="A28" s="39" t="inlineStr">
        <is>
          <t>V1.3.12</t>
        </is>
      </c>
      <c r="B28" s="40" t="inlineStr">
        <is>
          <t>V1 - Encoding and Sanitization</t>
        </is>
      </c>
      <c r="C28" s="40" t="inlineStr">
        <is>
          <t>V1.3 - Sanitization</t>
        </is>
      </c>
      <c r="D28" s="39" t="n">
        <v>3</v>
      </c>
      <c r="E28" s="40" t="inlineStr">
        <is>
          <t>Verify that regular expressions are free from elements causing exponential backtracking, and ensure untrusted input is sanitized to mitigate ReDoS or Runaway Regex attacks.</t>
        </is>
      </c>
      <c r="F28" s="40" t="inlineStr">
        <is>
          <t>Always</t>
        </is>
      </c>
      <c r="G28" s="39" t="inlineStr">
        <is>
          <t>TRUE</t>
        </is>
      </c>
      <c r="H28" s="41">
        <f>IF(AND(TRUE(),D28&lt;=TARGET_LEVEL_NUM),"Applicable","N/A")</f>
        <v/>
      </c>
      <c r="I28" s="40" t="inlineStr">
        <is>
          <t>SAST + DAST</t>
        </is>
      </c>
      <c r="J28" s="40" t="inlineStr">
        <is>
          <t>Deterministic, continuous</t>
        </is>
      </c>
      <c r="K28" s="39" t="inlineStr">
        <is>
          <t>Pipeline</t>
        </is>
      </c>
      <c r="L28" s="39" t="inlineStr">
        <is>
          <t>Not assessed</t>
        </is>
      </c>
      <c r="M28" s="40" t="n"/>
      <c r="N28" s="40" t="n"/>
      <c r="O28" s="42" t="inlineStr">
        <is>
          <t>High</t>
        </is>
      </c>
      <c r="P28" s="43">
        <f>IF(H28="N/A","N/A",INDEX(CRIT_MATRIX,MATCH(O28,CRIT_MATRIX_ROWS,0),MATCH(APP_RISK_TIER,CRIT_MATRIX_COLS,0)))</f>
        <v/>
      </c>
    </row>
    <row r="29" ht="39.75" customHeight="1" s="19">
      <c r="A29" s="39" t="inlineStr">
        <is>
          <t>V1.4.1</t>
        </is>
      </c>
      <c r="B29" s="40" t="inlineStr">
        <is>
          <t>V1 - Encoding and Sanitization</t>
        </is>
      </c>
      <c r="C29" s="40" t="inlineStr">
        <is>
          <t>V1.4 - Memory, String, and Unmanaged Code</t>
        </is>
      </c>
      <c r="D29" s="39" t="n">
        <v>2</v>
      </c>
      <c r="E29" s="40" t="inlineStr">
        <is>
          <t>Verify that the application uses memory-safe string, safer memory copy and pointer arithmetic to detect or prevent stack, buffer, or heap overflows.</t>
        </is>
      </c>
      <c r="F29" s="40" t="inlineStr">
        <is>
          <t>Always</t>
        </is>
      </c>
      <c r="G29" s="39" t="inlineStr">
        <is>
          <t>TRUE</t>
        </is>
      </c>
      <c r="H29" s="41">
        <f>IF(AND(TRUE(),D29&lt;=TARGET_LEVEL_NUM),"Applicable","N/A")</f>
        <v/>
      </c>
      <c r="I29" s="40" t="inlineStr">
        <is>
          <t>SAST + DAST</t>
        </is>
      </c>
      <c r="J29" s="40" t="inlineStr">
        <is>
          <t>Deterministic, continuous</t>
        </is>
      </c>
      <c r="K29" s="39" t="inlineStr">
        <is>
          <t>Pipeline</t>
        </is>
      </c>
      <c r="L29" s="39" t="inlineStr">
        <is>
          <t>Not assessed</t>
        </is>
      </c>
      <c r="M29" s="40" t="n"/>
      <c r="N29" s="40" t="n"/>
      <c r="O29" s="42" t="inlineStr">
        <is>
          <t>High</t>
        </is>
      </c>
      <c r="P29" s="43">
        <f>IF(H29="N/A","N/A",INDEX(CRIT_MATRIX,MATCH(O29,CRIT_MATRIX_ROWS,0),MATCH(APP_RISK_TIER,CRIT_MATRIX_COLS,0)))</f>
        <v/>
      </c>
    </row>
    <row r="30" ht="39.75" customHeight="1" s="19">
      <c r="A30" s="39" t="inlineStr">
        <is>
          <t>V1.4.2</t>
        </is>
      </c>
      <c r="B30" s="40" t="inlineStr">
        <is>
          <t>V1 - Encoding and Sanitization</t>
        </is>
      </c>
      <c r="C30" s="40" t="inlineStr">
        <is>
          <t>V1.4 - Memory, String, and Unmanaged Code</t>
        </is>
      </c>
      <c r="D30" s="39" t="n">
        <v>2</v>
      </c>
      <c r="E30" s="40" t="inlineStr">
        <is>
          <t>Verify that sign, range, and input validation techniques are used to prevent integer overflows.</t>
        </is>
      </c>
      <c r="F30" s="40" t="inlineStr">
        <is>
          <t>Always</t>
        </is>
      </c>
      <c r="G30" s="39" t="inlineStr">
        <is>
          <t>TRUE</t>
        </is>
      </c>
      <c r="H30" s="41">
        <f>IF(AND(TRUE(),D30&lt;=TARGET_LEVEL_NUM),"Applicable","N/A")</f>
        <v/>
      </c>
      <c r="I30" s="40" t="inlineStr">
        <is>
          <t>SAST + DAST</t>
        </is>
      </c>
      <c r="J30" s="40" t="inlineStr">
        <is>
          <t>Deterministic, continuous</t>
        </is>
      </c>
      <c r="K30" s="39" t="inlineStr">
        <is>
          <t>Pipeline</t>
        </is>
      </c>
      <c r="L30" s="39" t="inlineStr">
        <is>
          <t>Not assessed</t>
        </is>
      </c>
      <c r="M30" s="40" t="n"/>
      <c r="N30" s="40" t="n"/>
      <c r="O30" s="42" t="inlineStr">
        <is>
          <t>High</t>
        </is>
      </c>
      <c r="P30" s="43">
        <f>IF(H30="N/A","N/A",INDEX(CRIT_MATRIX,MATCH(O30,CRIT_MATRIX_ROWS,0),MATCH(APP_RISK_TIER,CRIT_MATRIX_COLS,0)))</f>
        <v/>
      </c>
    </row>
    <row r="31" ht="39.75" customHeight="1" s="19">
      <c r="A31" s="39" t="inlineStr">
        <is>
          <t>V1.4.3</t>
        </is>
      </c>
      <c r="B31" s="40" t="inlineStr">
        <is>
          <t>V1 - Encoding and Sanitization</t>
        </is>
      </c>
      <c r="C31" s="40" t="inlineStr">
        <is>
          <t>V1.4 - Memory, String, and Unmanaged Code</t>
        </is>
      </c>
      <c r="D31" s="39"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39" t="inlineStr">
        <is>
          <t>TRUE</t>
        </is>
      </c>
      <c r="H31" s="41">
        <f>IF(AND(TRUE(),D31&lt;=TARGET_LEVEL_NUM),"Applicable","N/A")</f>
        <v/>
      </c>
      <c r="I31" s="40" t="inlineStr">
        <is>
          <t>SAST + DAST</t>
        </is>
      </c>
      <c r="J31" s="40" t="inlineStr">
        <is>
          <t>Deterministic, continuous</t>
        </is>
      </c>
      <c r="K31" s="39" t="inlineStr">
        <is>
          <t>Pipeline</t>
        </is>
      </c>
      <c r="L31" s="39" t="inlineStr">
        <is>
          <t>Not assessed</t>
        </is>
      </c>
      <c r="M31" s="40" t="n"/>
      <c r="N31" s="40" t="n"/>
      <c r="O31" s="42" t="inlineStr">
        <is>
          <t>High</t>
        </is>
      </c>
      <c r="P31" s="43">
        <f>IF(H31="N/A","N/A",INDEX(CRIT_MATRIX,MATCH(O31,CRIT_MATRIX_ROWS,0),MATCH(APP_RISK_TIER,CRIT_MATRIX_COLS,0)))</f>
        <v/>
      </c>
    </row>
    <row r="32" ht="39.75" customHeight="1" s="19">
      <c r="A32" s="39" t="inlineStr">
        <is>
          <t>V1.5.1</t>
        </is>
      </c>
      <c r="B32" s="40" t="inlineStr">
        <is>
          <t>V1 - Encoding and Sanitization</t>
        </is>
      </c>
      <c r="C32" s="40" t="inlineStr">
        <is>
          <t>V1.5 - Safe Deserialization</t>
        </is>
      </c>
      <c r="D32" s="39"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39" t="inlineStr">
        <is>
          <t>TRUE</t>
        </is>
      </c>
      <c r="H32" s="41">
        <f>IF(AND(TRUE(),D32&lt;=TARGET_LEVEL_NUM),"Applicable","N/A")</f>
        <v/>
      </c>
      <c r="I32" s="40" t="inlineStr">
        <is>
          <t>SAST + DAST</t>
        </is>
      </c>
      <c r="J32" s="40" t="inlineStr">
        <is>
          <t>Deterministic, continuous</t>
        </is>
      </c>
      <c r="K32" s="39" t="inlineStr">
        <is>
          <t>Pipeline</t>
        </is>
      </c>
      <c r="L32" s="39" t="inlineStr">
        <is>
          <t>Not assessed</t>
        </is>
      </c>
      <c r="M32" s="40" t="n"/>
      <c r="N32" s="40" t="n"/>
      <c r="O32" s="42" t="inlineStr">
        <is>
          <t>High</t>
        </is>
      </c>
      <c r="P32" s="43">
        <f>IF(H32="N/A","N/A",INDEX(CRIT_MATRIX,MATCH(O32,CRIT_MATRIX_ROWS,0),MATCH(APP_RISK_TIER,CRIT_MATRIX_COLS,0)))</f>
        <v/>
      </c>
    </row>
    <row r="33" ht="39.75" customHeight="1" s="19">
      <c r="A33" s="39" t="inlineStr">
        <is>
          <t>V1.5.2</t>
        </is>
      </c>
      <c r="B33" s="40" t="inlineStr">
        <is>
          <t>V1 - Encoding and Sanitization</t>
        </is>
      </c>
      <c r="C33" s="40" t="inlineStr">
        <is>
          <t>V1.5 - Safe Deserialization</t>
        </is>
      </c>
      <c r="D33" s="39"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39" t="inlineStr">
        <is>
          <t>TRUE</t>
        </is>
      </c>
      <c r="H33" s="41">
        <f>IF(AND(TRUE(),D33&lt;=TARGET_LEVEL_NUM),"Applicable","N/A")</f>
        <v/>
      </c>
      <c r="I33" s="40" t="inlineStr">
        <is>
          <t>SAST + DAST</t>
        </is>
      </c>
      <c r="J33" s="40" t="inlineStr">
        <is>
          <t>Deterministic, continuous</t>
        </is>
      </c>
      <c r="K33" s="39" t="inlineStr">
        <is>
          <t>Pipeline</t>
        </is>
      </c>
      <c r="L33" s="39" t="inlineStr">
        <is>
          <t>Not assessed</t>
        </is>
      </c>
      <c r="M33" s="40" t="n"/>
      <c r="N33" s="40" t="n"/>
      <c r="O33" s="42" t="inlineStr">
        <is>
          <t>High</t>
        </is>
      </c>
      <c r="P33" s="43">
        <f>IF(H33="N/A","N/A",INDEX(CRIT_MATRIX,MATCH(O33,CRIT_MATRIX_ROWS,0),MATCH(APP_RISK_TIER,CRIT_MATRIX_COLS,0)))</f>
        <v/>
      </c>
    </row>
    <row r="34" ht="39.75" customHeight="1" s="19">
      <c r="A34" s="39" t="inlineStr">
        <is>
          <t>V1.5.3</t>
        </is>
      </c>
      <c r="B34" s="40" t="inlineStr">
        <is>
          <t>V1 - Encoding and Sanitization</t>
        </is>
      </c>
      <c r="C34" s="40" t="inlineStr">
        <is>
          <t>V1.5 - Safe Deserialization</t>
        </is>
      </c>
      <c r="D34" s="39"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39" t="inlineStr">
        <is>
          <t>TRUE</t>
        </is>
      </c>
      <c r="H34" s="41">
        <f>IF(AND(TRUE(),D34&lt;=TARGET_LEVEL_NUM),"Applicable","N/A")</f>
        <v/>
      </c>
      <c r="I34" s="40" t="inlineStr">
        <is>
          <t>SAST + DAST</t>
        </is>
      </c>
      <c r="J34" s="40" t="inlineStr">
        <is>
          <t>Deterministic, continuous</t>
        </is>
      </c>
      <c r="K34" s="39" t="inlineStr">
        <is>
          <t>Pipeline</t>
        </is>
      </c>
      <c r="L34" s="39" t="inlineStr">
        <is>
          <t>Not assessed</t>
        </is>
      </c>
      <c r="M34" s="40" t="n"/>
      <c r="N34" s="40" t="n"/>
      <c r="O34" s="42" t="inlineStr">
        <is>
          <t>High</t>
        </is>
      </c>
      <c r="P34" s="43">
        <f>IF(H34="N/A","N/A",INDEX(CRIT_MATRIX,MATCH(O34,CRIT_MATRIX_ROWS,0),MATCH(APP_RISK_TIER,CRIT_MATRIX_COLS,0)))</f>
        <v/>
      </c>
    </row>
    <row r="35" ht="39.75" customHeight="1" s="19">
      <c r="A35" s="39" t="inlineStr">
        <is>
          <t>V2.1.1</t>
        </is>
      </c>
      <c r="B35" s="40" t="inlineStr">
        <is>
          <t>V2 - Validation and Business Logic</t>
        </is>
      </c>
      <c r="C35" s="40" t="inlineStr">
        <is>
          <t>V2.1 - Validation and Business Logic Documentation</t>
        </is>
      </c>
      <c r="D35" s="39"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39" t="inlineStr">
        <is>
          <t>TRUE</t>
        </is>
      </c>
      <c r="H35" s="41">
        <f>IF(AND(TRUE(),D35&lt;=TARGET_LEVEL_NUM),"Applicable","N/A")</f>
        <v/>
      </c>
      <c r="I35" s="40" t="inlineStr">
        <is>
          <t>Architecture / documentation review</t>
        </is>
      </c>
      <c r="J35" s="40" t="inlineStr">
        <is>
          <t>Sampled, periodic</t>
        </is>
      </c>
      <c r="K35" s="39" t="inlineStr">
        <is>
          <t>Design/Governance</t>
        </is>
      </c>
      <c r="L35" s="39" t="inlineStr">
        <is>
          <t>Not assessed</t>
        </is>
      </c>
      <c r="M35" s="40" t="n"/>
      <c r="N35" s="40" t="n"/>
      <c r="O35" s="42" t="inlineStr">
        <is>
          <t>High</t>
        </is>
      </c>
      <c r="P35" s="43">
        <f>IF(H35="N/A","N/A",INDEX(CRIT_MATRIX,MATCH(O35,CRIT_MATRIX_ROWS,0),MATCH(APP_RISK_TIER,CRIT_MATRIX_COLS,0)))</f>
        <v/>
      </c>
    </row>
    <row r="36" ht="39.75" customHeight="1" s="19">
      <c r="A36" s="39" t="inlineStr">
        <is>
          <t>V2.1.2</t>
        </is>
      </c>
      <c r="B36" s="40" t="inlineStr">
        <is>
          <t>V2 - Validation and Business Logic</t>
        </is>
      </c>
      <c r="C36" s="40" t="inlineStr">
        <is>
          <t>V2.1 - Validation and Business Logic Documentation</t>
        </is>
      </c>
      <c r="D36" s="39" t="n">
        <v>2</v>
      </c>
      <c r="E36" s="40" t="inlineStr">
        <is>
          <t>Verify that the application's documentation defines how to validate the logical and contextual consistency of combined data items, such as checking that suburb and ZIP code match.</t>
        </is>
      </c>
      <c r="F36" s="40" t="inlineStr">
        <is>
          <t>Always</t>
        </is>
      </c>
      <c r="G36" s="39" t="inlineStr">
        <is>
          <t>TRUE</t>
        </is>
      </c>
      <c r="H36" s="41">
        <f>IF(AND(TRUE(),D36&lt;=TARGET_LEVEL_NUM),"Applicable","N/A")</f>
        <v/>
      </c>
      <c r="I36" s="40" t="inlineStr">
        <is>
          <t>Architecture / documentation review</t>
        </is>
      </c>
      <c r="J36" s="40" t="inlineStr">
        <is>
          <t>Sampled, periodic</t>
        </is>
      </c>
      <c r="K36" s="39" t="inlineStr">
        <is>
          <t>Design/Governance</t>
        </is>
      </c>
      <c r="L36" s="39" t="inlineStr">
        <is>
          <t>Not assessed</t>
        </is>
      </c>
      <c r="M36" s="40" t="n"/>
      <c r="N36" s="40" t="n"/>
      <c r="O36" s="42" t="inlineStr">
        <is>
          <t>High</t>
        </is>
      </c>
      <c r="P36" s="43">
        <f>IF(H36="N/A","N/A",INDEX(CRIT_MATRIX,MATCH(O36,CRIT_MATRIX_ROWS,0),MATCH(APP_RISK_TIER,CRIT_MATRIX_COLS,0)))</f>
        <v/>
      </c>
    </row>
    <row r="37" ht="39.75" customHeight="1" s="19">
      <c r="A37" s="39" t="inlineStr">
        <is>
          <t>V2.1.3</t>
        </is>
      </c>
      <c r="B37" s="40" t="inlineStr">
        <is>
          <t>V2 - Validation and Business Logic</t>
        </is>
      </c>
      <c r="C37" s="40" t="inlineStr">
        <is>
          <t>V2.1 - Validation and Business Logic Documentation</t>
        </is>
      </c>
      <c r="D37" s="39" t="n">
        <v>2</v>
      </c>
      <c r="E37" s="40" t="inlineStr">
        <is>
          <t>Verify that expectations for business logic limits and validations are documented, including both per-user and globally across the application.</t>
        </is>
      </c>
      <c r="F37" s="40" t="inlineStr">
        <is>
          <t>Always</t>
        </is>
      </c>
      <c r="G37" s="39" t="inlineStr">
        <is>
          <t>TRUE</t>
        </is>
      </c>
      <c r="H37" s="41">
        <f>IF(AND(TRUE(),D37&lt;=TARGET_LEVEL_NUM),"Applicable","N/A")</f>
        <v/>
      </c>
      <c r="I37" s="40" t="inlineStr">
        <is>
          <t>Architecture / documentation review</t>
        </is>
      </c>
      <c r="J37" s="40" t="inlineStr">
        <is>
          <t>Sampled, periodic</t>
        </is>
      </c>
      <c r="K37" s="39" t="inlineStr">
        <is>
          <t>Design/Governance</t>
        </is>
      </c>
      <c r="L37" s="39" t="inlineStr">
        <is>
          <t>Not assessed</t>
        </is>
      </c>
      <c r="M37" s="40" t="n"/>
      <c r="N37" s="40" t="n"/>
      <c r="O37" s="42" t="inlineStr">
        <is>
          <t>High</t>
        </is>
      </c>
      <c r="P37" s="43">
        <f>IF(H37="N/A","N/A",INDEX(CRIT_MATRIX,MATCH(O37,CRIT_MATRIX_ROWS,0),MATCH(APP_RISK_TIER,CRIT_MATRIX_COLS,0)))</f>
        <v/>
      </c>
    </row>
    <row r="38" ht="39.75" customHeight="1" s="19">
      <c r="A38" s="39" t="inlineStr">
        <is>
          <t>V2.2.1</t>
        </is>
      </c>
      <c r="B38" s="40" t="inlineStr">
        <is>
          <t>V2 - Validation and Business Logic</t>
        </is>
      </c>
      <c r="C38" s="40" t="inlineStr">
        <is>
          <t>V2.2 - Input Validation</t>
        </is>
      </c>
      <c r="D38" s="39"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39" t="inlineStr">
        <is>
          <t>TRUE</t>
        </is>
      </c>
      <c r="H38" s="41">
        <f>IF(AND(TRUE(),D38&lt;=TARGET_LEVEL_NUM),"Applicable","N/A")</f>
        <v/>
      </c>
      <c r="I38" s="40" t="inlineStr">
        <is>
          <t>SAST + DAST</t>
        </is>
      </c>
      <c r="J38" s="40" t="inlineStr">
        <is>
          <t>Deterministic, continuous</t>
        </is>
      </c>
      <c r="K38" s="39" t="inlineStr">
        <is>
          <t>Pipeline</t>
        </is>
      </c>
      <c r="L38" s="39" t="inlineStr">
        <is>
          <t>Not assessed</t>
        </is>
      </c>
      <c r="M38" s="40" t="n"/>
      <c r="N38" s="40" t="n"/>
      <c r="O38" s="42" t="inlineStr">
        <is>
          <t>High</t>
        </is>
      </c>
      <c r="P38" s="43">
        <f>IF(H38="N/A","N/A",INDEX(CRIT_MATRIX,MATCH(O38,CRIT_MATRIX_ROWS,0),MATCH(APP_RISK_TIER,CRIT_MATRIX_COLS,0)))</f>
        <v/>
      </c>
    </row>
    <row r="39" ht="39.75" customHeight="1" s="19">
      <c r="A39" s="39" t="inlineStr">
        <is>
          <t>V2.2.2</t>
        </is>
      </c>
      <c r="B39" s="40" t="inlineStr">
        <is>
          <t>V2 - Validation and Business Logic</t>
        </is>
      </c>
      <c r="C39" s="40" t="inlineStr">
        <is>
          <t>V2.2 - Input Validation</t>
        </is>
      </c>
      <c r="D39" s="39"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39" t="inlineStr">
        <is>
          <t>TRUE</t>
        </is>
      </c>
      <c r="H39" s="41">
        <f>IF(AND(TRUE(),D39&lt;=TARGET_LEVEL_NUM),"Applicable","N/A")</f>
        <v/>
      </c>
      <c r="I39" s="40" t="inlineStr">
        <is>
          <t>SAST + DAST</t>
        </is>
      </c>
      <c r="J39" s="40" t="inlineStr">
        <is>
          <t>Deterministic, continuous</t>
        </is>
      </c>
      <c r="K39" s="39" t="inlineStr">
        <is>
          <t>Pipeline</t>
        </is>
      </c>
      <c r="L39" s="39" t="inlineStr">
        <is>
          <t>Not assessed</t>
        </is>
      </c>
      <c r="M39" s="40" t="n"/>
      <c r="N39" s="40" t="n"/>
      <c r="O39" s="42" t="inlineStr">
        <is>
          <t>High</t>
        </is>
      </c>
      <c r="P39" s="43">
        <f>IF(H39="N/A","N/A",INDEX(CRIT_MATRIX,MATCH(O39,CRIT_MATRIX_ROWS,0),MATCH(APP_RISK_TIER,CRIT_MATRIX_COLS,0)))</f>
        <v/>
      </c>
    </row>
    <row r="40" ht="39.75" customHeight="1" s="19">
      <c r="A40" s="39" t="inlineStr">
        <is>
          <t>V2.2.3</t>
        </is>
      </c>
      <c r="B40" s="40" t="inlineStr">
        <is>
          <t>V2 - Validation and Business Logic</t>
        </is>
      </c>
      <c r="C40" s="40" t="inlineStr">
        <is>
          <t>V2.2 - Input Validation</t>
        </is>
      </c>
      <c r="D40" s="39" t="n">
        <v>2</v>
      </c>
      <c r="E40" s="40" t="inlineStr">
        <is>
          <t>Verify that the application ensures that combinations of related data items are reasonable according to the pre-defined rules.</t>
        </is>
      </c>
      <c r="F40" s="40" t="inlineStr">
        <is>
          <t>Always</t>
        </is>
      </c>
      <c r="G40" s="39" t="inlineStr">
        <is>
          <t>TRUE</t>
        </is>
      </c>
      <c r="H40" s="41">
        <f>IF(AND(TRUE(),D40&lt;=TARGET_LEVEL_NUM),"Applicable","N/A")</f>
        <v/>
      </c>
      <c r="I40" s="40" t="inlineStr">
        <is>
          <t>SAST + DAST</t>
        </is>
      </c>
      <c r="J40" s="40" t="inlineStr">
        <is>
          <t>Deterministic, continuous</t>
        </is>
      </c>
      <c r="K40" s="39" t="inlineStr">
        <is>
          <t>Pipeline</t>
        </is>
      </c>
      <c r="L40" s="39" t="inlineStr">
        <is>
          <t>Not assessed</t>
        </is>
      </c>
      <c r="M40" s="40" t="n"/>
      <c r="N40" s="40" t="n"/>
      <c r="O40" s="42" t="inlineStr">
        <is>
          <t>High</t>
        </is>
      </c>
      <c r="P40" s="43">
        <f>IF(H40="N/A","N/A",INDEX(CRIT_MATRIX,MATCH(O40,CRIT_MATRIX_ROWS,0),MATCH(APP_RISK_TIER,CRIT_MATRIX_COLS,0)))</f>
        <v/>
      </c>
    </row>
    <row r="41" ht="39.75" customHeight="1" s="19">
      <c r="A41" s="39" t="inlineStr">
        <is>
          <t>V2.3.1</t>
        </is>
      </c>
      <c r="B41" s="40" t="inlineStr">
        <is>
          <t>V2 - Validation and Business Logic</t>
        </is>
      </c>
      <c r="C41" s="40" t="inlineStr">
        <is>
          <t>V2.3 - Business Logic Security</t>
        </is>
      </c>
      <c r="D41" s="39" t="n">
        <v>1</v>
      </c>
      <c r="E41" s="40" t="inlineStr">
        <is>
          <t>Verify that the application will only process business logic flows for the same user in the expected sequential step order and without skipping steps.</t>
        </is>
      </c>
      <c r="F41" s="40" t="inlineStr">
        <is>
          <t>Always</t>
        </is>
      </c>
      <c r="G41" s="39" t="inlineStr">
        <is>
          <t>TRUE</t>
        </is>
      </c>
      <c r="H41" s="41">
        <f>IF(AND(TRUE(),D41&lt;=TARGET_LEVEL_NUM),"Applicable","N/A")</f>
        <v/>
      </c>
      <c r="I41" s="40" t="inlineStr">
        <is>
          <t>Pentest / manual review</t>
        </is>
      </c>
      <c r="J41" s="40" t="inlineStr">
        <is>
          <t>Sampled, periodic</t>
        </is>
      </c>
      <c r="K41" s="39" t="inlineStr">
        <is>
          <t>Periodic</t>
        </is>
      </c>
      <c r="L41" s="39" t="inlineStr">
        <is>
          <t>Not assessed</t>
        </is>
      </c>
      <c r="M41" s="40" t="n"/>
      <c r="N41" s="40" t="n"/>
      <c r="O41" s="42" t="inlineStr">
        <is>
          <t>High</t>
        </is>
      </c>
      <c r="P41" s="43">
        <f>IF(H41="N/A","N/A",INDEX(CRIT_MATRIX,MATCH(O41,CRIT_MATRIX_ROWS,0),MATCH(APP_RISK_TIER,CRIT_MATRIX_COLS,0)))</f>
        <v/>
      </c>
    </row>
    <row r="42" ht="39.75" customHeight="1" s="19">
      <c r="A42" s="39" t="inlineStr">
        <is>
          <t>V2.3.2</t>
        </is>
      </c>
      <c r="B42" s="40" t="inlineStr">
        <is>
          <t>V2 - Validation and Business Logic</t>
        </is>
      </c>
      <c r="C42" s="40" t="inlineStr">
        <is>
          <t>V2.3 - Business Logic Security</t>
        </is>
      </c>
      <c r="D42" s="39" t="n">
        <v>2</v>
      </c>
      <c r="E42" s="40" t="inlineStr">
        <is>
          <t>Verify that business logic limits are implemented per the application's documentation to avoid business logic flaws being exploited.</t>
        </is>
      </c>
      <c r="F42" s="40" t="inlineStr">
        <is>
          <t>Always</t>
        </is>
      </c>
      <c r="G42" s="39" t="inlineStr">
        <is>
          <t>TRUE</t>
        </is>
      </c>
      <c r="H42" s="41">
        <f>IF(AND(TRUE(),D42&lt;=TARGET_LEVEL_NUM),"Applicable","N/A")</f>
        <v/>
      </c>
      <c r="I42" s="40" t="inlineStr">
        <is>
          <t>Pentest / manual review</t>
        </is>
      </c>
      <c r="J42" s="40" t="inlineStr">
        <is>
          <t>Sampled, periodic</t>
        </is>
      </c>
      <c r="K42" s="39" t="inlineStr">
        <is>
          <t>Periodic</t>
        </is>
      </c>
      <c r="L42" s="39" t="inlineStr">
        <is>
          <t>Not assessed</t>
        </is>
      </c>
      <c r="M42" s="40" t="n"/>
      <c r="N42" s="40" t="n"/>
      <c r="O42" s="42" t="inlineStr">
        <is>
          <t>High</t>
        </is>
      </c>
      <c r="P42" s="43">
        <f>IF(H42="N/A","N/A",INDEX(CRIT_MATRIX,MATCH(O42,CRIT_MATRIX_ROWS,0),MATCH(APP_RISK_TIER,CRIT_MATRIX_COLS,0)))</f>
        <v/>
      </c>
    </row>
    <row r="43" ht="39.75" customHeight="1" s="19">
      <c r="A43" s="39" t="inlineStr">
        <is>
          <t>V2.3.3</t>
        </is>
      </c>
      <c r="B43" s="40" t="inlineStr">
        <is>
          <t>V2 - Validation and Business Logic</t>
        </is>
      </c>
      <c r="C43" s="40" t="inlineStr">
        <is>
          <t>V2.3 - Business Logic Security</t>
        </is>
      </c>
      <c r="D43" s="39" t="n">
        <v>2</v>
      </c>
      <c r="E43" s="40" t="inlineStr">
        <is>
          <t>Verify that transactions are being used at the business logic level such that either a business logic operation succeeds in its entirety or it is rolled back to the previous correct state.</t>
        </is>
      </c>
      <c r="F43" s="40" t="inlineStr">
        <is>
          <t>Always</t>
        </is>
      </c>
      <c r="G43" s="39" t="inlineStr">
        <is>
          <t>TRUE</t>
        </is>
      </c>
      <c r="H43" s="41">
        <f>IF(AND(TRUE(),D43&lt;=TARGET_LEVEL_NUM),"Applicable","N/A")</f>
        <v/>
      </c>
      <c r="I43" s="40" t="inlineStr">
        <is>
          <t>Pentest / manual review</t>
        </is>
      </c>
      <c r="J43" s="40" t="inlineStr">
        <is>
          <t>Sampled, periodic</t>
        </is>
      </c>
      <c r="K43" s="39" t="inlineStr">
        <is>
          <t>Periodic</t>
        </is>
      </c>
      <c r="L43" s="39" t="inlineStr">
        <is>
          <t>Not assessed</t>
        </is>
      </c>
      <c r="M43" s="40" t="n"/>
      <c r="N43" s="40" t="n"/>
      <c r="O43" s="42" t="inlineStr">
        <is>
          <t>High</t>
        </is>
      </c>
      <c r="P43" s="43">
        <f>IF(H43="N/A","N/A",INDEX(CRIT_MATRIX,MATCH(O43,CRIT_MATRIX_ROWS,0),MATCH(APP_RISK_TIER,CRIT_MATRIX_COLS,0)))</f>
        <v/>
      </c>
    </row>
    <row r="44" ht="39.75" customHeight="1" s="19">
      <c r="A44" s="39" t="inlineStr">
        <is>
          <t>V2.3.4</t>
        </is>
      </c>
      <c r="B44" s="40" t="inlineStr">
        <is>
          <t>V2 - Validation and Business Logic</t>
        </is>
      </c>
      <c r="C44" s="40" t="inlineStr">
        <is>
          <t>V2.3 - Business Logic Security</t>
        </is>
      </c>
      <c r="D44" s="39"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39" t="inlineStr">
        <is>
          <t>TRUE</t>
        </is>
      </c>
      <c r="H44" s="41">
        <f>IF(AND(TRUE(),D44&lt;=TARGET_LEVEL_NUM),"Applicable","N/A")</f>
        <v/>
      </c>
      <c r="I44" s="40" t="inlineStr">
        <is>
          <t>Pentest / manual review</t>
        </is>
      </c>
      <c r="J44" s="40" t="inlineStr">
        <is>
          <t>Sampled, periodic</t>
        </is>
      </c>
      <c r="K44" s="39" t="inlineStr">
        <is>
          <t>Periodic</t>
        </is>
      </c>
      <c r="L44" s="39" t="inlineStr">
        <is>
          <t>Not assessed</t>
        </is>
      </c>
      <c r="M44" s="40" t="n"/>
      <c r="N44" s="40" t="n"/>
      <c r="O44" s="42" t="inlineStr">
        <is>
          <t>High</t>
        </is>
      </c>
      <c r="P44" s="43">
        <f>IF(H44="N/A","N/A",INDEX(CRIT_MATRIX,MATCH(O44,CRIT_MATRIX_ROWS,0),MATCH(APP_RISK_TIER,CRIT_MATRIX_COLS,0)))</f>
        <v/>
      </c>
    </row>
    <row r="45" ht="39.75" customHeight="1" s="19">
      <c r="A45" s="39" t="inlineStr">
        <is>
          <t>V2.3.5</t>
        </is>
      </c>
      <c r="B45" s="40" t="inlineStr">
        <is>
          <t>V2 - Validation and Business Logic</t>
        </is>
      </c>
      <c r="C45" s="40" t="inlineStr">
        <is>
          <t>V2.3 - Business Logic Security</t>
        </is>
      </c>
      <c r="D45" s="39"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39" t="inlineStr">
        <is>
          <t>TRUE</t>
        </is>
      </c>
      <c r="H45" s="41">
        <f>IF(AND(TRUE(),D45&lt;=TARGET_LEVEL_NUM),"Applicable","N/A")</f>
        <v/>
      </c>
      <c r="I45" s="40" t="inlineStr">
        <is>
          <t>Pentest / manual review</t>
        </is>
      </c>
      <c r="J45" s="40" t="inlineStr">
        <is>
          <t>Sampled, periodic</t>
        </is>
      </c>
      <c r="K45" s="39" t="inlineStr">
        <is>
          <t>Periodic</t>
        </is>
      </c>
      <c r="L45" s="39" t="inlineStr">
        <is>
          <t>Not assessed</t>
        </is>
      </c>
      <c r="M45" s="40" t="n"/>
      <c r="N45" s="40" t="n"/>
      <c r="O45" s="42" t="inlineStr">
        <is>
          <t>High</t>
        </is>
      </c>
      <c r="P45" s="43">
        <f>IF(H45="N/A","N/A",INDEX(CRIT_MATRIX,MATCH(O45,CRIT_MATRIX_ROWS,0),MATCH(APP_RISK_TIER,CRIT_MATRIX_COLS,0)))</f>
        <v/>
      </c>
    </row>
    <row r="46" ht="39.75" customHeight="1" s="19">
      <c r="A46" s="39" t="inlineStr">
        <is>
          <t>V2.4.1</t>
        </is>
      </c>
      <c r="B46" s="40" t="inlineStr">
        <is>
          <t>V2 - Validation and Business Logic</t>
        </is>
      </c>
      <c r="C46" s="40" t="inlineStr">
        <is>
          <t>V2.4 - Anti-automation</t>
        </is>
      </c>
      <c r="D46" s="39"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39" t="inlineStr">
        <is>
          <t>TRUE</t>
        </is>
      </c>
      <c r="H46" s="41">
        <f>IF(AND(TRUE(),D46&lt;=TARGET_LEVEL_NUM),"Applicable","N/A")</f>
        <v/>
      </c>
      <c r="I46" s="40" t="inlineStr">
        <is>
          <t>SAST + DAST</t>
        </is>
      </c>
      <c r="J46" s="40" t="inlineStr">
        <is>
          <t>Deterministic, continuous</t>
        </is>
      </c>
      <c r="K46" s="39" t="inlineStr">
        <is>
          <t>Pipeline</t>
        </is>
      </c>
      <c r="L46" s="39" t="inlineStr">
        <is>
          <t>Not assessed</t>
        </is>
      </c>
      <c r="M46" s="40" t="n"/>
      <c r="N46" s="40" t="n"/>
      <c r="O46" s="42" t="inlineStr">
        <is>
          <t>High</t>
        </is>
      </c>
      <c r="P46" s="43">
        <f>IF(H46="N/A","N/A",INDEX(CRIT_MATRIX,MATCH(O46,CRIT_MATRIX_ROWS,0),MATCH(APP_RISK_TIER,CRIT_MATRIX_COLS,0)))</f>
        <v/>
      </c>
    </row>
    <row r="47" ht="39.75" customHeight="1" s="19">
      <c r="A47" s="39" t="inlineStr">
        <is>
          <t>V2.4.2</t>
        </is>
      </c>
      <c r="B47" s="40" t="inlineStr">
        <is>
          <t>V2 - Validation and Business Logic</t>
        </is>
      </c>
      <c r="C47" s="40" t="inlineStr">
        <is>
          <t>V2.4 - Anti-automation</t>
        </is>
      </c>
      <c r="D47" s="39" t="n">
        <v>3</v>
      </c>
      <c r="E47" s="40" t="inlineStr">
        <is>
          <t>Verify that business logic flows require realistic human timing, preventing excessively rapid transaction submissions.</t>
        </is>
      </c>
      <c r="F47" s="40" t="inlineStr">
        <is>
          <t>Always</t>
        </is>
      </c>
      <c r="G47" s="39" t="inlineStr">
        <is>
          <t>TRUE</t>
        </is>
      </c>
      <c r="H47" s="41">
        <f>IF(AND(TRUE(),D47&lt;=TARGET_LEVEL_NUM),"Applicable","N/A")</f>
        <v/>
      </c>
      <c r="I47" s="40" t="inlineStr">
        <is>
          <t>SAST + DAST</t>
        </is>
      </c>
      <c r="J47" s="40" t="inlineStr">
        <is>
          <t>Deterministic, continuous</t>
        </is>
      </c>
      <c r="K47" s="39" t="inlineStr">
        <is>
          <t>Pipeline</t>
        </is>
      </c>
      <c r="L47" s="39" t="inlineStr">
        <is>
          <t>Not assessed</t>
        </is>
      </c>
      <c r="M47" s="40" t="n"/>
      <c r="N47" s="40" t="n"/>
      <c r="O47" s="42" t="inlineStr">
        <is>
          <t>High</t>
        </is>
      </c>
      <c r="P47" s="43">
        <f>IF(H47="N/A","N/A",INDEX(CRIT_MATRIX,MATCH(O47,CRIT_MATRIX_ROWS,0),MATCH(APP_RISK_TIER,CRIT_MATRIX_COLS,0)))</f>
        <v/>
      </c>
    </row>
    <row r="48" ht="39.75" customHeight="1" s="19">
      <c r="A48" s="39" t="inlineStr">
        <is>
          <t>V3.1.1</t>
        </is>
      </c>
      <c r="B48" s="40" t="inlineStr">
        <is>
          <t>V3 - Web Frontend Security</t>
        </is>
      </c>
      <c r="C48" s="40" t="inlineStr">
        <is>
          <t>V3.1 - Web Frontend Security Documentation</t>
        </is>
      </c>
      <c r="D48" s="39"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39" t="inlineStr">
        <is>
          <t>SPA_FRONTEND="Yes"</t>
        </is>
      </c>
      <c r="H48" s="41">
        <f>IF(AND(SPA_FRONTEND="Yes",D48&lt;=TARGET_LEVEL_NUM),"Applicable","N/A")</f>
        <v/>
      </c>
      <c r="I48" s="40" t="inlineStr">
        <is>
          <t>Architecture / documentation review</t>
        </is>
      </c>
      <c r="J48" s="40" t="inlineStr">
        <is>
          <t>Sampled, periodic</t>
        </is>
      </c>
      <c r="K48" s="39" t="inlineStr">
        <is>
          <t>Design/Governance</t>
        </is>
      </c>
      <c r="L48" s="39" t="inlineStr">
        <is>
          <t>Not assessed</t>
        </is>
      </c>
      <c r="M48" s="40" t="n"/>
      <c r="N48" s="40" t="n"/>
      <c r="O48" s="42" t="inlineStr">
        <is>
          <t>Medium</t>
        </is>
      </c>
      <c r="P48" s="43">
        <f>IF(H48="N/A","N/A",INDEX(CRIT_MATRIX,MATCH(O48,CRIT_MATRIX_ROWS,0),MATCH(APP_RISK_TIER,CRIT_MATRIX_COLS,0)))</f>
        <v/>
      </c>
    </row>
    <row r="49" ht="39.75" customHeight="1" s="19">
      <c r="A49" s="39" t="inlineStr">
        <is>
          <t>V3.2.1</t>
        </is>
      </c>
      <c r="B49" s="40" t="inlineStr">
        <is>
          <t>V3 - Web Frontend Security</t>
        </is>
      </c>
      <c r="C49" s="40" t="inlineStr">
        <is>
          <t>V3.2 - Unintended Content Interpretation</t>
        </is>
      </c>
      <c r="D49" s="39"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39" t="inlineStr">
        <is>
          <t>SPA_FRONTEND="Yes"</t>
        </is>
      </c>
      <c r="H49" s="41">
        <f>IF(AND(SPA_FRONTEND="Yes",D49&lt;=TARGET_LEVEL_NUM),"Applicable","N/A")</f>
        <v/>
      </c>
      <c r="I49" s="40" t="inlineStr">
        <is>
          <t>SAST + DAST / header scanner</t>
        </is>
      </c>
      <c r="J49" s="40" t="inlineStr">
        <is>
          <t>Deterministic, continuous</t>
        </is>
      </c>
      <c r="K49" s="39" t="inlineStr">
        <is>
          <t>Pipeline</t>
        </is>
      </c>
      <c r="L49" s="39" t="inlineStr">
        <is>
          <t>Not assessed</t>
        </is>
      </c>
      <c r="M49" s="40" t="n"/>
      <c r="N49" s="40" t="n"/>
      <c r="O49" s="42" t="inlineStr">
        <is>
          <t>Medium</t>
        </is>
      </c>
      <c r="P49" s="43">
        <f>IF(H49="N/A","N/A",INDEX(CRIT_MATRIX,MATCH(O49,CRIT_MATRIX_ROWS,0),MATCH(APP_RISK_TIER,CRIT_MATRIX_COLS,0)))</f>
        <v/>
      </c>
    </row>
    <row r="50" ht="39.75" customHeight="1" s="19">
      <c r="A50" s="39" t="inlineStr">
        <is>
          <t>V3.2.2</t>
        </is>
      </c>
      <c r="B50" s="40" t="inlineStr">
        <is>
          <t>V3 - Web Frontend Security</t>
        </is>
      </c>
      <c r="C50" s="40" t="inlineStr">
        <is>
          <t>V3.2 - Unintended Content Interpretation</t>
        </is>
      </c>
      <c r="D50" s="39"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39" t="inlineStr">
        <is>
          <t>SPA_FRONTEND="Yes"</t>
        </is>
      </c>
      <c r="H50" s="41">
        <f>IF(AND(SPA_FRONTEND="Yes",D50&lt;=TARGET_LEVEL_NUM),"Applicable","N/A")</f>
        <v/>
      </c>
      <c r="I50" s="40" t="inlineStr">
        <is>
          <t>SAST + DAST / header scanner</t>
        </is>
      </c>
      <c r="J50" s="40" t="inlineStr">
        <is>
          <t>Deterministic, continuous</t>
        </is>
      </c>
      <c r="K50" s="39" t="inlineStr">
        <is>
          <t>Pipeline</t>
        </is>
      </c>
      <c r="L50" s="39" t="inlineStr">
        <is>
          <t>Not assessed</t>
        </is>
      </c>
      <c r="M50" s="40" t="n"/>
      <c r="N50" s="40" t="n"/>
      <c r="O50" s="42" t="inlineStr">
        <is>
          <t>Medium</t>
        </is>
      </c>
      <c r="P50" s="43">
        <f>IF(H50="N/A","N/A",INDEX(CRIT_MATRIX,MATCH(O50,CRIT_MATRIX_ROWS,0),MATCH(APP_RISK_TIER,CRIT_MATRIX_COLS,0)))</f>
        <v/>
      </c>
    </row>
    <row r="51" ht="39.75" customHeight="1" s="19">
      <c r="A51" s="39" t="inlineStr">
        <is>
          <t>V3.2.3</t>
        </is>
      </c>
      <c r="B51" s="40" t="inlineStr">
        <is>
          <t>V3 - Web Frontend Security</t>
        </is>
      </c>
      <c r="C51" s="40" t="inlineStr">
        <is>
          <t>V3.2 - Unintended Content Interpretation</t>
        </is>
      </c>
      <c r="D51" s="39"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39" t="inlineStr">
        <is>
          <t>SPA_FRONTEND="Yes"</t>
        </is>
      </c>
      <c r="H51" s="41">
        <f>IF(AND(SPA_FRONTEND="Yes",D51&lt;=TARGET_LEVEL_NUM),"Applicable","N/A")</f>
        <v/>
      </c>
      <c r="I51" s="40" t="inlineStr">
        <is>
          <t>SAST + DAST / header scanner</t>
        </is>
      </c>
      <c r="J51" s="40" t="inlineStr">
        <is>
          <t>Deterministic, continuous</t>
        </is>
      </c>
      <c r="K51" s="39" t="inlineStr">
        <is>
          <t>Pipeline</t>
        </is>
      </c>
      <c r="L51" s="39" t="inlineStr">
        <is>
          <t>Not assessed</t>
        </is>
      </c>
      <c r="M51" s="40" t="n"/>
      <c r="N51" s="40" t="n"/>
      <c r="O51" s="42" t="inlineStr">
        <is>
          <t>Medium</t>
        </is>
      </c>
      <c r="P51" s="43">
        <f>IF(H51="N/A","N/A",INDEX(CRIT_MATRIX,MATCH(O51,CRIT_MATRIX_ROWS,0),MATCH(APP_RISK_TIER,CRIT_MATRIX_COLS,0)))</f>
        <v/>
      </c>
    </row>
    <row r="52" ht="39.75" customHeight="1" s="19">
      <c r="A52" s="39" t="inlineStr">
        <is>
          <t>V3.3.1</t>
        </is>
      </c>
      <c r="B52" s="40" t="inlineStr">
        <is>
          <t>V3 - Web Frontend Security</t>
        </is>
      </c>
      <c r="C52" s="40" t="inlineStr">
        <is>
          <t>V3.3 - Cookie Setup</t>
        </is>
      </c>
      <c r="D52" s="39" t="n">
        <v>1</v>
      </c>
      <c r="E52" s="40" t="inlineStr">
        <is>
          <t>Verify that cookies have the 'Secure' attribute set, and if the '\__Host-' prefix is not used for the cookie name, the '__Secure-' prefix must be used for the cookie name.</t>
        </is>
      </c>
      <c r="F52" s="40" t="inlineStr">
        <is>
          <t>If has SPA/client-side front end</t>
        </is>
      </c>
      <c r="G52" s="39" t="inlineStr">
        <is>
          <t>SPA_FRONTEND="Yes"</t>
        </is>
      </c>
      <c r="H52" s="41">
        <f>IF(AND(SPA_FRONTEND="Yes",D52&lt;=TARGET_LEVEL_NUM),"Applicable","N/A")</f>
        <v/>
      </c>
      <c r="I52" s="40" t="inlineStr">
        <is>
          <t>SAST + DAST / header scanner</t>
        </is>
      </c>
      <c r="J52" s="40" t="inlineStr">
        <is>
          <t>Deterministic, continuous</t>
        </is>
      </c>
      <c r="K52" s="39" t="inlineStr">
        <is>
          <t>Pipeline</t>
        </is>
      </c>
      <c r="L52" s="39" t="inlineStr">
        <is>
          <t>Not assessed</t>
        </is>
      </c>
      <c r="M52" s="40" t="n"/>
      <c r="N52" s="40" t="n"/>
      <c r="O52" s="42" t="inlineStr">
        <is>
          <t>Medium</t>
        </is>
      </c>
      <c r="P52" s="43">
        <f>IF(H52="N/A","N/A",INDEX(CRIT_MATRIX,MATCH(O52,CRIT_MATRIX_ROWS,0),MATCH(APP_RISK_TIER,CRIT_MATRIX_COLS,0)))</f>
        <v/>
      </c>
    </row>
    <row r="53" ht="39.75" customHeight="1" s="19">
      <c r="A53" s="39" t="inlineStr">
        <is>
          <t>V3.3.2</t>
        </is>
      </c>
      <c r="B53" s="40" t="inlineStr">
        <is>
          <t>V3 - Web Frontend Security</t>
        </is>
      </c>
      <c r="C53" s="40" t="inlineStr">
        <is>
          <t>V3.3 - Cookie Setup</t>
        </is>
      </c>
      <c r="D53" s="39"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39" t="inlineStr">
        <is>
          <t>SPA_FRONTEND="Yes"</t>
        </is>
      </c>
      <c r="H53" s="41">
        <f>IF(AND(SPA_FRONTEND="Yes",D53&lt;=TARGET_LEVEL_NUM),"Applicable","N/A")</f>
        <v/>
      </c>
      <c r="I53" s="40" t="inlineStr">
        <is>
          <t>SAST + DAST / header scanner</t>
        </is>
      </c>
      <c r="J53" s="40" t="inlineStr">
        <is>
          <t>Deterministic, continuous</t>
        </is>
      </c>
      <c r="K53" s="39" t="inlineStr">
        <is>
          <t>Pipeline</t>
        </is>
      </c>
      <c r="L53" s="39" t="inlineStr">
        <is>
          <t>Not assessed</t>
        </is>
      </c>
      <c r="M53" s="40" t="n"/>
      <c r="N53" s="40" t="n"/>
      <c r="O53" s="42" t="inlineStr">
        <is>
          <t>Medium</t>
        </is>
      </c>
      <c r="P53" s="43">
        <f>IF(H53="N/A","N/A",INDEX(CRIT_MATRIX,MATCH(O53,CRIT_MATRIX_ROWS,0),MATCH(APP_RISK_TIER,CRIT_MATRIX_COLS,0)))</f>
        <v/>
      </c>
    </row>
    <row r="54" ht="39.75" customHeight="1" s="19">
      <c r="A54" s="39" t="inlineStr">
        <is>
          <t>V3.3.3</t>
        </is>
      </c>
      <c r="B54" s="40" t="inlineStr">
        <is>
          <t>V3 - Web Frontend Security</t>
        </is>
      </c>
      <c r="C54" s="40" t="inlineStr">
        <is>
          <t>V3.3 - Cookie Setup</t>
        </is>
      </c>
      <c r="D54" s="39" t="n">
        <v>2</v>
      </c>
      <c r="E54" s="40" t="inlineStr">
        <is>
          <t>Verify that cookies have the '__Host-' prefix for the cookie name unless they are explicitly designed to be shared with other hosts.</t>
        </is>
      </c>
      <c r="F54" s="40" t="inlineStr">
        <is>
          <t>If has SPA/client-side front end</t>
        </is>
      </c>
      <c r="G54" s="39" t="inlineStr">
        <is>
          <t>SPA_FRONTEND="Yes"</t>
        </is>
      </c>
      <c r="H54" s="41">
        <f>IF(AND(SPA_FRONTEND="Yes",D54&lt;=TARGET_LEVEL_NUM),"Applicable","N/A")</f>
        <v/>
      </c>
      <c r="I54" s="40" t="inlineStr">
        <is>
          <t>SAST + DAST / header scanner</t>
        </is>
      </c>
      <c r="J54" s="40" t="inlineStr">
        <is>
          <t>Deterministic, continuous</t>
        </is>
      </c>
      <c r="K54" s="39" t="inlineStr">
        <is>
          <t>Pipeline</t>
        </is>
      </c>
      <c r="L54" s="39" t="inlineStr">
        <is>
          <t>Not assessed</t>
        </is>
      </c>
      <c r="M54" s="40" t="n"/>
      <c r="N54" s="40" t="n"/>
      <c r="O54" s="42" t="inlineStr">
        <is>
          <t>Medium</t>
        </is>
      </c>
      <c r="P54" s="43">
        <f>IF(H54="N/A","N/A",INDEX(CRIT_MATRIX,MATCH(O54,CRIT_MATRIX_ROWS,0),MATCH(APP_RISK_TIER,CRIT_MATRIX_COLS,0)))</f>
        <v/>
      </c>
    </row>
    <row r="55" ht="39.75" customHeight="1" s="19">
      <c r="A55" s="39" t="inlineStr">
        <is>
          <t>V3.3.4</t>
        </is>
      </c>
      <c r="B55" s="40" t="inlineStr">
        <is>
          <t>V3 - Web Frontend Security</t>
        </is>
      </c>
      <c r="C55" s="40" t="inlineStr">
        <is>
          <t>V3.3 - Cookie Setup</t>
        </is>
      </c>
      <c r="D55" s="39"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39" t="inlineStr">
        <is>
          <t>SPA_FRONTEND="Yes"</t>
        </is>
      </c>
      <c r="H55" s="41">
        <f>IF(AND(SPA_FRONTEND="Yes",D55&lt;=TARGET_LEVEL_NUM),"Applicable","N/A")</f>
        <v/>
      </c>
      <c r="I55" s="40" t="inlineStr">
        <is>
          <t>SAST + DAST / header scanner</t>
        </is>
      </c>
      <c r="J55" s="40" t="inlineStr">
        <is>
          <t>Deterministic, continuous</t>
        </is>
      </c>
      <c r="K55" s="39" t="inlineStr">
        <is>
          <t>Pipeline</t>
        </is>
      </c>
      <c r="L55" s="39" t="inlineStr">
        <is>
          <t>Not assessed</t>
        </is>
      </c>
      <c r="M55" s="40" t="n"/>
      <c r="N55" s="40" t="n"/>
      <c r="O55" s="42" t="inlineStr">
        <is>
          <t>Medium</t>
        </is>
      </c>
      <c r="P55" s="43">
        <f>IF(H55="N/A","N/A",INDEX(CRIT_MATRIX,MATCH(O55,CRIT_MATRIX_ROWS,0),MATCH(APP_RISK_TIER,CRIT_MATRIX_COLS,0)))</f>
        <v/>
      </c>
    </row>
    <row r="56" ht="39.75" customHeight="1" s="19">
      <c r="A56" s="39" t="inlineStr">
        <is>
          <t>V3.3.5</t>
        </is>
      </c>
      <c r="B56" s="40" t="inlineStr">
        <is>
          <t>V3 - Web Frontend Security</t>
        </is>
      </c>
      <c r="C56" s="40" t="inlineStr">
        <is>
          <t>V3.3 - Cookie Setup</t>
        </is>
      </c>
      <c r="D56" s="39"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39" t="inlineStr">
        <is>
          <t>SPA_FRONTEND="Yes"</t>
        </is>
      </c>
      <c r="H56" s="41">
        <f>IF(AND(SPA_FRONTEND="Yes",D56&lt;=TARGET_LEVEL_NUM),"Applicable","N/A")</f>
        <v/>
      </c>
      <c r="I56" s="40" t="inlineStr">
        <is>
          <t>SAST + DAST / header scanner</t>
        </is>
      </c>
      <c r="J56" s="40" t="inlineStr">
        <is>
          <t>Deterministic, continuous</t>
        </is>
      </c>
      <c r="K56" s="39" t="inlineStr">
        <is>
          <t>Pipeline</t>
        </is>
      </c>
      <c r="L56" s="39" t="inlineStr">
        <is>
          <t>Not assessed</t>
        </is>
      </c>
      <c r="M56" s="40" t="n"/>
      <c r="N56" s="40" t="n"/>
      <c r="O56" s="42" t="inlineStr">
        <is>
          <t>Medium</t>
        </is>
      </c>
      <c r="P56" s="43">
        <f>IF(H56="N/A","N/A",INDEX(CRIT_MATRIX,MATCH(O56,CRIT_MATRIX_ROWS,0),MATCH(APP_RISK_TIER,CRIT_MATRIX_COLS,0)))</f>
        <v/>
      </c>
    </row>
    <row r="57" ht="39.75" customHeight="1" s="19">
      <c r="A57" s="39" t="inlineStr">
        <is>
          <t>V3.4.1</t>
        </is>
      </c>
      <c r="B57" s="40" t="inlineStr">
        <is>
          <t>V3 - Web Frontend Security</t>
        </is>
      </c>
      <c r="C57" s="40" t="inlineStr">
        <is>
          <t>V3.4 - Browser Security Mechanism Headers</t>
        </is>
      </c>
      <c r="D57" s="39"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39" t="inlineStr">
        <is>
          <t>SPA_FRONTEND="Yes"</t>
        </is>
      </c>
      <c r="H57" s="41">
        <f>IF(AND(SPA_FRONTEND="Yes",D57&lt;=TARGET_LEVEL_NUM),"Applicable","N/A")</f>
        <v/>
      </c>
      <c r="I57" s="40" t="inlineStr">
        <is>
          <t>SAST + DAST / header scanner</t>
        </is>
      </c>
      <c r="J57" s="40" t="inlineStr">
        <is>
          <t>Deterministic, continuous</t>
        </is>
      </c>
      <c r="K57" s="39" t="inlineStr">
        <is>
          <t>Pipeline</t>
        </is>
      </c>
      <c r="L57" s="39" t="inlineStr">
        <is>
          <t>Not assessed</t>
        </is>
      </c>
      <c r="M57" s="40" t="n"/>
      <c r="N57" s="40" t="n"/>
      <c r="O57" s="42" t="inlineStr">
        <is>
          <t>Medium</t>
        </is>
      </c>
      <c r="P57" s="43">
        <f>IF(H57="N/A","N/A",INDEX(CRIT_MATRIX,MATCH(O57,CRIT_MATRIX_ROWS,0),MATCH(APP_RISK_TIER,CRIT_MATRIX_COLS,0)))</f>
        <v/>
      </c>
    </row>
    <row r="58" ht="39.75" customHeight="1" s="19">
      <c r="A58" s="39" t="inlineStr">
        <is>
          <t>V3.4.2</t>
        </is>
      </c>
      <c r="B58" s="40" t="inlineStr">
        <is>
          <t>V3 - Web Frontend Security</t>
        </is>
      </c>
      <c r="C58" s="40" t="inlineStr">
        <is>
          <t>V3.4 - Browser Security Mechanism Headers</t>
        </is>
      </c>
      <c r="D58" s="39"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39" t="inlineStr">
        <is>
          <t>SPA_FRONTEND="Yes"</t>
        </is>
      </c>
      <c r="H58" s="41">
        <f>IF(AND(SPA_FRONTEND="Yes",D58&lt;=TARGET_LEVEL_NUM),"Applicable","N/A")</f>
        <v/>
      </c>
      <c r="I58" s="40" t="inlineStr">
        <is>
          <t>SAST + DAST / header scanner</t>
        </is>
      </c>
      <c r="J58" s="40" t="inlineStr">
        <is>
          <t>Deterministic, continuous</t>
        </is>
      </c>
      <c r="K58" s="39" t="inlineStr">
        <is>
          <t>Pipeline</t>
        </is>
      </c>
      <c r="L58" s="39" t="inlineStr">
        <is>
          <t>Not assessed</t>
        </is>
      </c>
      <c r="M58" s="40" t="n"/>
      <c r="N58" s="40" t="n"/>
      <c r="O58" s="42" t="inlineStr">
        <is>
          <t>Medium</t>
        </is>
      </c>
      <c r="P58" s="43">
        <f>IF(H58="N/A","N/A",INDEX(CRIT_MATRIX,MATCH(O58,CRIT_MATRIX_ROWS,0),MATCH(APP_RISK_TIER,CRIT_MATRIX_COLS,0)))</f>
        <v/>
      </c>
    </row>
    <row r="59" ht="39.75" customHeight="1" s="19">
      <c r="A59" s="39" t="inlineStr">
        <is>
          <t>V3.4.3</t>
        </is>
      </c>
      <c r="B59" s="40" t="inlineStr">
        <is>
          <t>V3 - Web Frontend Security</t>
        </is>
      </c>
      <c r="C59" s="40" t="inlineStr">
        <is>
          <t>V3.4 - Browser Security Mechanism Headers</t>
        </is>
      </c>
      <c r="D59" s="39"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39" t="inlineStr">
        <is>
          <t>SPA_FRONTEND="Yes"</t>
        </is>
      </c>
      <c r="H59" s="41">
        <f>IF(AND(SPA_FRONTEND="Yes",D59&lt;=TARGET_LEVEL_NUM),"Applicable","N/A")</f>
        <v/>
      </c>
      <c r="I59" s="40" t="inlineStr">
        <is>
          <t>SAST + DAST / header scanner</t>
        </is>
      </c>
      <c r="J59" s="40" t="inlineStr">
        <is>
          <t>Deterministic, continuous</t>
        </is>
      </c>
      <c r="K59" s="39" t="inlineStr">
        <is>
          <t>Pipeline</t>
        </is>
      </c>
      <c r="L59" s="39" t="inlineStr">
        <is>
          <t>Not assessed</t>
        </is>
      </c>
      <c r="M59" s="40" t="n"/>
      <c r="N59" s="40" t="n"/>
      <c r="O59" s="42" t="inlineStr">
        <is>
          <t>Medium</t>
        </is>
      </c>
      <c r="P59" s="43">
        <f>IF(H59="N/A","N/A",INDEX(CRIT_MATRIX,MATCH(O59,CRIT_MATRIX_ROWS,0),MATCH(APP_RISK_TIER,CRIT_MATRIX_COLS,0)))</f>
        <v/>
      </c>
    </row>
    <row r="60" ht="39.75" customHeight="1" s="19">
      <c r="A60" s="39" t="inlineStr">
        <is>
          <t>V3.4.4</t>
        </is>
      </c>
      <c r="B60" s="40" t="inlineStr">
        <is>
          <t>V3 - Web Frontend Security</t>
        </is>
      </c>
      <c r="C60" s="40" t="inlineStr">
        <is>
          <t>V3.4 - Browser Security Mechanism Headers</t>
        </is>
      </c>
      <c r="D60" s="39"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39" t="inlineStr">
        <is>
          <t>SPA_FRONTEND="Yes"</t>
        </is>
      </c>
      <c r="H60" s="41">
        <f>IF(AND(SPA_FRONTEND="Yes",D60&lt;=TARGET_LEVEL_NUM),"Applicable","N/A")</f>
        <v/>
      </c>
      <c r="I60" s="40" t="inlineStr">
        <is>
          <t>SAST + DAST / header scanner</t>
        </is>
      </c>
      <c r="J60" s="40" t="inlineStr">
        <is>
          <t>Deterministic, continuous</t>
        </is>
      </c>
      <c r="K60" s="39" t="inlineStr">
        <is>
          <t>Pipeline</t>
        </is>
      </c>
      <c r="L60" s="39" t="inlineStr">
        <is>
          <t>Not assessed</t>
        </is>
      </c>
      <c r="M60" s="40" t="n"/>
      <c r="N60" s="40" t="n"/>
      <c r="O60" s="42" t="inlineStr">
        <is>
          <t>Medium</t>
        </is>
      </c>
      <c r="P60" s="43">
        <f>IF(H60="N/A","N/A",INDEX(CRIT_MATRIX,MATCH(O60,CRIT_MATRIX_ROWS,0),MATCH(APP_RISK_TIER,CRIT_MATRIX_COLS,0)))</f>
        <v/>
      </c>
    </row>
    <row r="61" ht="39.75" customHeight="1" s="19">
      <c r="A61" s="39" t="inlineStr">
        <is>
          <t>V3.4.5</t>
        </is>
      </c>
      <c r="B61" s="40" t="inlineStr">
        <is>
          <t>V3 - Web Frontend Security</t>
        </is>
      </c>
      <c r="C61" s="40" t="inlineStr">
        <is>
          <t>V3.4 - Browser Security Mechanism Headers</t>
        </is>
      </c>
      <c r="D61" s="39"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39" t="inlineStr">
        <is>
          <t>SPA_FRONTEND="Yes"</t>
        </is>
      </c>
      <c r="H61" s="41">
        <f>IF(AND(SPA_FRONTEND="Yes",D61&lt;=TARGET_LEVEL_NUM),"Applicable","N/A")</f>
        <v/>
      </c>
      <c r="I61" s="40" t="inlineStr">
        <is>
          <t>SAST + DAST / header scanner</t>
        </is>
      </c>
      <c r="J61" s="40" t="inlineStr">
        <is>
          <t>Deterministic, continuous</t>
        </is>
      </c>
      <c r="K61" s="39" t="inlineStr">
        <is>
          <t>Pipeline</t>
        </is>
      </c>
      <c r="L61" s="39" t="inlineStr">
        <is>
          <t>Not assessed</t>
        </is>
      </c>
      <c r="M61" s="40" t="n"/>
      <c r="N61" s="40" t="n"/>
      <c r="O61" s="42" t="inlineStr">
        <is>
          <t>Medium</t>
        </is>
      </c>
      <c r="P61" s="43">
        <f>IF(H61="N/A","N/A",INDEX(CRIT_MATRIX,MATCH(O61,CRIT_MATRIX_ROWS,0),MATCH(APP_RISK_TIER,CRIT_MATRIX_COLS,0)))</f>
        <v/>
      </c>
    </row>
    <row r="62" ht="39.75" customHeight="1" s="19">
      <c r="A62" s="39" t="inlineStr">
        <is>
          <t>V3.4.6</t>
        </is>
      </c>
      <c r="B62" s="40" t="inlineStr">
        <is>
          <t>V3 - Web Frontend Security</t>
        </is>
      </c>
      <c r="C62" s="40" t="inlineStr">
        <is>
          <t>V3.4 - Browser Security Mechanism Headers</t>
        </is>
      </c>
      <c r="D62" s="39"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39" t="inlineStr">
        <is>
          <t>SPA_FRONTEND="Yes"</t>
        </is>
      </c>
      <c r="H62" s="41">
        <f>IF(AND(SPA_FRONTEND="Yes",D62&lt;=TARGET_LEVEL_NUM),"Applicable","N/A")</f>
        <v/>
      </c>
      <c r="I62" s="40" t="inlineStr">
        <is>
          <t>SAST + DAST / header scanner</t>
        </is>
      </c>
      <c r="J62" s="40" t="inlineStr">
        <is>
          <t>Deterministic, continuous</t>
        </is>
      </c>
      <c r="K62" s="39" t="inlineStr">
        <is>
          <t>Pipeline</t>
        </is>
      </c>
      <c r="L62" s="39" t="inlineStr">
        <is>
          <t>Not assessed</t>
        </is>
      </c>
      <c r="M62" s="40" t="n"/>
      <c r="N62" s="40" t="n"/>
      <c r="O62" s="42" t="inlineStr">
        <is>
          <t>Medium</t>
        </is>
      </c>
      <c r="P62" s="43">
        <f>IF(H62="N/A","N/A",INDEX(CRIT_MATRIX,MATCH(O62,CRIT_MATRIX_ROWS,0),MATCH(APP_RISK_TIER,CRIT_MATRIX_COLS,0)))</f>
        <v/>
      </c>
    </row>
    <row r="63" ht="39.75" customHeight="1" s="19">
      <c r="A63" s="39" t="inlineStr">
        <is>
          <t>V3.4.7</t>
        </is>
      </c>
      <c r="B63" s="40" t="inlineStr">
        <is>
          <t>V3 - Web Frontend Security</t>
        </is>
      </c>
      <c r="C63" s="40" t="inlineStr">
        <is>
          <t>V3.4 - Browser Security Mechanism Headers</t>
        </is>
      </c>
      <c r="D63" s="39" t="n">
        <v>3</v>
      </c>
      <c r="E63" s="40" t="inlineStr">
        <is>
          <t>Verify that the Content-Security-Policy header field specifies a location to report violations.</t>
        </is>
      </c>
      <c r="F63" s="40" t="inlineStr">
        <is>
          <t>If has SPA/client-side front end</t>
        </is>
      </c>
      <c r="G63" s="39" t="inlineStr">
        <is>
          <t>SPA_FRONTEND="Yes"</t>
        </is>
      </c>
      <c r="H63" s="41">
        <f>IF(AND(SPA_FRONTEND="Yes",D63&lt;=TARGET_LEVEL_NUM),"Applicable","N/A")</f>
        <v/>
      </c>
      <c r="I63" s="40" t="inlineStr">
        <is>
          <t>SAST + DAST / header scanner</t>
        </is>
      </c>
      <c r="J63" s="40" t="inlineStr">
        <is>
          <t>Deterministic, continuous</t>
        </is>
      </c>
      <c r="K63" s="39" t="inlineStr">
        <is>
          <t>Pipeline</t>
        </is>
      </c>
      <c r="L63" s="39" t="inlineStr">
        <is>
          <t>Not assessed</t>
        </is>
      </c>
      <c r="M63" s="40" t="n"/>
      <c r="N63" s="40" t="n"/>
      <c r="O63" s="42" t="inlineStr">
        <is>
          <t>Medium</t>
        </is>
      </c>
      <c r="P63" s="43">
        <f>IF(H63="N/A","N/A",INDEX(CRIT_MATRIX,MATCH(O63,CRIT_MATRIX_ROWS,0),MATCH(APP_RISK_TIER,CRIT_MATRIX_COLS,0)))</f>
        <v/>
      </c>
    </row>
    <row r="64" ht="39.75" customHeight="1" s="19">
      <c r="A64" s="39" t="inlineStr">
        <is>
          <t>V3.4.8</t>
        </is>
      </c>
      <c r="B64" s="40" t="inlineStr">
        <is>
          <t>V3 - Web Frontend Security</t>
        </is>
      </c>
      <c r="C64" s="40" t="inlineStr">
        <is>
          <t>V3.4 - Browser Security Mechanism Headers</t>
        </is>
      </c>
      <c r="D64" s="39"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39" t="inlineStr">
        <is>
          <t>SPA_FRONTEND="Yes"</t>
        </is>
      </c>
      <c r="H64" s="41">
        <f>IF(AND(SPA_FRONTEND="Yes",D64&lt;=TARGET_LEVEL_NUM),"Applicable","N/A")</f>
        <v/>
      </c>
      <c r="I64" s="40" t="inlineStr">
        <is>
          <t>SAST + DAST / header scanner</t>
        </is>
      </c>
      <c r="J64" s="40" t="inlineStr">
        <is>
          <t>Deterministic, continuous</t>
        </is>
      </c>
      <c r="K64" s="39" t="inlineStr">
        <is>
          <t>Pipeline</t>
        </is>
      </c>
      <c r="L64" s="39" t="inlineStr">
        <is>
          <t>Not assessed</t>
        </is>
      </c>
      <c r="M64" s="40" t="n"/>
      <c r="N64" s="40" t="n"/>
      <c r="O64" s="42" t="inlineStr">
        <is>
          <t>Medium</t>
        </is>
      </c>
      <c r="P64" s="43">
        <f>IF(H64="N/A","N/A",INDEX(CRIT_MATRIX,MATCH(O64,CRIT_MATRIX_ROWS,0),MATCH(APP_RISK_TIER,CRIT_MATRIX_COLS,0)))</f>
        <v/>
      </c>
    </row>
    <row r="65" ht="39.75" customHeight="1" s="19">
      <c r="A65" s="39" t="inlineStr">
        <is>
          <t>V3.5.1</t>
        </is>
      </c>
      <c r="B65" s="40" t="inlineStr">
        <is>
          <t>V3 - Web Frontend Security</t>
        </is>
      </c>
      <c r="C65" s="40" t="inlineStr">
        <is>
          <t>V3.5 - Browser Origin Separation</t>
        </is>
      </c>
      <c r="D65" s="39"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39" t="inlineStr">
        <is>
          <t>SPA_FRONTEND="Yes"</t>
        </is>
      </c>
      <c r="H65" s="41">
        <f>IF(AND(SPA_FRONTEND="Yes",D65&lt;=TARGET_LEVEL_NUM),"Applicable","N/A")</f>
        <v/>
      </c>
      <c r="I65" s="40" t="inlineStr">
        <is>
          <t>SAST + DAST / header scanner</t>
        </is>
      </c>
      <c r="J65" s="40" t="inlineStr">
        <is>
          <t>Deterministic, continuous</t>
        </is>
      </c>
      <c r="K65" s="39" t="inlineStr">
        <is>
          <t>Pipeline</t>
        </is>
      </c>
      <c r="L65" s="39" t="inlineStr">
        <is>
          <t>Not assessed</t>
        </is>
      </c>
      <c r="M65" s="40" t="n"/>
      <c r="N65" s="40" t="n"/>
      <c r="O65" s="42" t="inlineStr">
        <is>
          <t>Medium</t>
        </is>
      </c>
      <c r="P65" s="43">
        <f>IF(H65="N/A","N/A",INDEX(CRIT_MATRIX,MATCH(O65,CRIT_MATRIX_ROWS,0),MATCH(APP_RISK_TIER,CRIT_MATRIX_COLS,0)))</f>
        <v/>
      </c>
    </row>
    <row r="66" ht="39.75" customHeight="1" s="19">
      <c r="A66" s="39" t="inlineStr">
        <is>
          <t>V3.5.2</t>
        </is>
      </c>
      <c r="B66" s="40" t="inlineStr">
        <is>
          <t>V3 - Web Frontend Security</t>
        </is>
      </c>
      <c r="C66" s="40" t="inlineStr">
        <is>
          <t>V3.5 - Browser Origin Separation</t>
        </is>
      </c>
      <c r="D66" s="39"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39" t="inlineStr">
        <is>
          <t>SPA_FRONTEND="Yes"</t>
        </is>
      </c>
      <c r="H66" s="41">
        <f>IF(AND(SPA_FRONTEND="Yes",D66&lt;=TARGET_LEVEL_NUM),"Applicable","N/A")</f>
        <v/>
      </c>
      <c r="I66" s="40" t="inlineStr">
        <is>
          <t>SAST + DAST / header scanner</t>
        </is>
      </c>
      <c r="J66" s="40" t="inlineStr">
        <is>
          <t>Deterministic, continuous</t>
        </is>
      </c>
      <c r="K66" s="39" t="inlineStr">
        <is>
          <t>Pipeline</t>
        </is>
      </c>
      <c r="L66" s="39" t="inlineStr">
        <is>
          <t>Not assessed</t>
        </is>
      </c>
      <c r="M66" s="40" t="n"/>
      <c r="N66" s="40" t="n"/>
      <c r="O66" s="42" t="inlineStr">
        <is>
          <t>Medium</t>
        </is>
      </c>
      <c r="P66" s="43">
        <f>IF(H66="N/A","N/A",INDEX(CRIT_MATRIX,MATCH(O66,CRIT_MATRIX_ROWS,0),MATCH(APP_RISK_TIER,CRIT_MATRIX_COLS,0)))</f>
        <v/>
      </c>
    </row>
    <row r="67" ht="39.75" customHeight="1" s="19">
      <c r="A67" s="39" t="inlineStr">
        <is>
          <t>V3.5.3</t>
        </is>
      </c>
      <c r="B67" s="40" t="inlineStr">
        <is>
          <t>V3 - Web Frontend Security</t>
        </is>
      </c>
      <c r="C67" s="40" t="inlineStr">
        <is>
          <t>V3.5 - Browser Origin Separation</t>
        </is>
      </c>
      <c r="D67" s="39"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39" t="inlineStr">
        <is>
          <t>SPA_FRONTEND="Yes"</t>
        </is>
      </c>
      <c r="H67" s="41">
        <f>IF(AND(SPA_FRONTEND="Yes",D67&lt;=TARGET_LEVEL_NUM),"Applicable","N/A")</f>
        <v/>
      </c>
      <c r="I67" s="40" t="inlineStr">
        <is>
          <t>SAST + DAST / header scanner</t>
        </is>
      </c>
      <c r="J67" s="40" t="inlineStr">
        <is>
          <t>Deterministic, continuous</t>
        </is>
      </c>
      <c r="K67" s="39" t="inlineStr">
        <is>
          <t>Pipeline</t>
        </is>
      </c>
      <c r="L67" s="39" t="inlineStr">
        <is>
          <t>Not assessed</t>
        </is>
      </c>
      <c r="M67" s="40" t="n"/>
      <c r="N67" s="40" t="n"/>
      <c r="O67" s="42" t="inlineStr">
        <is>
          <t>Medium</t>
        </is>
      </c>
      <c r="P67" s="43">
        <f>IF(H67="N/A","N/A",INDEX(CRIT_MATRIX,MATCH(O67,CRIT_MATRIX_ROWS,0),MATCH(APP_RISK_TIER,CRIT_MATRIX_COLS,0)))</f>
        <v/>
      </c>
    </row>
    <row r="68" ht="39.75" customHeight="1" s="19">
      <c r="A68" s="39" t="inlineStr">
        <is>
          <t>V3.5.4</t>
        </is>
      </c>
      <c r="B68" s="40" t="inlineStr">
        <is>
          <t>V3 - Web Frontend Security</t>
        </is>
      </c>
      <c r="C68" s="40" t="inlineStr">
        <is>
          <t>V3.5 - Browser Origin Separation</t>
        </is>
      </c>
      <c r="D68" s="39"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39" t="inlineStr">
        <is>
          <t>SPA_FRONTEND="Yes"</t>
        </is>
      </c>
      <c r="H68" s="41">
        <f>IF(AND(SPA_FRONTEND="Yes",D68&lt;=TARGET_LEVEL_NUM),"Applicable","N/A")</f>
        <v/>
      </c>
      <c r="I68" s="40" t="inlineStr">
        <is>
          <t>SAST + DAST / header scanner</t>
        </is>
      </c>
      <c r="J68" s="40" t="inlineStr">
        <is>
          <t>Deterministic, continuous</t>
        </is>
      </c>
      <c r="K68" s="39" t="inlineStr">
        <is>
          <t>Pipeline</t>
        </is>
      </c>
      <c r="L68" s="39" t="inlineStr">
        <is>
          <t>Not assessed</t>
        </is>
      </c>
      <c r="M68" s="40" t="n"/>
      <c r="N68" s="40" t="n"/>
      <c r="O68" s="42" t="inlineStr">
        <is>
          <t>Medium</t>
        </is>
      </c>
      <c r="P68" s="43">
        <f>IF(H68="N/A","N/A",INDEX(CRIT_MATRIX,MATCH(O68,CRIT_MATRIX_ROWS,0),MATCH(APP_RISK_TIER,CRIT_MATRIX_COLS,0)))</f>
        <v/>
      </c>
    </row>
    <row r="69" ht="39.75" customHeight="1" s="19">
      <c r="A69" s="39" t="inlineStr">
        <is>
          <t>V3.5.5</t>
        </is>
      </c>
      <c r="B69" s="40" t="inlineStr">
        <is>
          <t>V3 - Web Frontend Security</t>
        </is>
      </c>
      <c r="C69" s="40" t="inlineStr">
        <is>
          <t>V3.5 - Browser Origin Separation</t>
        </is>
      </c>
      <c r="D69" s="39" t="n">
        <v>2</v>
      </c>
      <c r="E69" s="40" t="inlineStr">
        <is>
          <t>Verify that messages received by the postMessage interface are discarded if the origin of the message is not trusted, or if the syntax of the message is invalid.</t>
        </is>
      </c>
      <c r="F69" s="40" t="inlineStr">
        <is>
          <t>If has SPA/client-side front end</t>
        </is>
      </c>
      <c r="G69" s="39" t="inlineStr">
        <is>
          <t>SPA_FRONTEND="Yes"</t>
        </is>
      </c>
      <c r="H69" s="41">
        <f>IF(AND(SPA_FRONTEND="Yes",D69&lt;=TARGET_LEVEL_NUM),"Applicable","N/A")</f>
        <v/>
      </c>
      <c r="I69" s="40" t="inlineStr">
        <is>
          <t>SAST + DAST / header scanner</t>
        </is>
      </c>
      <c r="J69" s="40" t="inlineStr">
        <is>
          <t>Deterministic, continuous</t>
        </is>
      </c>
      <c r="K69" s="39" t="inlineStr">
        <is>
          <t>Pipeline</t>
        </is>
      </c>
      <c r="L69" s="39" t="inlineStr">
        <is>
          <t>Not assessed</t>
        </is>
      </c>
      <c r="M69" s="40" t="n"/>
      <c r="N69" s="40" t="n"/>
      <c r="O69" s="42" t="inlineStr">
        <is>
          <t>Medium</t>
        </is>
      </c>
      <c r="P69" s="43">
        <f>IF(H69="N/A","N/A",INDEX(CRIT_MATRIX,MATCH(O69,CRIT_MATRIX_ROWS,0),MATCH(APP_RISK_TIER,CRIT_MATRIX_COLS,0)))</f>
        <v/>
      </c>
    </row>
    <row r="70" ht="39.75" customHeight="1" s="19">
      <c r="A70" s="39" t="inlineStr">
        <is>
          <t>V3.5.6</t>
        </is>
      </c>
      <c r="B70" s="40" t="inlineStr">
        <is>
          <t>V3 - Web Frontend Security</t>
        </is>
      </c>
      <c r="C70" s="40" t="inlineStr">
        <is>
          <t>V3.5 - Browser Origin Separation</t>
        </is>
      </c>
      <c r="D70" s="39" t="n">
        <v>3</v>
      </c>
      <c r="E70" s="40" t="inlineStr">
        <is>
          <t>Verify that JSONP functionality is not enabled anywhere across the application to avoid Cross-Site Script Inclusion (XSSI) attacks.</t>
        </is>
      </c>
      <c r="F70" s="40" t="inlineStr">
        <is>
          <t>If has SPA/client-side front end</t>
        </is>
      </c>
      <c r="G70" s="39" t="inlineStr">
        <is>
          <t>SPA_FRONTEND="Yes"</t>
        </is>
      </c>
      <c r="H70" s="41">
        <f>IF(AND(SPA_FRONTEND="Yes",D70&lt;=TARGET_LEVEL_NUM),"Applicable","N/A")</f>
        <v/>
      </c>
      <c r="I70" s="40" t="inlineStr">
        <is>
          <t>SAST + DAST / header scanner</t>
        </is>
      </c>
      <c r="J70" s="40" t="inlineStr">
        <is>
          <t>Deterministic, continuous</t>
        </is>
      </c>
      <c r="K70" s="39" t="inlineStr">
        <is>
          <t>Pipeline</t>
        </is>
      </c>
      <c r="L70" s="39" t="inlineStr">
        <is>
          <t>Not assessed</t>
        </is>
      </c>
      <c r="M70" s="40" t="n"/>
      <c r="N70" s="40" t="n"/>
      <c r="O70" s="42" t="inlineStr">
        <is>
          <t>Medium</t>
        </is>
      </c>
      <c r="P70" s="43">
        <f>IF(H70="N/A","N/A",INDEX(CRIT_MATRIX,MATCH(O70,CRIT_MATRIX_ROWS,0),MATCH(APP_RISK_TIER,CRIT_MATRIX_COLS,0)))</f>
        <v/>
      </c>
    </row>
    <row r="71" ht="39.75" customHeight="1" s="19">
      <c r="A71" s="39" t="inlineStr">
        <is>
          <t>V3.5.7</t>
        </is>
      </c>
      <c r="B71" s="40" t="inlineStr">
        <is>
          <t>V3 - Web Frontend Security</t>
        </is>
      </c>
      <c r="C71" s="40" t="inlineStr">
        <is>
          <t>V3.5 - Browser Origin Separation</t>
        </is>
      </c>
      <c r="D71" s="39" t="n">
        <v>3</v>
      </c>
      <c r="E71" s="40" t="inlineStr">
        <is>
          <t>Verify that data requiring authorization is not included in script resource responses, like JavaScript files, to prevent Cross-Site Script Inclusion (XSSI) attacks.</t>
        </is>
      </c>
      <c r="F71" s="40" t="inlineStr">
        <is>
          <t>If has SPA/client-side front end</t>
        </is>
      </c>
      <c r="G71" s="39" t="inlineStr">
        <is>
          <t>SPA_FRONTEND="Yes"</t>
        </is>
      </c>
      <c r="H71" s="41">
        <f>IF(AND(SPA_FRONTEND="Yes",D71&lt;=TARGET_LEVEL_NUM),"Applicable","N/A")</f>
        <v/>
      </c>
      <c r="I71" s="40" t="inlineStr">
        <is>
          <t>SAST + DAST / header scanner</t>
        </is>
      </c>
      <c r="J71" s="40" t="inlineStr">
        <is>
          <t>Deterministic, continuous</t>
        </is>
      </c>
      <c r="K71" s="39" t="inlineStr">
        <is>
          <t>Pipeline</t>
        </is>
      </c>
      <c r="L71" s="39" t="inlineStr">
        <is>
          <t>Not assessed</t>
        </is>
      </c>
      <c r="M71" s="40" t="n"/>
      <c r="N71" s="40" t="n"/>
      <c r="O71" s="42" t="inlineStr">
        <is>
          <t>Medium</t>
        </is>
      </c>
      <c r="P71" s="43">
        <f>IF(H71="N/A","N/A",INDEX(CRIT_MATRIX,MATCH(O71,CRIT_MATRIX_ROWS,0),MATCH(APP_RISK_TIER,CRIT_MATRIX_COLS,0)))</f>
        <v/>
      </c>
    </row>
    <row r="72" ht="39.75" customHeight="1" s="19">
      <c r="A72" s="39" t="inlineStr">
        <is>
          <t>V3.5.8</t>
        </is>
      </c>
      <c r="B72" s="40" t="inlineStr">
        <is>
          <t>V3 - Web Frontend Security</t>
        </is>
      </c>
      <c r="C72" s="40" t="inlineStr">
        <is>
          <t>V3.5 - Browser Origin Separation</t>
        </is>
      </c>
      <c r="D72" s="39"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39" t="inlineStr">
        <is>
          <t>SPA_FRONTEND="Yes"</t>
        </is>
      </c>
      <c r="H72" s="41">
        <f>IF(AND(SPA_FRONTEND="Yes",D72&lt;=TARGET_LEVEL_NUM),"Applicable","N/A")</f>
        <v/>
      </c>
      <c r="I72" s="40" t="inlineStr">
        <is>
          <t>SAST + DAST / header scanner</t>
        </is>
      </c>
      <c r="J72" s="40" t="inlineStr">
        <is>
          <t>Deterministic, continuous</t>
        </is>
      </c>
      <c r="K72" s="39" t="inlineStr">
        <is>
          <t>Pipeline</t>
        </is>
      </c>
      <c r="L72" s="39" t="inlineStr">
        <is>
          <t>Not assessed</t>
        </is>
      </c>
      <c r="M72" s="40" t="n"/>
      <c r="N72" s="40" t="n"/>
      <c r="O72" s="42" t="inlineStr">
        <is>
          <t>Medium</t>
        </is>
      </c>
      <c r="P72" s="43">
        <f>IF(H72="N/A","N/A",INDEX(CRIT_MATRIX,MATCH(O72,CRIT_MATRIX_ROWS,0),MATCH(APP_RISK_TIER,CRIT_MATRIX_COLS,0)))</f>
        <v/>
      </c>
    </row>
    <row r="73" ht="39.75" customHeight="1" s="19">
      <c r="A73" s="39" t="inlineStr">
        <is>
          <t>V3.6.1</t>
        </is>
      </c>
      <c r="B73" s="40" t="inlineStr">
        <is>
          <t>V3 - Web Frontend Security</t>
        </is>
      </c>
      <c r="C73" s="40" t="inlineStr">
        <is>
          <t>V3.6 - External Resource Integrity</t>
        </is>
      </c>
      <c r="D73" s="39"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39" t="inlineStr">
        <is>
          <t>SPA_FRONTEND="Yes"</t>
        </is>
      </c>
      <c r="H73" s="41">
        <f>IF(AND(SPA_FRONTEND="Yes",D73&lt;=TARGET_LEVEL_NUM),"Applicable","N/A")</f>
        <v/>
      </c>
      <c r="I73" s="40" t="inlineStr">
        <is>
          <t>SAST + DAST / header scanner</t>
        </is>
      </c>
      <c r="J73" s="40" t="inlineStr">
        <is>
          <t>Deterministic, continuous</t>
        </is>
      </c>
      <c r="K73" s="39" t="inlineStr">
        <is>
          <t>Pipeline</t>
        </is>
      </c>
      <c r="L73" s="39" t="inlineStr">
        <is>
          <t>Not assessed</t>
        </is>
      </c>
      <c r="M73" s="40" t="n"/>
      <c r="N73" s="40" t="n"/>
      <c r="O73" s="42" t="inlineStr">
        <is>
          <t>Medium</t>
        </is>
      </c>
      <c r="P73" s="43">
        <f>IF(H73="N/A","N/A",INDEX(CRIT_MATRIX,MATCH(O73,CRIT_MATRIX_ROWS,0),MATCH(APP_RISK_TIER,CRIT_MATRIX_COLS,0)))</f>
        <v/>
      </c>
    </row>
    <row r="74" ht="39.75" customHeight="1" s="19">
      <c r="A74" s="39" t="inlineStr">
        <is>
          <t>V3.7.1</t>
        </is>
      </c>
      <c r="B74" s="40" t="inlineStr">
        <is>
          <t>V3 - Web Frontend Security</t>
        </is>
      </c>
      <c r="C74" s="40" t="inlineStr">
        <is>
          <t>V3.7 - Other Browser Security Considerations</t>
        </is>
      </c>
      <c r="D74" s="39"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39" t="inlineStr">
        <is>
          <t>SPA_FRONTEND="Yes"</t>
        </is>
      </c>
      <c r="H74" s="41">
        <f>IF(AND(SPA_FRONTEND="Yes",D74&lt;=TARGET_LEVEL_NUM),"Applicable","N/A")</f>
        <v/>
      </c>
      <c r="I74" s="40" t="inlineStr">
        <is>
          <t>SAST + DAST / header scanner</t>
        </is>
      </c>
      <c r="J74" s="40" t="inlineStr">
        <is>
          <t>Deterministic, continuous</t>
        </is>
      </c>
      <c r="K74" s="39" t="inlineStr">
        <is>
          <t>Pipeline</t>
        </is>
      </c>
      <c r="L74" s="39" t="inlineStr">
        <is>
          <t>Not assessed</t>
        </is>
      </c>
      <c r="M74" s="40" t="n"/>
      <c r="N74" s="40" t="n"/>
      <c r="O74" s="42" t="inlineStr">
        <is>
          <t>Medium</t>
        </is>
      </c>
      <c r="P74" s="43">
        <f>IF(H74="N/A","N/A",INDEX(CRIT_MATRIX,MATCH(O74,CRIT_MATRIX_ROWS,0),MATCH(APP_RISK_TIER,CRIT_MATRIX_COLS,0)))</f>
        <v/>
      </c>
    </row>
    <row r="75" ht="39.75" customHeight="1" s="19">
      <c r="A75" s="39" t="inlineStr">
        <is>
          <t>V3.7.2</t>
        </is>
      </c>
      <c r="B75" s="40" t="inlineStr">
        <is>
          <t>V3 - Web Frontend Security</t>
        </is>
      </c>
      <c r="C75" s="40" t="inlineStr">
        <is>
          <t>V3.7 - Other Browser Security Considerations</t>
        </is>
      </c>
      <c r="D75" s="39"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39" t="inlineStr">
        <is>
          <t>SPA_FRONTEND="Yes"</t>
        </is>
      </c>
      <c r="H75" s="41">
        <f>IF(AND(SPA_FRONTEND="Yes",D75&lt;=TARGET_LEVEL_NUM),"Applicable","N/A")</f>
        <v/>
      </c>
      <c r="I75" s="40" t="inlineStr">
        <is>
          <t>SAST + DAST / header scanner</t>
        </is>
      </c>
      <c r="J75" s="40" t="inlineStr">
        <is>
          <t>Deterministic, continuous</t>
        </is>
      </c>
      <c r="K75" s="39" t="inlineStr">
        <is>
          <t>Pipeline</t>
        </is>
      </c>
      <c r="L75" s="39" t="inlineStr">
        <is>
          <t>Not assessed</t>
        </is>
      </c>
      <c r="M75" s="40" t="n"/>
      <c r="N75" s="40" t="n"/>
      <c r="O75" s="42" t="inlineStr">
        <is>
          <t>Medium</t>
        </is>
      </c>
      <c r="P75" s="43">
        <f>IF(H75="N/A","N/A",INDEX(CRIT_MATRIX,MATCH(O75,CRIT_MATRIX_ROWS,0),MATCH(APP_RISK_TIER,CRIT_MATRIX_COLS,0)))</f>
        <v/>
      </c>
    </row>
    <row r="76" ht="39.75" customHeight="1" s="19">
      <c r="A76" s="39" t="inlineStr">
        <is>
          <t>V3.7.3</t>
        </is>
      </c>
      <c r="B76" s="40" t="inlineStr">
        <is>
          <t>V3 - Web Frontend Security</t>
        </is>
      </c>
      <c r="C76" s="40" t="inlineStr">
        <is>
          <t>V3.7 - Other Browser Security Considerations</t>
        </is>
      </c>
      <c r="D76" s="39"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39" t="inlineStr">
        <is>
          <t>SPA_FRONTEND="Yes"</t>
        </is>
      </c>
      <c r="H76" s="41">
        <f>IF(AND(SPA_FRONTEND="Yes",D76&lt;=TARGET_LEVEL_NUM),"Applicable","N/A")</f>
        <v/>
      </c>
      <c r="I76" s="40" t="inlineStr">
        <is>
          <t>SAST + DAST / header scanner</t>
        </is>
      </c>
      <c r="J76" s="40" t="inlineStr">
        <is>
          <t>Deterministic, continuous</t>
        </is>
      </c>
      <c r="K76" s="39" t="inlineStr">
        <is>
          <t>Pipeline</t>
        </is>
      </c>
      <c r="L76" s="39" t="inlineStr">
        <is>
          <t>Not assessed</t>
        </is>
      </c>
      <c r="M76" s="40" t="n"/>
      <c r="N76" s="40" t="n"/>
      <c r="O76" s="42" t="inlineStr">
        <is>
          <t>Medium</t>
        </is>
      </c>
      <c r="P76" s="43">
        <f>IF(H76="N/A","N/A",INDEX(CRIT_MATRIX,MATCH(O76,CRIT_MATRIX_ROWS,0),MATCH(APP_RISK_TIER,CRIT_MATRIX_COLS,0)))</f>
        <v/>
      </c>
    </row>
    <row r="77" ht="39.75" customHeight="1" s="19">
      <c r="A77" s="39" t="inlineStr">
        <is>
          <t>V3.7.4</t>
        </is>
      </c>
      <c r="B77" s="40" t="inlineStr">
        <is>
          <t>V3 - Web Frontend Security</t>
        </is>
      </c>
      <c r="C77" s="40" t="inlineStr">
        <is>
          <t>V3.7 - Other Browser Security Considerations</t>
        </is>
      </c>
      <c r="D77" s="39"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39" t="inlineStr">
        <is>
          <t>SPA_FRONTEND="Yes"</t>
        </is>
      </c>
      <c r="H77" s="41">
        <f>IF(AND(SPA_FRONTEND="Yes",D77&lt;=TARGET_LEVEL_NUM),"Applicable","N/A")</f>
        <v/>
      </c>
      <c r="I77" s="40" t="inlineStr">
        <is>
          <t>SAST + DAST / header scanner</t>
        </is>
      </c>
      <c r="J77" s="40" t="inlineStr">
        <is>
          <t>Deterministic, continuous</t>
        </is>
      </c>
      <c r="K77" s="39" t="inlineStr">
        <is>
          <t>Pipeline</t>
        </is>
      </c>
      <c r="L77" s="39" t="inlineStr">
        <is>
          <t>Not assessed</t>
        </is>
      </c>
      <c r="M77" s="40" t="n"/>
      <c r="N77" s="40" t="n"/>
      <c r="O77" s="42" t="inlineStr">
        <is>
          <t>Medium</t>
        </is>
      </c>
      <c r="P77" s="43">
        <f>IF(H77="N/A","N/A",INDEX(CRIT_MATRIX,MATCH(O77,CRIT_MATRIX_ROWS,0),MATCH(APP_RISK_TIER,CRIT_MATRIX_COLS,0)))</f>
        <v/>
      </c>
    </row>
    <row r="78" ht="39.75" customHeight="1" s="19">
      <c r="A78" s="39" t="inlineStr">
        <is>
          <t>V3.7.5</t>
        </is>
      </c>
      <c r="B78" s="40" t="inlineStr">
        <is>
          <t>V3 - Web Frontend Security</t>
        </is>
      </c>
      <c r="C78" s="40" t="inlineStr">
        <is>
          <t>V3.7 - Other Browser Security Considerations</t>
        </is>
      </c>
      <c r="D78" s="39"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39" t="inlineStr">
        <is>
          <t>SPA_FRONTEND="Yes"</t>
        </is>
      </c>
      <c r="H78" s="41">
        <f>IF(AND(SPA_FRONTEND="Yes",D78&lt;=TARGET_LEVEL_NUM),"Applicable","N/A")</f>
        <v/>
      </c>
      <c r="I78" s="40" t="inlineStr">
        <is>
          <t>SAST + DAST / header scanner</t>
        </is>
      </c>
      <c r="J78" s="40" t="inlineStr">
        <is>
          <t>Deterministic, continuous</t>
        </is>
      </c>
      <c r="K78" s="39" t="inlineStr">
        <is>
          <t>Pipeline</t>
        </is>
      </c>
      <c r="L78" s="39" t="inlineStr">
        <is>
          <t>Not assessed</t>
        </is>
      </c>
      <c r="M78" s="40" t="n"/>
      <c r="N78" s="40" t="n"/>
      <c r="O78" s="42" t="inlineStr">
        <is>
          <t>Medium</t>
        </is>
      </c>
      <c r="P78" s="43">
        <f>IF(H78="N/A","N/A",INDEX(CRIT_MATRIX,MATCH(O78,CRIT_MATRIX_ROWS,0),MATCH(APP_RISK_TIER,CRIT_MATRIX_COLS,0)))</f>
        <v/>
      </c>
    </row>
    <row r="79" ht="39.75" customHeight="1" s="19">
      <c r="A79" s="39" t="inlineStr">
        <is>
          <t>V4.1.1</t>
        </is>
      </c>
      <c r="B79" s="40" t="inlineStr">
        <is>
          <t>V4 - API and Web Service</t>
        </is>
      </c>
      <c r="C79" s="40" t="inlineStr">
        <is>
          <t>V4.1 - Generic Web Service Security</t>
        </is>
      </c>
      <c r="D79" s="39"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39" t="inlineStr">
        <is>
          <t>API_EXPOSED="Yes"</t>
        </is>
      </c>
      <c r="H79" s="41">
        <f>IF(AND(API_EXPOSED="Yes",D79&lt;=TARGET_LEVEL_NUM),"Applicable","N/A")</f>
        <v/>
      </c>
      <c r="I79" s="40" t="inlineStr">
        <is>
          <t>SAST + DAST</t>
        </is>
      </c>
      <c r="J79" s="40" t="inlineStr">
        <is>
          <t>Deterministic, continuous</t>
        </is>
      </c>
      <c r="K79" s="39" t="inlineStr">
        <is>
          <t>Pipeline</t>
        </is>
      </c>
      <c r="L79" s="39" t="inlineStr">
        <is>
          <t>Not assessed</t>
        </is>
      </c>
      <c r="M79" s="40" t="n"/>
      <c r="N79" s="40" t="n"/>
      <c r="O79" s="42" t="inlineStr">
        <is>
          <t>Medium</t>
        </is>
      </c>
      <c r="P79" s="43">
        <f>IF(H79="N/A","N/A",INDEX(CRIT_MATRIX,MATCH(O79,CRIT_MATRIX_ROWS,0),MATCH(APP_RISK_TIER,CRIT_MATRIX_COLS,0)))</f>
        <v/>
      </c>
    </row>
    <row r="80" ht="39.75" customHeight="1" s="19">
      <c r="A80" s="39" t="inlineStr">
        <is>
          <t>V4.1.2</t>
        </is>
      </c>
      <c r="B80" s="40" t="inlineStr">
        <is>
          <t>V4 - API and Web Service</t>
        </is>
      </c>
      <c r="C80" s="40" t="inlineStr">
        <is>
          <t>V4.1 - Generic Web Service Security</t>
        </is>
      </c>
      <c r="D80" s="39"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39" t="inlineStr">
        <is>
          <t>API_EXPOSED="Yes"</t>
        </is>
      </c>
      <c r="H80" s="41">
        <f>IF(AND(API_EXPOSED="Yes",D80&lt;=TARGET_LEVEL_NUM),"Applicable","N/A")</f>
        <v/>
      </c>
      <c r="I80" s="40" t="inlineStr">
        <is>
          <t>SAST + DAST</t>
        </is>
      </c>
      <c r="J80" s="40" t="inlineStr">
        <is>
          <t>Deterministic, continuous</t>
        </is>
      </c>
      <c r="K80" s="39" t="inlineStr">
        <is>
          <t>Pipeline</t>
        </is>
      </c>
      <c r="L80" s="39" t="inlineStr">
        <is>
          <t>Not assessed</t>
        </is>
      </c>
      <c r="M80" s="40" t="n"/>
      <c r="N80" s="40" t="n"/>
      <c r="O80" s="42" t="inlineStr">
        <is>
          <t>Medium</t>
        </is>
      </c>
      <c r="P80" s="43">
        <f>IF(H80="N/A","N/A",INDEX(CRIT_MATRIX,MATCH(O80,CRIT_MATRIX_ROWS,0),MATCH(APP_RISK_TIER,CRIT_MATRIX_COLS,0)))</f>
        <v/>
      </c>
    </row>
    <row r="81" ht="39.75" customHeight="1" s="19">
      <c r="A81" s="39" t="inlineStr">
        <is>
          <t>V4.1.3</t>
        </is>
      </c>
      <c r="B81" s="40" t="inlineStr">
        <is>
          <t>V4 - API and Web Service</t>
        </is>
      </c>
      <c r="C81" s="40" t="inlineStr">
        <is>
          <t>V4.1 - Generic Web Service Security</t>
        </is>
      </c>
      <c r="D81" s="39"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39" t="inlineStr">
        <is>
          <t>API_EXPOSED="Yes"</t>
        </is>
      </c>
      <c r="H81" s="41">
        <f>IF(AND(API_EXPOSED="Yes",D81&lt;=TARGET_LEVEL_NUM),"Applicable","N/A")</f>
        <v/>
      </c>
      <c r="I81" s="40" t="inlineStr">
        <is>
          <t>SAST + DAST</t>
        </is>
      </c>
      <c r="J81" s="40" t="inlineStr">
        <is>
          <t>Deterministic, continuous</t>
        </is>
      </c>
      <c r="K81" s="39" t="inlineStr">
        <is>
          <t>Pipeline</t>
        </is>
      </c>
      <c r="L81" s="39" t="inlineStr">
        <is>
          <t>Not assessed</t>
        </is>
      </c>
      <c r="M81" s="40" t="n"/>
      <c r="N81" s="40" t="n"/>
      <c r="O81" s="42" t="inlineStr">
        <is>
          <t>Medium</t>
        </is>
      </c>
      <c r="P81" s="43">
        <f>IF(H81="N/A","N/A",INDEX(CRIT_MATRIX,MATCH(O81,CRIT_MATRIX_ROWS,0),MATCH(APP_RISK_TIER,CRIT_MATRIX_COLS,0)))</f>
        <v/>
      </c>
    </row>
    <row r="82" ht="39.75" customHeight="1" s="19">
      <c r="A82" s="39" t="inlineStr">
        <is>
          <t>V4.1.4</t>
        </is>
      </c>
      <c r="B82" s="40" t="inlineStr">
        <is>
          <t>V4 - API and Web Service</t>
        </is>
      </c>
      <c r="C82" s="40" t="inlineStr">
        <is>
          <t>V4.1 - Generic Web Service Security</t>
        </is>
      </c>
      <c r="D82" s="39"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39" t="inlineStr">
        <is>
          <t>API_EXPOSED="Yes"</t>
        </is>
      </c>
      <c r="H82" s="41">
        <f>IF(AND(API_EXPOSED="Yes",D82&lt;=TARGET_LEVEL_NUM),"Applicable","N/A")</f>
        <v/>
      </c>
      <c r="I82" s="40" t="inlineStr">
        <is>
          <t>SAST + DAST</t>
        </is>
      </c>
      <c r="J82" s="40" t="inlineStr">
        <is>
          <t>Deterministic, continuous</t>
        </is>
      </c>
      <c r="K82" s="39" t="inlineStr">
        <is>
          <t>Pipeline</t>
        </is>
      </c>
      <c r="L82" s="39" t="inlineStr">
        <is>
          <t>Not assessed</t>
        </is>
      </c>
      <c r="M82" s="40" t="n"/>
      <c r="N82" s="40" t="n"/>
      <c r="O82" s="42" t="inlineStr">
        <is>
          <t>Medium</t>
        </is>
      </c>
      <c r="P82" s="43">
        <f>IF(H82="N/A","N/A",INDEX(CRIT_MATRIX,MATCH(O82,CRIT_MATRIX_ROWS,0),MATCH(APP_RISK_TIER,CRIT_MATRIX_COLS,0)))</f>
        <v/>
      </c>
    </row>
    <row r="83" ht="39.75" customHeight="1" s="19">
      <c r="A83" s="39" t="inlineStr">
        <is>
          <t>V4.1.5</t>
        </is>
      </c>
      <c r="B83" s="40" t="inlineStr">
        <is>
          <t>V4 - API and Web Service</t>
        </is>
      </c>
      <c r="C83" s="40" t="inlineStr">
        <is>
          <t>V4.1 - Generic Web Service Security</t>
        </is>
      </c>
      <c r="D83" s="39"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39" t="inlineStr">
        <is>
          <t>API_EXPOSED="Yes"</t>
        </is>
      </c>
      <c r="H83" s="41">
        <f>IF(AND(API_EXPOSED="Yes",D83&lt;=TARGET_LEVEL_NUM),"Applicable","N/A")</f>
        <v/>
      </c>
      <c r="I83" s="40" t="inlineStr">
        <is>
          <t>SAST + DAST</t>
        </is>
      </c>
      <c r="J83" s="40" t="inlineStr">
        <is>
          <t>Deterministic, continuous</t>
        </is>
      </c>
      <c r="K83" s="39" t="inlineStr">
        <is>
          <t>Pipeline</t>
        </is>
      </c>
      <c r="L83" s="39" t="inlineStr">
        <is>
          <t>Not assessed</t>
        </is>
      </c>
      <c r="M83" s="40" t="n"/>
      <c r="N83" s="40" t="n"/>
      <c r="O83" s="42" t="inlineStr">
        <is>
          <t>Medium</t>
        </is>
      </c>
      <c r="P83" s="43">
        <f>IF(H83="N/A","N/A",INDEX(CRIT_MATRIX,MATCH(O83,CRIT_MATRIX_ROWS,0),MATCH(APP_RISK_TIER,CRIT_MATRIX_COLS,0)))</f>
        <v/>
      </c>
    </row>
    <row r="84" ht="39.75" customHeight="1" s="19">
      <c r="A84" s="39" t="inlineStr">
        <is>
          <t>V4.2.1</t>
        </is>
      </c>
      <c r="B84" s="40" t="inlineStr">
        <is>
          <t>V4 - API and Web Service</t>
        </is>
      </c>
      <c r="C84" s="40" t="inlineStr">
        <is>
          <t>V4.2 - HTTP Message Structure Validation</t>
        </is>
      </c>
      <c r="D84" s="39"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39" t="inlineStr">
        <is>
          <t>API_EXPOSED="Yes"</t>
        </is>
      </c>
      <c r="H84" s="41">
        <f>IF(AND(API_EXPOSED="Yes",D84&lt;=TARGET_LEVEL_NUM),"Applicable","N/A")</f>
        <v/>
      </c>
      <c r="I84" s="40" t="inlineStr">
        <is>
          <t>SAST + DAST</t>
        </is>
      </c>
      <c r="J84" s="40" t="inlineStr">
        <is>
          <t>Deterministic, continuous</t>
        </is>
      </c>
      <c r="K84" s="39" t="inlineStr">
        <is>
          <t>Pipeline</t>
        </is>
      </c>
      <c r="L84" s="39" t="inlineStr">
        <is>
          <t>Not assessed</t>
        </is>
      </c>
      <c r="M84" s="40" t="n"/>
      <c r="N84" s="40" t="n"/>
      <c r="O84" s="42" t="inlineStr">
        <is>
          <t>Medium</t>
        </is>
      </c>
      <c r="P84" s="43">
        <f>IF(H84="N/A","N/A",INDEX(CRIT_MATRIX,MATCH(O84,CRIT_MATRIX_ROWS,0),MATCH(APP_RISK_TIER,CRIT_MATRIX_COLS,0)))</f>
        <v/>
      </c>
    </row>
    <row r="85" ht="39.75" customHeight="1" s="19">
      <c r="A85" s="39" t="inlineStr">
        <is>
          <t>V4.2.2</t>
        </is>
      </c>
      <c r="B85" s="40" t="inlineStr">
        <is>
          <t>V4 - API and Web Service</t>
        </is>
      </c>
      <c r="C85" s="40" t="inlineStr">
        <is>
          <t>V4.2 - HTTP Message Structure Validation</t>
        </is>
      </c>
      <c r="D85" s="39"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39" t="inlineStr">
        <is>
          <t>API_EXPOSED="Yes"</t>
        </is>
      </c>
      <c r="H85" s="41">
        <f>IF(AND(API_EXPOSED="Yes",D85&lt;=TARGET_LEVEL_NUM),"Applicable","N/A")</f>
        <v/>
      </c>
      <c r="I85" s="40" t="inlineStr">
        <is>
          <t>SAST + DAST</t>
        </is>
      </c>
      <c r="J85" s="40" t="inlineStr">
        <is>
          <t>Deterministic, continuous</t>
        </is>
      </c>
      <c r="K85" s="39" t="inlineStr">
        <is>
          <t>Pipeline</t>
        </is>
      </c>
      <c r="L85" s="39" t="inlineStr">
        <is>
          <t>Not assessed</t>
        </is>
      </c>
      <c r="M85" s="40" t="n"/>
      <c r="N85" s="40" t="n"/>
      <c r="O85" s="42" t="inlineStr">
        <is>
          <t>Medium</t>
        </is>
      </c>
      <c r="P85" s="43">
        <f>IF(H85="N/A","N/A",INDEX(CRIT_MATRIX,MATCH(O85,CRIT_MATRIX_ROWS,0),MATCH(APP_RISK_TIER,CRIT_MATRIX_COLS,0)))</f>
        <v/>
      </c>
    </row>
    <row r="86" ht="39.75" customHeight="1" s="19">
      <c r="A86" s="39" t="inlineStr">
        <is>
          <t>V4.2.3</t>
        </is>
      </c>
      <c r="B86" s="40" t="inlineStr">
        <is>
          <t>V4 - API and Web Service</t>
        </is>
      </c>
      <c r="C86" s="40" t="inlineStr">
        <is>
          <t>V4.2 - HTTP Message Structure Validation</t>
        </is>
      </c>
      <c r="D86" s="39"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39" t="inlineStr">
        <is>
          <t>API_EXPOSED="Yes"</t>
        </is>
      </c>
      <c r="H86" s="41">
        <f>IF(AND(API_EXPOSED="Yes",D86&lt;=TARGET_LEVEL_NUM),"Applicable","N/A")</f>
        <v/>
      </c>
      <c r="I86" s="40" t="inlineStr">
        <is>
          <t>SAST + DAST</t>
        </is>
      </c>
      <c r="J86" s="40" t="inlineStr">
        <is>
          <t>Deterministic, continuous</t>
        </is>
      </c>
      <c r="K86" s="39" t="inlineStr">
        <is>
          <t>Pipeline</t>
        </is>
      </c>
      <c r="L86" s="39" t="inlineStr">
        <is>
          <t>Not assessed</t>
        </is>
      </c>
      <c r="M86" s="40" t="n"/>
      <c r="N86" s="40" t="n"/>
      <c r="O86" s="42" t="inlineStr">
        <is>
          <t>Medium</t>
        </is>
      </c>
      <c r="P86" s="43">
        <f>IF(H86="N/A","N/A",INDEX(CRIT_MATRIX,MATCH(O86,CRIT_MATRIX_ROWS,0),MATCH(APP_RISK_TIER,CRIT_MATRIX_COLS,0)))</f>
        <v/>
      </c>
    </row>
    <row r="87" ht="39.75" customHeight="1" s="19">
      <c r="A87" s="39" t="inlineStr">
        <is>
          <t>V4.2.4</t>
        </is>
      </c>
      <c r="B87" s="40" t="inlineStr">
        <is>
          <t>V4 - API and Web Service</t>
        </is>
      </c>
      <c r="C87" s="40" t="inlineStr">
        <is>
          <t>V4.2 - HTTP Message Structure Validation</t>
        </is>
      </c>
      <c r="D87" s="39"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39" t="inlineStr">
        <is>
          <t>API_EXPOSED="Yes"</t>
        </is>
      </c>
      <c r="H87" s="41">
        <f>IF(AND(API_EXPOSED="Yes",D87&lt;=TARGET_LEVEL_NUM),"Applicable","N/A")</f>
        <v/>
      </c>
      <c r="I87" s="40" t="inlineStr">
        <is>
          <t>SAST + DAST</t>
        </is>
      </c>
      <c r="J87" s="40" t="inlineStr">
        <is>
          <t>Deterministic, continuous</t>
        </is>
      </c>
      <c r="K87" s="39" t="inlineStr">
        <is>
          <t>Pipeline</t>
        </is>
      </c>
      <c r="L87" s="39" t="inlineStr">
        <is>
          <t>Not assessed</t>
        </is>
      </c>
      <c r="M87" s="40" t="n"/>
      <c r="N87" s="40" t="n"/>
      <c r="O87" s="42" t="inlineStr">
        <is>
          <t>Medium</t>
        </is>
      </c>
      <c r="P87" s="43">
        <f>IF(H87="N/A","N/A",INDEX(CRIT_MATRIX,MATCH(O87,CRIT_MATRIX_ROWS,0),MATCH(APP_RISK_TIER,CRIT_MATRIX_COLS,0)))</f>
        <v/>
      </c>
    </row>
    <row r="88" ht="39.75" customHeight="1" s="19">
      <c r="A88" s="39" t="inlineStr">
        <is>
          <t>V4.2.5</t>
        </is>
      </c>
      <c r="B88" s="40" t="inlineStr">
        <is>
          <t>V4 - API and Web Service</t>
        </is>
      </c>
      <c r="C88" s="40" t="inlineStr">
        <is>
          <t>V4.2 - HTTP Message Structure Validation</t>
        </is>
      </c>
      <c r="D88" s="39"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39" t="inlineStr">
        <is>
          <t>API_EXPOSED="Yes"</t>
        </is>
      </c>
      <c r="H88" s="41">
        <f>IF(AND(API_EXPOSED="Yes",D88&lt;=TARGET_LEVEL_NUM),"Applicable","N/A")</f>
        <v/>
      </c>
      <c r="I88" s="40" t="inlineStr">
        <is>
          <t>SAST + DAST</t>
        </is>
      </c>
      <c r="J88" s="40" t="inlineStr">
        <is>
          <t>Deterministic, continuous</t>
        </is>
      </c>
      <c r="K88" s="39" t="inlineStr">
        <is>
          <t>Pipeline</t>
        </is>
      </c>
      <c r="L88" s="39" t="inlineStr">
        <is>
          <t>Not assessed</t>
        </is>
      </c>
      <c r="M88" s="40" t="n"/>
      <c r="N88" s="40" t="n"/>
      <c r="O88" s="42" t="inlineStr">
        <is>
          <t>Medium</t>
        </is>
      </c>
      <c r="P88" s="43">
        <f>IF(H88="N/A","N/A",INDEX(CRIT_MATRIX,MATCH(O88,CRIT_MATRIX_ROWS,0),MATCH(APP_RISK_TIER,CRIT_MATRIX_COLS,0)))</f>
        <v/>
      </c>
    </row>
    <row r="89" ht="39.75" customHeight="1" s="19">
      <c r="A89" s="39" t="inlineStr">
        <is>
          <t>V4.3.1</t>
        </is>
      </c>
      <c r="B89" s="40" t="inlineStr">
        <is>
          <t>V4 - API and Web Service</t>
        </is>
      </c>
      <c r="C89" s="40" t="inlineStr">
        <is>
          <t>V4.3 - GraphQL</t>
        </is>
      </c>
      <c r="D89" s="39"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39" t="inlineStr">
        <is>
          <t>API_EXPOSED="Yes"</t>
        </is>
      </c>
      <c r="H89" s="41">
        <f>IF(AND(API_EXPOSED="Yes",D89&lt;=TARGET_LEVEL_NUM),"Applicable","N/A")</f>
        <v/>
      </c>
      <c r="I89" s="40" t="inlineStr">
        <is>
          <t>SAST + DAST</t>
        </is>
      </c>
      <c r="J89" s="40" t="inlineStr">
        <is>
          <t>Deterministic, continuous</t>
        </is>
      </c>
      <c r="K89" s="39" t="inlineStr">
        <is>
          <t>Pipeline</t>
        </is>
      </c>
      <c r="L89" s="39" t="inlineStr">
        <is>
          <t>Not assessed</t>
        </is>
      </c>
      <c r="M89" s="40" t="n"/>
      <c r="N89" s="40" t="n"/>
      <c r="O89" s="42" t="inlineStr">
        <is>
          <t>Medium</t>
        </is>
      </c>
      <c r="P89" s="43">
        <f>IF(H89="N/A","N/A",INDEX(CRIT_MATRIX,MATCH(O89,CRIT_MATRIX_ROWS,0),MATCH(APP_RISK_TIER,CRIT_MATRIX_COLS,0)))</f>
        <v/>
      </c>
    </row>
    <row r="90" ht="39.75" customHeight="1" s="19">
      <c r="A90" s="39" t="inlineStr">
        <is>
          <t>V4.3.2</t>
        </is>
      </c>
      <c r="B90" s="40" t="inlineStr">
        <is>
          <t>V4 - API and Web Service</t>
        </is>
      </c>
      <c r="C90" s="40" t="inlineStr">
        <is>
          <t>V4.3 - GraphQL</t>
        </is>
      </c>
      <c r="D90" s="39" t="n">
        <v>2</v>
      </c>
      <c r="E90" s="40" t="inlineStr">
        <is>
          <t>Verify that GraphQL introspection queries are disabled in the production environment unless the GraphQL API is meant to be used by other parties.</t>
        </is>
      </c>
      <c r="F90" s="40" t="inlineStr">
        <is>
          <t>If exposes an API</t>
        </is>
      </c>
      <c r="G90" s="39" t="inlineStr">
        <is>
          <t>API_EXPOSED="Yes"</t>
        </is>
      </c>
      <c r="H90" s="41">
        <f>IF(AND(API_EXPOSED="Yes",D90&lt;=TARGET_LEVEL_NUM),"Applicable","N/A")</f>
        <v/>
      </c>
      <c r="I90" s="40" t="inlineStr">
        <is>
          <t>SAST + DAST</t>
        </is>
      </c>
      <c r="J90" s="40" t="inlineStr">
        <is>
          <t>Deterministic, continuous</t>
        </is>
      </c>
      <c r="K90" s="39" t="inlineStr">
        <is>
          <t>Pipeline</t>
        </is>
      </c>
      <c r="L90" s="39" t="inlineStr">
        <is>
          <t>Not assessed</t>
        </is>
      </c>
      <c r="M90" s="40" t="n"/>
      <c r="N90" s="40" t="n"/>
      <c r="O90" s="42" t="inlineStr">
        <is>
          <t>Medium</t>
        </is>
      </c>
      <c r="P90" s="43">
        <f>IF(H90="N/A","N/A",INDEX(CRIT_MATRIX,MATCH(O90,CRIT_MATRIX_ROWS,0),MATCH(APP_RISK_TIER,CRIT_MATRIX_COLS,0)))</f>
        <v/>
      </c>
    </row>
    <row r="91" ht="39.75" customHeight="1" s="19">
      <c r="A91" s="39" t="inlineStr">
        <is>
          <t>V4.4.1</t>
        </is>
      </c>
      <c r="B91" s="40" t="inlineStr">
        <is>
          <t>V4 - API and Web Service</t>
        </is>
      </c>
      <c r="C91" s="40" t="inlineStr">
        <is>
          <t>V4.4 - WebSocket</t>
        </is>
      </c>
      <c r="D91" s="39" t="n">
        <v>1</v>
      </c>
      <c r="E91" s="40" t="inlineStr">
        <is>
          <t>Verify that WebSocket over TLS (WSS) is used for all WebSocket connections.</t>
        </is>
      </c>
      <c r="F91" s="40" t="inlineStr">
        <is>
          <t>If exposes an API</t>
        </is>
      </c>
      <c r="G91" s="39" t="inlineStr">
        <is>
          <t>API_EXPOSED="Yes"</t>
        </is>
      </c>
      <c r="H91" s="41">
        <f>IF(AND(API_EXPOSED="Yes",D91&lt;=TARGET_LEVEL_NUM),"Applicable","N/A")</f>
        <v/>
      </c>
      <c r="I91" s="40" t="inlineStr">
        <is>
          <t>SAST + DAST</t>
        </is>
      </c>
      <c r="J91" s="40" t="inlineStr">
        <is>
          <t>Deterministic, continuous</t>
        </is>
      </c>
      <c r="K91" s="39" t="inlineStr">
        <is>
          <t>Pipeline</t>
        </is>
      </c>
      <c r="L91" s="39" t="inlineStr">
        <is>
          <t>Not assessed</t>
        </is>
      </c>
      <c r="M91" s="40" t="n"/>
      <c r="N91" s="40" t="n"/>
      <c r="O91" s="42" t="inlineStr">
        <is>
          <t>Medium</t>
        </is>
      </c>
      <c r="P91" s="43">
        <f>IF(H91="N/A","N/A",INDEX(CRIT_MATRIX,MATCH(O91,CRIT_MATRIX_ROWS,0),MATCH(APP_RISK_TIER,CRIT_MATRIX_COLS,0)))</f>
        <v/>
      </c>
    </row>
    <row r="92" ht="39.75" customHeight="1" s="19">
      <c r="A92" s="39" t="inlineStr">
        <is>
          <t>V4.4.2</t>
        </is>
      </c>
      <c r="B92" s="40" t="inlineStr">
        <is>
          <t>V4 - API and Web Service</t>
        </is>
      </c>
      <c r="C92" s="40" t="inlineStr">
        <is>
          <t>V4.4 - WebSocket</t>
        </is>
      </c>
      <c r="D92" s="39" t="n">
        <v>2</v>
      </c>
      <c r="E92" s="40" t="inlineStr">
        <is>
          <t>Verify that, during the initial HTTP WebSocket handshake, the Origin header field is checked against a list of origins allowed for the application.</t>
        </is>
      </c>
      <c r="F92" s="40" t="inlineStr">
        <is>
          <t>If exposes an API</t>
        </is>
      </c>
      <c r="G92" s="39" t="inlineStr">
        <is>
          <t>API_EXPOSED="Yes"</t>
        </is>
      </c>
      <c r="H92" s="41">
        <f>IF(AND(API_EXPOSED="Yes",D92&lt;=TARGET_LEVEL_NUM),"Applicable","N/A")</f>
        <v/>
      </c>
      <c r="I92" s="40" t="inlineStr">
        <is>
          <t>SAST + DAST</t>
        </is>
      </c>
      <c r="J92" s="40" t="inlineStr">
        <is>
          <t>Deterministic, continuous</t>
        </is>
      </c>
      <c r="K92" s="39" t="inlineStr">
        <is>
          <t>Pipeline</t>
        </is>
      </c>
      <c r="L92" s="39" t="inlineStr">
        <is>
          <t>Not assessed</t>
        </is>
      </c>
      <c r="M92" s="40" t="n"/>
      <c r="N92" s="40" t="n"/>
      <c r="O92" s="42" t="inlineStr">
        <is>
          <t>Medium</t>
        </is>
      </c>
      <c r="P92" s="43">
        <f>IF(H92="N/A","N/A",INDEX(CRIT_MATRIX,MATCH(O92,CRIT_MATRIX_ROWS,0),MATCH(APP_RISK_TIER,CRIT_MATRIX_COLS,0)))</f>
        <v/>
      </c>
    </row>
    <row r="93" ht="39.75" customHeight="1" s="19">
      <c r="A93" s="39" t="inlineStr">
        <is>
          <t>V4.4.3</t>
        </is>
      </c>
      <c r="B93" s="40" t="inlineStr">
        <is>
          <t>V4 - API and Web Service</t>
        </is>
      </c>
      <c r="C93" s="40" t="inlineStr">
        <is>
          <t>V4.4 - WebSocket</t>
        </is>
      </c>
      <c r="D93" s="39"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39" t="inlineStr">
        <is>
          <t>API_EXPOSED="Yes"</t>
        </is>
      </c>
      <c r="H93" s="41">
        <f>IF(AND(API_EXPOSED="Yes",D93&lt;=TARGET_LEVEL_NUM),"Applicable","N/A")</f>
        <v/>
      </c>
      <c r="I93" s="40" t="inlineStr">
        <is>
          <t>SAST + DAST</t>
        </is>
      </c>
      <c r="J93" s="40" t="inlineStr">
        <is>
          <t>Deterministic, continuous</t>
        </is>
      </c>
      <c r="K93" s="39" t="inlineStr">
        <is>
          <t>Pipeline</t>
        </is>
      </c>
      <c r="L93" s="39" t="inlineStr">
        <is>
          <t>Not assessed</t>
        </is>
      </c>
      <c r="M93" s="40" t="n"/>
      <c r="N93" s="40" t="n"/>
      <c r="O93" s="42" t="inlineStr">
        <is>
          <t>Medium</t>
        </is>
      </c>
      <c r="P93" s="43">
        <f>IF(H93="N/A","N/A",INDEX(CRIT_MATRIX,MATCH(O93,CRIT_MATRIX_ROWS,0),MATCH(APP_RISK_TIER,CRIT_MATRIX_COLS,0)))</f>
        <v/>
      </c>
    </row>
    <row r="94" ht="39.75" customHeight="1" s="19">
      <c r="A94" s="39" t="inlineStr">
        <is>
          <t>V4.4.4</t>
        </is>
      </c>
      <c r="B94" s="40" t="inlineStr">
        <is>
          <t>V4 - API and Web Service</t>
        </is>
      </c>
      <c r="C94" s="40" t="inlineStr">
        <is>
          <t>V4.4 - WebSocket</t>
        </is>
      </c>
      <c r="D94" s="39"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39" t="inlineStr">
        <is>
          <t>API_EXPOSED="Yes"</t>
        </is>
      </c>
      <c r="H94" s="41">
        <f>IF(AND(API_EXPOSED="Yes",D94&lt;=TARGET_LEVEL_NUM),"Applicable","N/A")</f>
        <v/>
      </c>
      <c r="I94" s="40" t="inlineStr">
        <is>
          <t>SAST + DAST</t>
        </is>
      </c>
      <c r="J94" s="40" t="inlineStr">
        <is>
          <t>Deterministic, continuous</t>
        </is>
      </c>
      <c r="K94" s="39" t="inlineStr">
        <is>
          <t>Pipeline</t>
        </is>
      </c>
      <c r="L94" s="39" t="inlineStr">
        <is>
          <t>Not assessed</t>
        </is>
      </c>
      <c r="M94" s="40" t="n"/>
      <c r="N94" s="40" t="n"/>
      <c r="O94" s="42" t="inlineStr">
        <is>
          <t>Medium</t>
        </is>
      </c>
      <c r="P94" s="43">
        <f>IF(H94="N/A","N/A",INDEX(CRIT_MATRIX,MATCH(O94,CRIT_MATRIX_ROWS,0),MATCH(APP_RISK_TIER,CRIT_MATRIX_COLS,0)))</f>
        <v/>
      </c>
    </row>
    <row r="95" ht="39.75" customHeight="1" s="19">
      <c r="A95" s="39" t="inlineStr">
        <is>
          <t>V5.1.1</t>
        </is>
      </c>
      <c r="B95" s="40" t="inlineStr">
        <is>
          <t>V5 - File Handling</t>
        </is>
      </c>
      <c r="C95" s="40" t="inlineStr">
        <is>
          <t>V5.1 - File Handling Documentation</t>
        </is>
      </c>
      <c r="D95" s="39"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39" t="inlineStr">
        <is>
          <t>FILE_HANDLING="Yes"</t>
        </is>
      </c>
      <c r="H95" s="41">
        <f>IF(AND(FILE_HANDLING="Yes",D95&lt;=TARGET_LEVEL_NUM),"Applicable","N/A")</f>
        <v/>
      </c>
      <c r="I95" s="40" t="inlineStr">
        <is>
          <t>Architecture / documentation review</t>
        </is>
      </c>
      <c r="J95" s="40" t="inlineStr">
        <is>
          <t>Sampled, periodic</t>
        </is>
      </c>
      <c r="K95" s="39" t="inlineStr">
        <is>
          <t>Design/Governance</t>
        </is>
      </c>
      <c r="L95" s="39" t="inlineStr">
        <is>
          <t>Not assessed</t>
        </is>
      </c>
      <c r="M95" s="40" t="n"/>
      <c r="N95" s="40" t="n"/>
      <c r="O95" s="42" t="inlineStr">
        <is>
          <t>High</t>
        </is>
      </c>
      <c r="P95" s="43">
        <f>IF(H95="N/A","N/A",INDEX(CRIT_MATRIX,MATCH(O95,CRIT_MATRIX_ROWS,0),MATCH(APP_RISK_TIER,CRIT_MATRIX_COLS,0)))</f>
        <v/>
      </c>
    </row>
    <row r="96" ht="39.75" customHeight="1" s="19">
      <c r="A96" s="39" t="inlineStr">
        <is>
          <t>V5.2.1</t>
        </is>
      </c>
      <c r="B96" s="40" t="inlineStr">
        <is>
          <t>V5 - File Handling</t>
        </is>
      </c>
      <c r="C96" s="40" t="inlineStr">
        <is>
          <t>V5.2 - File Upload and Content</t>
        </is>
      </c>
      <c r="D96" s="39" t="n">
        <v>1</v>
      </c>
      <c r="E96" s="40" t="inlineStr">
        <is>
          <t>Verify that the application will only accept files of a size which it can process without causing a loss of performance or a denial of service attack.</t>
        </is>
      </c>
      <c r="F96" s="40" t="inlineStr">
        <is>
          <t>If handles file upload/storage</t>
        </is>
      </c>
      <c r="G96" s="39" t="inlineStr">
        <is>
          <t>FILE_HANDLING="Yes"</t>
        </is>
      </c>
      <c r="H96" s="41">
        <f>IF(AND(FILE_HANDLING="Yes",D96&lt;=TARGET_LEVEL_NUM),"Applicable","N/A")</f>
        <v/>
      </c>
      <c r="I96" s="40" t="inlineStr">
        <is>
          <t>SAST + DAST / malware scanner</t>
        </is>
      </c>
      <c r="J96" s="40" t="inlineStr">
        <is>
          <t>Deterministic, continuous</t>
        </is>
      </c>
      <c r="K96" s="39" t="inlineStr">
        <is>
          <t>Pipeline</t>
        </is>
      </c>
      <c r="L96" s="39" t="inlineStr">
        <is>
          <t>Not assessed</t>
        </is>
      </c>
      <c r="M96" s="40" t="n"/>
      <c r="N96" s="40" t="n"/>
      <c r="O96" s="42" t="inlineStr">
        <is>
          <t>High</t>
        </is>
      </c>
      <c r="P96" s="43">
        <f>IF(H96="N/A","N/A",INDEX(CRIT_MATRIX,MATCH(O96,CRIT_MATRIX_ROWS,0),MATCH(APP_RISK_TIER,CRIT_MATRIX_COLS,0)))</f>
        <v/>
      </c>
    </row>
    <row r="97" ht="39.75" customHeight="1" s="19">
      <c r="A97" s="39" t="inlineStr">
        <is>
          <t>V5.2.2</t>
        </is>
      </c>
      <c r="B97" s="40" t="inlineStr">
        <is>
          <t>V5 - File Handling</t>
        </is>
      </c>
      <c r="C97" s="40" t="inlineStr">
        <is>
          <t>V5.2 - File Upload and Content</t>
        </is>
      </c>
      <c r="D97" s="39"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39" t="inlineStr">
        <is>
          <t>FILE_HANDLING="Yes"</t>
        </is>
      </c>
      <c r="H97" s="41">
        <f>IF(AND(FILE_HANDLING="Yes",D97&lt;=TARGET_LEVEL_NUM),"Applicable","N/A")</f>
        <v/>
      </c>
      <c r="I97" s="40" t="inlineStr">
        <is>
          <t>SAST + DAST / malware scanner</t>
        </is>
      </c>
      <c r="J97" s="40" t="inlineStr">
        <is>
          <t>Deterministic, continuous</t>
        </is>
      </c>
      <c r="K97" s="39" t="inlineStr">
        <is>
          <t>Pipeline</t>
        </is>
      </c>
      <c r="L97" s="39" t="inlineStr">
        <is>
          <t>Not assessed</t>
        </is>
      </c>
      <c r="M97" s="40" t="n"/>
      <c r="N97" s="40" t="n"/>
      <c r="O97" s="42" t="inlineStr">
        <is>
          <t>High</t>
        </is>
      </c>
      <c r="P97" s="43">
        <f>IF(H97="N/A","N/A",INDEX(CRIT_MATRIX,MATCH(O97,CRIT_MATRIX_ROWS,0),MATCH(APP_RISK_TIER,CRIT_MATRIX_COLS,0)))</f>
        <v/>
      </c>
    </row>
    <row r="98" ht="39.75" customHeight="1" s="19">
      <c r="A98" s="39" t="inlineStr">
        <is>
          <t>V5.2.3</t>
        </is>
      </c>
      <c r="B98" s="40" t="inlineStr">
        <is>
          <t>V5 - File Handling</t>
        </is>
      </c>
      <c r="C98" s="40" t="inlineStr">
        <is>
          <t>V5.2 - File Upload and Content</t>
        </is>
      </c>
      <c r="D98" s="39"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39" t="inlineStr">
        <is>
          <t>FILE_HANDLING="Yes"</t>
        </is>
      </c>
      <c r="H98" s="41">
        <f>IF(AND(FILE_HANDLING="Yes",D98&lt;=TARGET_LEVEL_NUM),"Applicable","N/A")</f>
        <v/>
      </c>
      <c r="I98" s="40" t="inlineStr">
        <is>
          <t>SAST + DAST / malware scanner</t>
        </is>
      </c>
      <c r="J98" s="40" t="inlineStr">
        <is>
          <t>Deterministic, continuous</t>
        </is>
      </c>
      <c r="K98" s="39" t="inlineStr">
        <is>
          <t>Pipeline</t>
        </is>
      </c>
      <c r="L98" s="39" t="inlineStr">
        <is>
          <t>Not assessed</t>
        </is>
      </c>
      <c r="M98" s="40" t="n"/>
      <c r="N98" s="40" t="n"/>
      <c r="O98" s="42" t="inlineStr">
        <is>
          <t>High</t>
        </is>
      </c>
      <c r="P98" s="43">
        <f>IF(H98="N/A","N/A",INDEX(CRIT_MATRIX,MATCH(O98,CRIT_MATRIX_ROWS,0),MATCH(APP_RISK_TIER,CRIT_MATRIX_COLS,0)))</f>
        <v/>
      </c>
    </row>
    <row r="99" ht="39.75" customHeight="1" s="19">
      <c r="A99" s="39" t="inlineStr">
        <is>
          <t>V5.2.4</t>
        </is>
      </c>
      <c r="B99" s="40" t="inlineStr">
        <is>
          <t>V5 - File Handling</t>
        </is>
      </c>
      <c r="C99" s="40" t="inlineStr">
        <is>
          <t>V5.2 - File Upload and Content</t>
        </is>
      </c>
      <c r="D99" s="39"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39" t="inlineStr">
        <is>
          <t>FILE_HANDLING="Yes"</t>
        </is>
      </c>
      <c r="H99" s="41">
        <f>IF(AND(FILE_HANDLING="Yes",D99&lt;=TARGET_LEVEL_NUM),"Applicable","N/A")</f>
        <v/>
      </c>
      <c r="I99" s="40" t="inlineStr">
        <is>
          <t>SAST + DAST / malware scanner</t>
        </is>
      </c>
      <c r="J99" s="40" t="inlineStr">
        <is>
          <t>Deterministic, continuous</t>
        </is>
      </c>
      <c r="K99" s="39" t="inlineStr">
        <is>
          <t>Pipeline</t>
        </is>
      </c>
      <c r="L99" s="39" t="inlineStr">
        <is>
          <t>Not assessed</t>
        </is>
      </c>
      <c r="M99" s="40" t="n"/>
      <c r="N99" s="40" t="n"/>
      <c r="O99" s="42" t="inlineStr">
        <is>
          <t>High</t>
        </is>
      </c>
      <c r="P99" s="43">
        <f>IF(H99="N/A","N/A",INDEX(CRIT_MATRIX,MATCH(O99,CRIT_MATRIX_ROWS,0),MATCH(APP_RISK_TIER,CRIT_MATRIX_COLS,0)))</f>
        <v/>
      </c>
    </row>
    <row r="100" ht="39.75" customHeight="1" s="19">
      <c r="A100" s="39" t="inlineStr">
        <is>
          <t>V5.2.5</t>
        </is>
      </c>
      <c r="B100" s="40" t="inlineStr">
        <is>
          <t>V5 - File Handling</t>
        </is>
      </c>
      <c r="C100" s="40" t="inlineStr">
        <is>
          <t>V5.2 - File Upload and Content</t>
        </is>
      </c>
      <c r="D100" s="39"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39" t="inlineStr">
        <is>
          <t>FILE_HANDLING="Yes"</t>
        </is>
      </c>
      <c r="H100" s="41">
        <f>IF(AND(FILE_HANDLING="Yes",D100&lt;=TARGET_LEVEL_NUM),"Applicable","N/A")</f>
        <v/>
      </c>
      <c r="I100" s="40" t="inlineStr">
        <is>
          <t>SAST + DAST / malware scanner</t>
        </is>
      </c>
      <c r="J100" s="40" t="inlineStr">
        <is>
          <t>Deterministic, continuous</t>
        </is>
      </c>
      <c r="K100" s="39" t="inlineStr">
        <is>
          <t>Pipeline</t>
        </is>
      </c>
      <c r="L100" s="39" t="inlineStr">
        <is>
          <t>Not assessed</t>
        </is>
      </c>
      <c r="M100" s="40" t="n"/>
      <c r="N100" s="40" t="n"/>
      <c r="O100" s="42" t="inlineStr">
        <is>
          <t>High</t>
        </is>
      </c>
      <c r="P100" s="43">
        <f>IF(H100="N/A","N/A",INDEX(CRIT_MATRIX,MATCH(O100,CRIT_MATRIX_ROWS,0),MATCH(APP_RISK_TIER,CRIT_MATRIX_COLS,0)))</f>
        <v/>
      </c>
    </row>
    <row r="101" ht="39.75" customHeight="1" s="19">
      <c r="A101" s="39" t="inlineStr">
        <is>
          <t>V5.2.6</t>
        </is>
      </c>
      <c r="B101" s="40" t="inlineStr">
        <is>
          <t>V5 - File Handling</t>
        </is>
      </c>
      <c r="C101" s="40" t="inlineStr">
        <is>
          <t>V5.2 - File Upload and Content</t>
        </is>
      </c>
      <c r="D101" s="39" t="n">
        <v>3</v>
      </c>
      <c r="E101" s="40" t="inlineStr">
        <is>
          <t>Verify that the application rejects uploaded images with a pixel size larger than the maximum allowed, to prevent pixel flood attacks.</t>
        </is>
      </c>
      <c r="F101" s="40" t="inlineStr">
        <is>
          <t>If handles file upload/storage</t>
        </is>
      </c>
      <c r="G101" s="39" t="inlineStr">
        <is>
          <t>FILE_HANDLING="Yes"</t>
        </is>
      </c>
      <c r="H101" s="41">
        <f>IF(AND(FILE_HANDLING="Yes",D101&lt;=TARGET_LEVEL_NUM),"Applicable","N/A")</f>
        <v/>
      </c>
      <c r="I101" s="40" t="inlineStr">
        <is>
          <t>SAST + DAST / malware scanner</t>
        </is>
      </c>
      <c r="J101" s="40" t="inlineStr">
        <is>
          <t>Deterministic, continuous</t>
        </is>
      </c>
      <c r="K101" s="39" t="inlineStr">
        <is>
          <t>Pipeline</t>
        </is>
      </c>
      <c r="L101" s="39" t="inlineStr">
        <is>
          <t>Not assessed</t>
        </is>
      </c>
      <c r="M101" s="40" t="n"/>
      <c r="N101" s="40" t="n"/>
      <c r="O101" s="42" t="inlineStr">
        <is>
          <t>High</t>
        </is>
      </c>
      <c r="P101" s="43">
        <f>IF(H101="N/A","N/A",INDEX(CRIT_MATRIX,MATCH(O101,CRIT_MATRIX_ROWS,0),MATCH(APP_RISK_TIER,CRIT_MATRIX_COLS,0)))</f>
        <v/>
      </c>
    </row>
    <row r="102" ht="39.75" customHeight="1" s="19">
      <c r="A102" s="39" t="inlineStr">
        <is>
          <t>V5.3.1</t>
        </is>
      </c>
      <c r="B102" s="40" t="inlineStr">
        <is>
          <t>V5 - File Handling</t>
        </is>
      </c>
      <c r="C102" s="40" t="inlineStr">
        <is>
          <t>V5.3 - File Storage</t>
        </is>
      </c>
      <c r="D102" s="39"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39" t="inlineStr">
        <is>
          <t>FILE_HANDLING="Yes"</t>
        </is>
      </c>
      <c r="H102" s="41">
        <f>IF(AND(FILE_HANDLING="Yes",D102&lt;=TARGET_LEVEL_NUM),"Applicable","N/A")</f>
        <v/>
      </c>
      <c r="I102" s="40" t="inlineStr">
        <is>
          <t>SAST + DAST / malware scanner</t>
        </is>
      </c>
      <c r="J102" s="40" t="inlineStr">
        <is>
          <t>Deterministic, continuous</t>
        </is>
      </c>
      <c r="K102" s="39" t="inlineStr">
        <is>
          <t>Pipeline</t>
        </is>
      </c>
      <c r="L102" s="39" t="inlineStr">
        <is>
          <t>Not assessed</t>
        </is>
      </c>
      <c r="M102" s="40" t="n"/>
      <c r="N102" s="40" t="n"/>
      <c r="O102" s="42" t="inlineStr">
        <is>
          <t>High</t>
        </is>
      </c>
      <c r="P102" s="43">
        <f>IF(H102="N/A","N/A",INDEX(CRIT_MATRIX,MATCH(O102,CRIT_MATRIX_ROWS,0),MATCH(APP_RISK_TIER,CRIT_MATRIX_COLS,0)))</f>
        <v/>
      </c>
    </row>
    <row r="103" ht="39.75" customHeight="1" s="19">
      <c r="A103" s="39" t="inlineStr">
        <is>
          <t>V5.3.2</t>
        </is>
      </c>
      <c r="B103" s="40" t="inlineStr">
        <is>
          <t>V5 - File Handling</t>
        </is>
      </c>
      <c r="C103" s="40" t="inlineStr">
        <is>
          <t>V5.3 - File Storage</t>
        </is>
      </c>
      <c r="D103" s="39"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39" t="inlineStr">
        <is>
          <t>FILE_HANDLING="Yes"</t>
        </is>
      </c>
      <c r="H103" s="41">
        <f>IF(AND(FILE_HANDLING="Yes",D103&lt;=TARGET_LEVEL_NUM),"Applicable","N/A")</f>
        <v/>
      </c>
      <c r="I103" s="40" t="inlineStr">
        <is>
          <t>SAST + DAST / malware scanner</t>
        </is>
      </c>
      <c r="J103" s="40" t="inlineStr">
        <is>
          <t>Deterministic, continuous</t>
        </is>
      </c>
      <c r="K103" s="39" t="inlineStr">
        <is>
          <t>Pipeline</t>
        </is>
      </c>
      <c r="L103" s="39" t="inlineStr">
        <is>
          <t>Not assessed</t>
        </is>
      </c>
      <c r="M103" s="40" t="n"/>
      <c r="N103" s="40" t="n"/>
      <c r="O103" s="42" t="inlineStr">
        <is>
          <t>High</t>
        </is>
      </c>
      <c r="P103" s="43">
        <f>IF(H103="N/A","N/A",INDEX(CRIT_MATRIX,MATCH(O103,CRIT_MATRIX_ROWS,0),MATCH(APP_RISK_TIER,CRIT_MATRIX_COLS,0)))</f>
        <v/>
      </c>
    </row>
    <row r="104" ht="39.75" customHeight="1" s="19">
      <c r="A104" s="39" t="inlineStr">
        <is>
          <t>V5.3.3</t>
        </is>
      </c>
      <c r="B104" s="40" t="inlineStr">
        <is>
          <t>V5 - File Handling</t>
        </is>
      </c>
      <c r="C104" s="40" t="inlineStr">
        <is>
          <t>V5.3 - File Storage</t>
        </is>
      </c>
      <c r="D104" s="39" t="n">
        <v>3</v>
      </c>
      <c r="E104" s="40" t="inlineStr">
        <is>
          <t>Verify that server-side file processing, such as file decompression, ignores user-provided path information to prevent vulnerabilities such as zip slip.</t>
        </is>
      </c>
      <c r="F104" s="40" t="inlineStr">
        <is>
          <t>If handles file upload/storage</t>
        </is>
      </c>
      <c r="G104" s="39" t="inlineStr">
        <is>
          <t>FILE_HANDLING="Yes"</t>
        </is>
      </c>
      <c r="H104" s="41">
        <f>IF(AND(FILE_HANDLING="Yes",D104&lt;=TARGET_LEVEL_NUM),"Applicable","N/A")</f>
        <v/>
      </c>
      <c r="I104" s="40" t="inlineStr">
        <is>
          <t>SAST + DAST / malware scanner</t>
        </is>
      </c>
      <c r="J104" s="40" t="inlineStr">
        <is>
          <t>Deterministic, continuous</t>
        </is>
      </c>
      <c r="K104" s="39" t="inlineStr">
        <is>
          <t>Pipeline</t>
        </is>
      </c>
      <c r="L104" s="39" t="inlineStr">
        <is>
          <t>Not assessed</t>
        </is>
      </c>
      <c r="M104" s="40" t="n"/>
      <c r="N104" s="40" t="n"/>
      <c r="O104" s="42" t="inlineStr">
        <is>
          <t>High</t>
        </is>
      </c>
      <c r="P104" s="43">
        <f>IF(H104="N/A","N/A",INDEX(CRIT_MATRIX,MATCH(O104,CRIT_MATRIX_ROWS,0),MATCH(APP_RISK_TIER,CRIT_MATRIX_COLS,0)))</f>
        <v/>
      </c>
    </row>
    <row r="105" ht="39.75" customHeight="1" s="19">
      <c r="A105" s="39" t="inlineStr">
        <is>
          <t>V5.4.1</t>
        </is>
      </c>
      <c r="B105" s="40" t="inlineStr">
        <is>
          <t>V5 - File Handling</t>
        </is>
      </c>
      <c r="C105" s="40" t="inlineStr">
        <is>
          <t>V5.4 - File Download</t>
        </is>
      </c>
      <c r="D105" s="39"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39" t="inlineStr">
        <is>
          <t>FILE_HANDLING="Yes"</t>
        </is>
      </c>
      <c r="H105" s="41">
        <f>IF(AND(FILE_HANDLING="Yes",D105&lt;=TARGET_LEVEL_NUM),"Applicable","N/A")</f>
        <v/>
      </c>
      <c r="I105" s="40" t="inlineStr">
        <is>
          <t>SAST + DAST / malware scanner</t>
        </is>
      </c>
      <c r="J105" s="40" t="inlineStr">
        <is>
          <t>Deterministic, continuous</t>
        </is>
      </c>
      <c r="K105" s="39" t="inlineStr">
        <is>
          <t>Pipeline</t>
        </is>
      </c>
      <c r="L105" s="39" t="inlineStr">
        <is>
          <t>Not assessed</t>
        </is>
      </c>
      <c r="M105" s="40" t="n"/>
      <c r="N105" s="40" t="n"/>
      <c r="O105" s="42" t="inlineStr">
        <is>
          <t>High</t>
        </is>
      </c>
      <c r="P105" s="43">
        <f>IF(H105="N/A","N/A",INDEX(CRIT_MATRIX,MATCH(O105,CRIT_MATRIX_ROWS,0),MATCH(APP_RISK_TIER,CRIT_MATRIX_COLS,0)))</f>
        <v/>
      </c>
    </row>
    <row r="106" ht="39.75" customHeight="1" s="19">
      <c r="A106" s="39" t="inlineStr">
        <is>
          <t>V5.4.2</t>
        </is>
      </c>
      <c r="B106" s="40" t="inlineStr">
        <is>
          <t>V5 - File Handling</t>
        </is>
      </c>
      <c r="C106" s="40" t="inlineStr">
        <is>
          <t>V5.4 - File Download</t>
        </is>
      </c>
      <c r="D106" s="39"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39" t="inlineStr">
        <is>
          <t>FILE_HANDLING="Yes"</t>
        </is>
      </c>
      <c r="H106" s="41">
        <f>IF(AND(FILE_HANDLING="Yes",D106&lt;=TARGET_LEVEL_NUM),"Applicable","N/A")</f>
        <v/>
      </c>
      <c r="I106" s="40" t="inlineStr">
        <is>
          <t>SAST + DAST / malware scanner</t>
        </is>
      </c>
      <c r="J106" s="40" t="inlineStr">
        <is>
          <t>Deterministic, continuous</t>
        </is>
      </c>
      <c r="K106" s="39" t="inlineStr">
        <is>
          <t>Pipeline</t>
        </is>
      </c>
      <c r="L106" s="39" t="inlineStr">
        <is>
          <t>Not assessed</t>
        </is>
      </c>
      <c r="M106" s="40" t="n"/>
      <c r="N106" s="40" t="n"/>
      <c r="O106" s="42" t="inlineStr">
        <is>
          <t>High</t>
        </is>
      </c>
      <c r="P106" s="43">
        <f>IF(H106="N/A","N/A",INDEX(CRIT_MATRIX,MATCH(O106,CRIT_MATRIX_ROWS,0),MATCH(APP_RISK_TIER,CRIT_MATRIX_COLS,0)))</f>
        <v/>
      </c>
    </row>
    <row r="107" ht="39.75" customHeight="1" s="19">
      <c r="A107" s="39" t="inlineStr">
        <is>
          <t>V5.4.3</t>
        </is>
      </c>
      <c r="B107" s="40" t="inlineStr">
        <is>
          <t>V5 - File Handling</t>
        </is>
      </c>
      <c r="C107" s="40" t="inlineStr">
        <is>
          <t>V5.4 - File Download</t>
        </is>
      </c>
      <c r="D107" s="39" t="n">
        <v>2</v>
      </c>
      <c r="E107" s="40" t="inlineStr">
        <is>
          <t>Verify that files obtained from untrusted sources are scanned by antivirus scanners to prevent serving of known malicious content.</t>
        </is>
      </c>
      <c r="F107" s="40" t="inlineStr">
        <is>
          <t>If handles file upload/storage</t>
        </is>
      </c>
      <c r="G107" s="39" t="inlineStr">
        <is>
          <t>FILE_HANDLING="Yes"</t>
        </is>
      </c>
      <c r="H107" s="41">
        <f>IF(AND(FILE_HANDLING="Yes",D107&lt;=TARGET_LEVEL_NUM),"Applicable","N/A")</f>
        <v/>
      </c>
      <c r="I107" s="40" t="inlineStr">
        <is>
          <t>SAST + DAST / malware scanner</t>
        </is>
      </c>
      <c r="J107" s="40" t="inlineStr">
        <is>
          <t>Deterministic, continuous</t>
        </is>
      </c>
      <c r="K107" s="39" t="inlineStr">
        <is>
          <t>Pipeline</t>
        </is>
      </c>
      <c r="L107" s="39" t="inlineStr">
        <is>
          <t>Not assessed</t>
        </is>
      </c>
      <c r="M107" s="40" t="n"/>
      <c r="N107" s="40" t="n"/>
      <c r="O107" s="42" t="inlineStr">
        <is>
          <t>High</t>
        </is>
      </c>
      <c r="P107" s="43">
        <f>IF(H107="N/A","N/A",INDEX(CRIT_MATRIX,MATCH(O107,CRIT_MATRIX_ROWS,0),MATCH(APP_RISK_TIER,CRIT_MATRIX_COLS,0)))</f>
        <v/>
      </c>
    </row>
    <row r="108" ht="39.75" customHeight="1" s="19">
      <c r="A108" s="39" t="inlineStr">
        <is>
          <t>V6.1.1</t>
        </is>
      </c>
      <c r="B108" s="40" t="inlineStr">
        <is>
          <t>V6 - Authentication</t>
        </is>
      </c>
      <c r="C108" s="40" t="inlineStr">
        <is>
          <t>V6.1 - Authentication Documentation</t>
        </is>
      </c>
      <c r="D108" s="39"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39" t="inlineStr">
        <is>
          <t>TRUE</t>
        </is>
      </c>
      <c r="H108" s="41">
        <f>IF(AND(TRUE(),D108&lt;=TARGET_LEVEL_NUM),"Applicable","N/A")</f>
        <v/>
      </c>
      <c r="I108" s="40" t="inlineStr">
        <is>
          <t>Architecture / documentation review</t>
        </is>
      </c>
      <c r="J108" s="40" t="inlineStr">
        <is>
          <t>Sampled, periodic</t>
        </is>
      </c>
      <c r="K108" s="39" t="inlineStr">
        <is>
          <t>Design/Governance</t>
        </is>
      </c>
      <c r="L108" s="39" t="inlineStr">
        <is>
          <t>Not assessed</t>
        </is>
      </c>
      <c r="M108" s="40" t="n"/>
      <c r="N108" s="40" t="n"/>
      <c r="O108" s="42" t="inlineStr">
        <is>
          <t>High</t>
        </is>
      </c>
      <c r="P108" s="43">
        <f>IF(H108="N/A","N/A",INDEX(CRIT_MATRIX,MATCH(O108,CRIT_MATRIX_ROWS,0),MATCH(APP_RISK_TIER,CRIT_MATRIX_COLS,0)))</f>
        <v/>
      </c>
    </row>
    <row r="109" ht="39.75" customHeight="1" s="19">
      <c r="A109" s="39" t="inlineStr">
        <is>
          <t>V6.1.2</t>
        </is>
      </c>
      <c r="B109" s="40" t="inlineStr">
        <is>
          <t>V6 - Authentication</t>
        </is>
      </c>
      <c r="C109" s="40" t="inlineStr">
        <is>
          <t>V6.1 - Authentication Documentation</t>
        </is>
      </c>
      <c r="D109" s="39"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39" t="inlineStr">
        <is>
          <t>TRUE</t>
        </is>
      </c>
      <c r="H109" s="41">
        <f>IF(AND(TRUE(),D109&lt;=TARGET_LEVEL_NUM),"Applicable","N/A")</f>
        <v/>
      </c>
      <c r="I109" s="40" t="inlineStr">
        <is>
          <t>Architecture / documentation review</t>
        </is>
      </c>
      <c r="J109" s="40" t="inlineStr">
        <is>
          <t>Sampled, periodic</t>
        </is>
      </c>
      <c r="K109" s="39" t="inlineStr">
        <is>
          <t>Design/Governance</t>
        </is>
      </c>
      <c r="L109" s="39" t="inlineStr">
        <is>
          <t>Not assessed</t>
        </is>
      </c>
      <c r="M109" s="40" t="n"/>
      <c r="N109" s="40" t="n"/>
      <c r="O109" s="42" t="inlineStr">
        <is>
          <t>High</t>
        </is>
      </c>
      <c r="P109" s="43">
        <f>IF(H109="N/A","N/A",INDEX(CRIT_MATRIX,MATCH(O109,CRIT_MATRIX_ROWS,0),MATCH(APP_RISK_TIER,CRIT_MATRIX_COLS,0)))</f>
        <v/>
      </c>
    </row>
    <row r="110" ht="39.75" customHeight="1" s="19">
      <c r="A110" s="39" t="inlineStr">
        <is>
          <t>V6.1.3</t>
        </is>
      </c>
      <c r="B110" s="40" t="inlineStr">
        <is>
          <t>V6 - Authentication</t>
        </is>
      </c>
      <c r="C110" s="40" t="inlineStr">
        <is>
          <t>V6.1 - Authentication Documentation</t>
        </is>
      </c>
      <c r="D110" s="39"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39" t="inlineStr">
        <is>
          <t>TRUE</t>
        </is>
      </c>
      <c r="H110" s="41">
        <f>IF(AND(TRUE(),D110&lt;=TARGET_LEVEL_NUM),"Applicable","N/A")</f>
        <v/>
      </c>
      <c r="I110" s="40" t="inlineStr">
        <is>
          <t>Architecture / documentation review</t>
        </is>
      </c>
      <c r="J110" s="40" t="inlineStr">
        <is>
          <t>Sampled, periodic</t>
        </is>
      </c>
      <c r="K110" s="39" t="inlineStr">
        <is>
          <t>Design/Governance</t>
        </is>
      </c>
      <c r="L110" s="39" t="inlineStr">
        <is>
          <t>Not assessed</t>
        </is>
      </c>
      <c r="M110" s="40" t="n"/>
      <c r="N110" s="40" t="n"/>
      <c r="O110" s="42" t="inlineStr">
        <is>
          <t>High</t>
        </is>
      </c>
      <c r="P110" s="43">
        <f>IF(H110="N/A","N/A",INDEX(CRIT_MATRIX,MATCH(O110,CRIT_MATRIX_ROWS,0),MATCH(APP_RISK_TIER,CRIT_MATRIX_COLS,0)))</f>
        <v/>
      </c>
    </row>
    <row r="111" ht="39.75" customHeight="1" s="19">
      <c r="A111" s="39" t="inlineStr">
        <is>
          <t>V6.2.1</t>
        </is>
      </c>
      <c r="B111" s="40" t="inlineStr">
        <is>
          <t>V6 - Authentication</t>
        </is>
      </c>
      <c r="C111" s="40" t="inlineStr">
        <is>
          <t>V6.2 - Password Security</t>
        </is>
      </c>
      <c r="D111" s="39" t="n">
        <v>1</v>
      </c>
      <c r="E111" s="40" t="inlineStr">
        <is>
          <t>Verify that user set passwords are at least 8 characters in length although a minimum of 15 characters is strongly recommended.</t>
        </is>
      </c>
      <c r="F111" s="40" t="inlineStr">
        <is>
          <t>Always</t>
        </is>
      </c>
      <c r="G111" s="39" t="inlineStr">
        <is>
          <t>TRUE</t>
        </is>
      </c>
      <c r="H111" s="41">
        <f>IF(AND(TRUE(),D111&lt;=TARGET_LEVEL_NUM),"Applicable","N/A")</f>
        <v/>
      </c>
      <c r="I111" s="40" t="inlineStr">
        <is>
          <t>SAST + integration testing</t>
        </is>
      </c>
      <c r="J111" s="40" t="inlineStr">
        <is>
          <t>Deterministic, continuous</t>
        </is>
      </c>
      <c r="K111" s="39" t="inlineStr">
        <is>
          <t>Pipeline</t>
        </is>
      </c>
      <c r="L111" s="39" t="inlineStr">
        <is>
          <t>Not assessed</t>
        </is>
      </c>
      <c r="M111" s="40" t="n"/>
      <c r="N111" s="40" t="n"/>
      <c r="O111" s="42" t="inlineStr">
        <is>
          <t>High</t>
        </is>
      </c>
      <c r="P111" s="43">
        <f>IF(H111="N/A","N/A",INDEX(CRIT_MATRIX,MATCH(O111,CRIT_MATRIX_ROWS,0),MATCH(APP_RISK_TIER,CRIT_MATRIX_COLS,0)))</f>
        <v/>
      </c>
    </row>
    <row r="112" ht="39.75" customHeight="1" s="19">
      <c r="A112" s="39" t="inlineStr">
        <is>
          <t>V6.2.2</t>
        </is>
      </c>
      <c r="B112" s="40" t="inlineStr">
        <is>
          <t>V6 - Authentication</t>
        </is>
      </c>
      <c r="C112" s="40" t="inlineStr">
        <is>
          <t>V6.2 - Password Security</t>
        </is>
      </c>
      <c r="D112" s="39" t="n">
        <v>1</v>
      </c>
      <c r="E112" s="40" t="inlineStr">
        <is>
          <t>Verify that users can change their password.</t>
        </is>
      </c>
      <c r="F112" s="40" t="inlineStr">
        <is>
          <t>Always</t>
        </is>
      </c>
      <c r="G112" s="39" t="inlineStr">
        <is>
          <t>TRUE</t>
        </is>
      </c>
      <c r="H112" s="41">
        <f>IF(AND(TRUE(),D112&lt;=TARGET_LEVEL_NUM),"Applicable","N/A")</f>
        <v/>
      </c>
      <c r="I112" s="40" t="inlineStr">
        <is>
          <t>SAST + integration testing</t>
        </is>
      </c>
      <c r="J112" s="40" t="inlineStr">
        <is>
          <t>Deterministic, continuous</t>
        </is>
      </c>
      <c r="K112" s="39" t="inlineStr">
        <is>
          <t>Pipeline</t>
        </is>
      </c>
      <c r="L112" s="39" t="inlineStr">
        <is>
          <t>Not assessed</t>
        </is>
      </c>
      <c r="M112" s="40" t="n"/>
      <c r="N112" s="40" t="n"/>
      <c r="O112" s="42" t="inlineStr">
        <is>
          <t>High</t>
        </is>
      </c>
      <c r="P112" s="43">
        <f>IF(H112="N/A","N/A",INDEX(CRIT_MATRIX,MATCH(O112,CRIT_MATRIX_ROWS,0),MATCH(APP_RISK_TIER,CRIT_MATRIX_COLS,0)))</f>
        <v/>
      </c>
    </row>
    <row r="113" ht="39.75" customHeight="1" s="19">
      <c r="A113" s="39" t="inlineStr">
        <is>
          <t>V6.2.3</t>
        </is>
      </c>
      <c r="B113" s="40" t="inlineStr">
        <is>
          <t>V6 - Authentication</t>
        </is>
      </c>
      <c r="C113" s="40" t="inlineStr">
        <is>
          <t>V6.2 - Password Security</t>
        </is>
      </c>
      <c r="D113" s="39" t="n">
        <v>1</v>
      </c>
      <c r="E113" s="40" t="inlineStr">
        <is>
          <t>Verify that password change functionality requires the user's current and new password.</t>
        </is>
      </c>
      <c r="F113" s="40" t="inlineStr">
        <is>
          <t>Always</t>
        </is>
      </c>
      <c r="G113" s="39" t="inlineStr">
        <is>
          <t>TRUE</t>
        </is>
      </c>
      <c r="H113" s="41">
        <f>IF(AND(TRUE(),D113&lt;=TARGET_LEVEL_NUM),"Applicable","N/A")</f>
        <v/>
      </c>
      <c r="I113" s="40" t="inlineStr">
        <is>
          <t>SAST + integration testing</t>
        </is>
      </c>
      <c r="J113" s="40" t="inlineStr">
        <is>
          <t>Deterministic, continuous</t>
        </is>
      </c>
      <c r="K113" s="39" t="inlineStr">
        <is>
          <t>Pipeline</t>
        </is>
      </c>
      <c r="L113" s="39" t="inlineStr">
        <is>
          <t>Not assessed</t>
        </is>
      </c>
      <c r="M113" s="40" t="n"/>
      <c r="N113" s="40" t="n"/>
      <c r="O113" s="42" t="inlineStr">
        <is>
          <t>High</t>
        </is>
      </c>
      <c r="P113" s="43">
        <f>IF(H113="N/A","N/A",INDEX(CRIT_MATRIX,MATCH(O113,CRIT_MATRIX_ROWS,0),MATCH(APP_RISK_TIER,CRIT_MATRIX_COLS,0)))</f>
        <v/>
      </c>
    </row>
    <row r="114" ht="39.75" customHeight="1" s="19">
      <c r="A114" s="39" t="inlineStr">
        <is>
          <t>V6.2.4</t>
        </is>
      </c>
      <c r="B114" s="40" t="inlineStr">
        <is>
          <t>V6 - Authentication</t>
        </is>
      </c>
      <c r="C114" s="40" t="inlineStr">
        <is>
          <t>V6.2 - Password Security</t>
        </is>
      </c>
      <c r="D114" s="39"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39" t="inlineStr">
        <is>
          <t>TRUE</t>
        </is>
      </c>
      <c r="H114" s="41">
        <f>IF(AND(TRUE(),D114&lt;=TARGET_LEVEL_NUM),"Applicable","N/A")</f>
        <v/>
      </c>
      <c r="I114" s="40" t="inlineStr">
        <is>
          <t>SAST + integration testing</t>
        </is>
      </c>
      <c r="J114" s="40" t="inlineStr">
        <is>
          <t>Deterministic, continuous</t>
        </is>
      </c>
      <c r="K114" s="39" t="inlineStr">
        <is>
          <t>Pipeline</t>
        </is>
      </c>
      <c r="L114" s="39" t="inlineStr">
        <is>
          <t>Not assessed</t>
        </is>
      </c>
      <c r="M114" s="40" t="n"/>
      <c r="N114" s="40" t="n"/>
      <c r="O114" s="42" t="inlineStr">
        <is>
          <t>High</t>
        </is>
      </c>
      <c r="P114" s="43">
        <f>IF(H114="N/A","N/A",INDEX(CRIT_MATRIX,MATCH(O114,CRIT_MATRIX_ROWS,0),MATCH(APP_RISK_TIER,CRIT_MATRIX_COLS,0)))</f>
        <v/>
      </c>
    </row>
    <row r="115" ht="39.75" customHeight="1" s="19">
      <c r="A115" s="39" t="inlineStr">
        <is>
          <t>V6.2.5</t>
        </is>
      </c>
      <c r="B115" s="40" t="inlineStr">
        <is>
          <t>V6 - Authentication</t>
        </is>
      </c>
      <c r="C115" s="40" t="inlineStr">
        <is>
          <t>V6.2 - Password Security</t>
        </is>
      </c>
      <c r="D115" s="39"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39" t="inlineStr">
        <is>
          <t>TRUE</t>
        </is>
      </c>
      <c r="H115" s="41">
        <f>IF(AND(TRUE(),D115&lt;=TARGET_LEVEL_NUM),"Applicable","N/A")</f>
        <v/>
      </c>
      <c r="I115" s="40" t="inlineStr">
        <is>
          <t>SAST + integration testing</t>
        </is>
      </c>
      <c r="J115" s="40" t="inlineStr">
        <is>
          <t>Deterministic, continuous</t>
        </is>
      </c>
      <c r="K115" s="39" t="inlineStr">
        <is>
          <t>Pipeline</t>
        </is>
      </c>
      <c r="L115" s="39" t="inlineStr">
        <is>
          <t>Not assessed</t>
        </is>
      </c>
      <c r="M115" s="40" t="n"/>
      <c r="N115" s="40" t="n"/>
      <c r="O115" s="42" t="inlineStr">
        <is>
          <t>High</t>
        </is>
      </c>
      <c r="P115" s="43">
        <f>IF(H115="N/A","N/A",INDEX(CRIT_MATRIX,MATCH(O115,CRIT_MATRIX_ROWS,0),MATCH(APP_RISK_TIER,CRIT_MATRIX_COLS,0)))</f>
        <v/>
      </c>
    </row>
    <row r="116" ht="39.75" customHeight="1" s="19">
      <c r="A116" s="39" t="inlineStr">
        <is>
          <t>V6.2.6</t>
        </is>
      </c>
      <c r="B116" s="40" t="inlineStr">
        <is>
          <t>V6 - Authentication</t>
        </is>
      </c>
      <c r="C116" s="40" t="inlineStr">
        <is>
          <t>V6.2 - Password Security</t>
        </is>
      </c>
      <c r="D116" s="39"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39" t="inlineStr">
        <is>
          <t>TRUE</t>
        </is>
      </c>
      <c r="H116" s="41">
        <f>IF(AND(TRUE(),D116&lt;=TARGET_LEVEL_NUM),"Applicable","N/A")</f>
        <v/>
      </c>
      <c r="I116" s="40" t="inlineStr">
        <is>
          <t>SAST + integration testing</t>
        </is>
      </c>
      <c r="J116" s="40" t="inlineStr">
        <is>
          <t>Deterministic, continuous</t>
        </is>
      </c>
      <c r="K116" s="39" t="inlineStr">
        <is>
          <t>Pipeline</t>
        </is>
      </c>
      <c r="L116" s="39" t="inlineStr">
        <is>
          <t>Not assessed</t>
        </is>
      </c>
      <c r="M116" s="40" t="n"/>
      <c r="N116" s="40" t="n"/>
      <c r="O116" s="42" t="inlineStr">
        <is>
          <t>High</t>
        </is>
      </c>
      <c r="P116" s="43">
        <f>IF(H116="N/A","N/A",INDEX(CRIT_MATRIX,MATCH(O116,CRIT_MATRIX_ROWS,0),MATCH(APP_RISK_TIER,CRIT_MATRIX_COLS,0)))</f>
        <v/>
      </c>
    </row>
    <row r="117" ht="39.75" customHeight="1" s="19">
      <c r="A117" s="39" t="inlineStr">
        <is>
          <t>V6.2.7</t>
        </is>
      </c>
      <c r="B117" s="40" t="inlineStr">
        <is>
          <t>V6 - Authentication</t>
        </is>
      </c>
      <c r="C117" s="40" t="inlineStr">
        <is>
          <t>V6.2 - Password Security</t>
        </is>
      </c>
      <c r="D117" s="39" t="n">
        <v>1</v>
      </c>
      <c r="E117" s="40" t="inlineStr">
        <is>
          <t>Verify that "paste" functionality, browser password helpers, and external password managers are permitted.</t>
        </is>
      </c>
      <c r="F117" s="40" t="inlineStr">
        <is>
          <t>Always</t>
        </is>
      </c>
      <c r="G117" s="39" t="inlineStr">
        <is>
          <t>TRUE</t>
        </is>
      </c>
      <c r="H117" s="41">
        <f>IF(AND(TRUE(),D117&lt;=TARGET_LEVEL_NUM),"Applicable","N/A")</f>
        <v/>
      </c>
      <c r="I117" s="40" t="inlineStr">
        <is>
          <t>SAST + integration testing</t>
        </is>
      </c>
      <c r="J117" s="40" t="inlineStr">
        <is>
          <t>Deterministic, continuous</t>
        </is>
      </c>
      <c r="K117" s="39" t="inlineStr">
        <is>
          <t>Pipeline</t>
        </is>
      </c>
      <c r="L117" s="39" t="inlineStr">
        <is>
          <t>Not assessed</t>
        </is>
      </c>
      <c r="M117" s="40" t="n"/>
      <c r="N117" s="40" t="n"/>
      <c r="O117" s="42" t="inlineStr">
        <is>
          <t>High</t>
        </is>
      </c>
      <c r="P117" s="43">
        <f>IF(H117="N/A","N/A",INDEX(CRIT_MATRIX,MATCH(O117,CRIT_MATRIX_ROWS,0),MATCH(APP_RISK_TIER,CRIT_MATRIX_COLS,0)))</f>
        <v/>
      </c>
    </row>
    <row r="118" ht="39.75" customHeight="1" s="19">
      <c r="A118" s="39" t="inlineStr">
        <is>
          <t>V6.2.8</t>
        </is>
      </c>
      <c r="B118" s="40" t="inlineStr">
        <is>
          <t>V6 - Authentication</t>
        </is>
      </c>
      <c r="C118" s="40" t="inlineStr">
        <is>
          <t>V6.2 - Password Security</t>
        </is>
      </c>
      <c r="D118" s="39" t="n">
        <v>1</v>
      </c>
      <c r="E118" s="40" t="inlineStr">
        <is>
          <t>Verify that the application verifies the user's password exactly as received from the user, without any modifications such as truncation or case transformation.</t>
        </is>
      </c>
      <c r="F118" s="40" t="inlineStr">
        <is>
          <t>Always</t>
        </is>
      </c>
      <c r="G118" s="39" t="inlineStr">
        <is>
          <t>TRUE</t>
        </is>
      </c>
      <c r="H118" s="41">
        <f>IF(AND(TRUE(),D118&lt;=TARGET_LEVEL_NUM),"Applicable","N/A")</f>
        <v/>
      </c>
      <c r="I118" s="40" t="inlineStr">
        <is>
          <t>SAST + integration testing</t>
        </is>
      </c>
      <c r="J118" s="40" t="inlineStr">
        <is>
          <t>Deterministic, continuous</t>
        </is>
      </c>
      <c r="K118" s="39" t="inlineStr">
        <is>
          <t>Pipeline</t>
        </is>
      </c>
      <c r="L118" s="39" t="inlineStr">
        <is>
          <t>Not assessed</t>
        </is>
      </c>
      <c r="M118" s="40" t="n"/>
      <c r="N118" s="40" t="n"/>
      <c r="O118" s="42" t="inlineStr">
        <is>
          <t>High</t>
        </is>
      </c>
      <c r="P118" s="43">
        <f>IF(H118="N/A","N/A",INDEX(CRIT_MATRIX,MATCH(O118,CRIT_MATRIX_ROWS,0),MATCH(APP_RISK_TIER,CRIT_MATRIX_COLS,0)))</f>
        <v/>
      </c>
    </row>
    <row r="119" ht="39.75" customHeight="1" s="19">
      <c r="A119" s="39" t="inlineStr">
        <is>
          <t>V6.2.9</t>
        </is>
      </c>
      <c r="B119" s="40" t="inlineStr">
        <is>
          <t>V6 - Authentication</t>
        </is>
      </c>
      <c r="C119" s="40" t="inlineStr">
        <is>
          <t>V6.2 - Password Security</t>
        </is>
      </c>
      <c r="D119" s="39" t="n">
        <v>2</v>
      </c>
      <c r="E119" s="40" t="inlineStr">
        <is>
          <t>Verify that passwords of at least 64 characters are permitted.</t>
        </is>
      </c>
      <c r="F119" s="40" t="inlineStr">
        <is>
          <t>Always</t>
        </is>
      </c>
      <c r="G119" s="39" t="inlineStr">
        <is>
          <t>TRUE</t>
        </is>
      </c>
      <c r="H119" s="41">
        <f>IF(AND(TRUE(),D119&lt;=TARGET_LEVEL_NUM),"Applicable","N/A")</f>
        <v/>
      </c>
      <c r="I119" s="40" t="inlineStr">
        <is>
          <t>SAST + integration testing</t>
        </is>
      </c>
      <c r="J119" s="40" t="inlineStr">
        <is>
          <t>Deterministic, continuous</t>
        </is>
      </c>
      <c r="K119" s="39" t="inlineStr">
        <is>
          <t>Pipeline</t>
        </is>
      </c>
      <c r="L119" s="39" t="inlineStr">
        <is>
          <t>Not assessed</t>
        </is>
      </c>
      <c r="M119" s="40" t="n"/>
      <c r="N119" s="40" t="n"/>
      <c r="O119" s="42" t="inlineStr">
        <is>
          <t>High</t>
        </is>
      </c>
      <c r="P119" s="43">
        <f>IF(H119="N/A","N/A",INDEX(CRIT_MATRIX,MATCH(O119,CRIT_MATRIX_ROWS,0),MATCH(APP_RISK_TIER,CRIT_MATRIX_COLS,0)))</f>
        <v/>
      </c>
    </row>
    <row r="120" ht="39.75" customHeight="1" s="19">
      <c r="A120" s="39" t="inlineStr">
        <is>
          <t>V6.2.10</t>
        </is>
      </c>
      <c r="B120" s="40" t="inlineStr">
        <is>
          <t>V6 - Authentication</t>
        </is>
      </c>
      <c r="C120" s="40" t="inlineStr">
        <is>
          <t>V6.2 - Password Security</t>
        </is>
      </c>
      <c r="D120" s="39" t="n">
        <v>2</v>
      </c>
      <c r="E120" s="40" t="inlineStr">
        <is>
          <t>Verify that a user's password stays valid until it is discovered to be compromised or the user rotates it. The application must not require periodic credential rotation.</t>
        </is>
      </c>
      <c r="F120" s="40" t="inlineStr">
        <is>
          <t>Always</t>
        </is>
      </c>
      <c r="G120" s="39" t="inlineStr">
        <is>
          <t>TRUE</t>
        </is>
      </c>
      <c r="H120" s="41">
        <f>IF(AND(TRUE(),D120&lt;=TARGET_LEVEL_NUM),"Applicable","N/A")</f>
        <v/>
      </c>
      <c r="I120" s="40" t="inlineStr">
        <is>
          <t>SAST + integration testing</t>
        </is>
      </c>
      <c r="J120" s="40" t="inlineStr">
        <is>
          <t>Deterministic, continuous</t>
        </is>
      </c>
      <c r="K120" s="39" t="inlineStr">
        <is>
          <t>Pipeline</t>
        </is>
      </c>
      <c r="L120" s="39" t="inlineStr">
        <is>
          <t>Not assessed</t>
        </is>
      </c>
      <c r="M120" s="40" t="n"/>
      <c r="N120" s="40" t="n"/>
      <c r="O120" s="42" t="inlineStr">
        <is>
          <t>High</t>
        </is>
      </c>
      <c r="P120" s="43">
        <f>IF(H120="N/A","N/A",INDEX(CRIT_MATRIX,MATCH(O120,CRIT_MATRIX_ROWS,0),MATCH(APP_RISK_TIER,CRIT_MATRIX_COLS,0)))</f>
        <v/>
      </c>
    </row>
    <row r="121" ht="39.75" customHeight="1" s="19">
      <c r="A121" s="39" t="inlineStr">
        <is>
          <t>V6.2.11</t>
        </is>
      </c>
      <c r="B121" s="40" t="inlineStr">
        <is>
          <t>V6 - Authentication</t>
        </is>
      </c>
      <c r="C121" s="40" t="inlineStr">
        <is>
          <t>V6.2 - Password Security</t>
        </is>
      </c>
      <c r="D121" s="39" t="n">
        <v>2</v>
      </c>
      <c r="E121" s="40" t="inlineStr">
        <is>
          <t>Verify that the documented list of context specific words is used to prevent easy to guess passwords being created.</t>
        </is>
      </c>
      <c r="F121" s="40" t="inlineStr">
        <is>
          <t>Always</t>
        </is>
      </c>
      <c r="G121" s="39" t="inlineStr">
        <is>
          <t>TRUE</t>
        </is>
      </c>
      <c r="H121" s="41">
        <f>IF(AND(TRUE(),D121&lt;=TARGET_LEVEL_NUM),"Applicable","N/A")</f>
        <v/>
      </c>
      <c r="I121" s="40" t="inlineStr">
        <is>
          <t>SAST + integration testing</t>
        </is>
      </c>
      <c r="J121" s="40" t="inlineStr">
        <is>
          <t>Deterministic, continuous</t>
        </is>
      </c>
      <c r="K121" s="39" t="inlineStr">
        <is>
          <t>Pipeline</t>
        </is>
      </c>
      <c r="L121" s="39" t="inlineStr">
        <is>
          <t>Not assessed</t>
        </is>
      </c>
      <c r="M121" s="40" t="n"/>
      <c r="N121" s="40" t="n"/>
      <c r="O121" s="42" t="inlineStr">
        <is>
          <t>High</t>
        </is>
      </c>
      <c r="P121" s="43">
        <f>IF(H121="N/A","N/A",INDEX(CRIT_MATRIX,MATCH(O121,CRIT_MATRIX_ROWS,0),MATCH(APP_RISK_TIER,CRIT_MATRIX_COLS,0)))</f>
        <v/>
      </c>
    </row>
    <row r="122" ht="39.75" customHeight="1" s="19">
      <c r="A122" s="39" t="inlineStr">
        <is>
          <t>V6.2.12</t>
        </is>
      </c>
      <c r="B122" s="40" t="inlineStr">
        <is>
          <t>V6 - Authentication</t>
        </is>
      </c>
      <c r="C122" s="40" t="inlineStr">
        <is>
          <t>V6.2 - Password Security</t>
        </is>
      </c>
      <c r="D122" s="39" t="n">
        <v>2</v>
      </c>
      <c r="E122" s="40" t="inlineStr">
        <is>
          <t>Verify that passwords submitted during account registration or password changes are checked against a set of breached passwords.</t>
        </is>
      </c>
      <c r="F122" s="40" t="inlineStr">
        <is>
          <t>Always</t>
        </is>
      </c>
      <c r="G122" s="39" t="inlineStr">
        <is>
          <t>TRUE</t>
        </is>
      </c>
      <c r="H122" s="41">
        <f>IF(AND(TRUE(),D122&lt;=TARGET_LEVEL_NUM),"Applicable","N/A")</f>
        <v/>
      </c>
      <c r="I122" s="40" t="inlineStr">
        <is>
          <t>SAST + integration testing</t>
        </is>
      </c>
      <c r="J122" s="40" t="inlineStr">
        <is>
          <t>Deterministic, continuous</t>
        </is>
      </c>
      <c r="K122" s="39" t="inlineStr">
        <is>
          <t>Pipeline</t>
        </is>
      </c>
      <c r="L122" s="39" t="inlineStr">
        <is>
          <t>Not assessed</t>
        </is>
      </c>
      <c r="M122" s="40" t="n"/>
      <c r="N122" s="40" t="n"/>
      <c r="O122" s="42" t="inlineStr">
        <is>
          <t>High</t>
        </is>
      </c>
      <c r="P122" s="43">
        <f>IF(H122="N/A","N/A",INDEX(CRIT_MATRIX,MATCH(O122,CRIT_MATRIX_ROWS,0),MATCH(APP_RISK_TIER,CRIT_MATRIX_COLS,0)))</f>
        <v/>
      </c>
    </row>
    <row r="123" ht="39.75" customHeight="1" s="19">
      <c r="A123" s="39" t="inlineStr">
        <is>
          <t>V6.3.1</t>
        </is>
      </c>
      <c r="B123" s="40" t="inlineStr">
        <is>
          <t>V6 - Authentication</t>
        </is>
      </c>
      <c r="C123" s="40" t="inlineStr">
        <is>
          <t>V6.3 - General Authentication Security</t>
        </is>
      </c>
      <c r="D123" s="39" t="n">
        <v>1</v>
      </c>
      <c r="E123" s="40" t="inlineStr">
        <is>
          <t>Verify that controls to prevent attacks such as credential stuffing and password brute force are implemented according to the application's security documentation.</t>
        </is>
      </c>
      <c r="F123" s="40" t="inlineStr">
        <is>
          <t>Always</t>
        </is>
      </c>
      <c r="G123" s="39" t="inlineStr">
        <is>
          <t>TRUE</t>
        </is>
      </c>
      <c r="H123" s="41">
        <f>IF(AND(TRUE(),D123&lt;=TARGET_LEVEL_NUM),"Applicable","N/A")</f>
        <v/>
      </c>
      <c r="I123" s="40" t="inlineStr">
        <is>
          <t>SAST + integration testing</t>
        </is>
      </c>
      <c r="J123" s="40" t="inlineStr">
        <is>
          <t>Deterministic, continuous</t>
        </is>
      </c>
      <c r="K123" s="39" t="inlineStr">
        <is>
          <t>Pipeline</t>
        </is>
      </c>
      <c r="L123" s="39" t="inlineStr">
        <is>
          <t>Not assessed</t>
        </is>
      </c>
      <c r="M123" s="40" t="n"/>
      <c r="N123" s="40" t="n"/>
      <c r="O123" s="42" t="inlineStr">
        <is>
          <t>High</t>
        </is>
      </c>
      <c r="P123" s="43">
        <f>IF(H123="N/A","N/A",INDEX(CRIT_MATRIX,MATCH(O123,CRIT_MATRIX_ROWS,0),MATCH(APP_RISK_TIER,CRIT_MATRIX_COLS,0)))</f>
        <v/>
      </c>
    </row>
    <row r="124" ht="39.75" customHeight="1" s="19">
      <c r="A124" s="39" t="inlineStr">
        <is>
          <t>V6.3.2</t>
        </is>
      </c>
      <c r="B124" s="40" t="inlineStr">
        <is>
          <t>V6 - Authentication</t>
        </is>
      </c>
      <c r="C124" s="40" t="inlineStr">
        <is>
          <t>V6.3 - General Authentication Security</t>
        </is>
      </c>
      <c r="D124" s="39" t="n">
        <v>1</v>
      </c>
      <c r="E124" s="40" t="inlineStr">
        <is>
          <t>Verify that default user accounts (e.g., "root", "admin", or "sa") are not present in the application or are disabled.</t>
        </is>
      </c>
      <c r="F124" s="40" t="inlineStr">
        <is>
          <t>Always</t>
        </is>
      </c>
      <c r="G124" s="39" t="inlineStr">
        <is>
          <t>TRUE</t>
        </is>
      </c>
      <c r="H124" s="41">
        <f>IF(AND(TRUE(),D124&lt;=TARGET_LEVEL_NUM),"Applicable","N/A")</f>
        <v/>
      </c>
      <c r="I124" s="40" t="inlineStr">
        <is>
          <t>SAST + integration testing</t>
        </is>
      </c>
      <c r="J124" s="40" t="inlineStr">
        <is>
          <t>Deterministic, continuous</t>
        </is>
      </c>
      <c r="K124" s="39" t="inlineStr">
        <is>
          <t>Pipeline</t>
        </is>
      </c>
      <c r="L124" s="39" t="inlineStr">
        <is>
          <t>Not assessed</t>
        </is>
      </c>
      <c r="M124" s="40" t="n"/>
      <c r="N124" s="40" t="n"/>
      <c r="O124" s="42" t="inlineStr">
        <is>
          <t>High</t>
        </is>
      </c>
      <c r="P124" s="43">
        <f>IF(H124="N/A","N/A",INDEX(CRIT_MATRIX,MATCH(O124,CRIT_MATRIX_ROWS,0),MATCH(APP_RISK_TIER,CRIT_MATRIX_COLS,0)))</f>
        <v/>
      </c>
    </row>
    <row r="125" ht="39.75" customHeight="1" s="19">
      <c r="A125" s="39" t="inlineStr">
        <is>
          <t>V6.3.3</t>
        </is>
      </c>
      <c r="B125" s="40" t="inlineStr">
        <is>
          <t>V6 - Authentication</t>
        </is>
      </c>
      <c r="C125" s="40" t="inlineStr">
        <is>
          <t>V6.3 - General Authentication Security</t>
        </is>
      </c>
      <c r="D125" s="39"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39" t="inlineStr">
        <is>
          <t>TRUE</t>
        </is>
      </c>
      <c r="H125" s="41">
        <f>IF(AND(TRUE(),D125&lt;=TARGET_LEVEL_NUM),"Applicable","N/A")</f>
        <v/>
      </c>
      <c r="I125" s="40" t="inlineStr">
        <is>
          <t>SAST + integration testing</t>
        </is>
      </c>
      <c r="J125" s="40" t="inlineStr">
        <is>
          <t>Deterministic, continuous</t>
        </is>
      </c>
      <c r="K125" s="39" t="inlineStr">
        <is>
          <t>Pipeline</t>
        </is>
      </c>
      <c r="L125" s="39" t="inlineStr">
        <is>
          <t>Not assessed</t>
        </is>
      </c>
      <c r="M125" s="40" t="n"/>
      <c r="N125" s="40" t="n"/>
      <c r="O125" s="42" t="inlineStr">
        <is>
          <t>High</t>
        </is>
      </c>
      <c r="P125" s="43">
        <f>IF(H125="N/A","N/A",INDEX(CRIT_MATRIX,MATCH(O125,CRIT_MATRIX_ROWS,0),MATCH(APP_RISK_TIER,CRIT_MATRIX_COLS,0)))</f>
        <v/>
      </c>
    </row>
    <row r="126" ht="39.75" customHeight="1" s="19">
      <c r="A126" s="39" t="inlineStr">
        <is>
          <t>V6.3.4</t>
        </is>
      </c>
      <c r="B126" s="40" t="inlineStr">
        <is>
          <t>V6 - Authentication</t>
        </is>
      </c>
      <c r="C126" s="40" t="inlineStr">
        <is>
          <t>V6.3 - General Authentication Security</t>
        </is>
      </c>
      <c r="D126" s="39"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39" t="inlineStr">
        <is>
          <t>TRUE</t>
        </is>
      </c>
      <c r="H126" s="41">
        <f>IF(AND(TRUE(),D126&lt;=TARGET_LEVEL_NUM),"Applicable","N/A")</f>
        <v/>
      </c>
      <c r="I126" s="40" t="inlineStr">
        <is>
          <t>SAST + integration testing</t>
        </is>
      </c>
      <c r="J126" s="40" t="inlineStr">
        <is>
          <t>Deterministic, continuous</t>
        </is>
      </c>
      <c r="K126" s="39" t="inlineStr">
        <is>
          <t>Pipeline</t>
        </is>
      </c>
      <c r="L126" s="39" t="inlineStr">
        <is>
          <t>Not assessed</t>
        </is>
      </c>
      <c r="M126" s="40" t="n"/>
      <c r="N126" s="40" t="n"/>
      <c r="O126" s="42" t="inlineStr">
        <is>
          <t>High</t>
        </is>
      </c>
      <c r="P126" s="43">
        <f>IF(H126="N/A","N/A",INDEX(CRIT_MATRIX,MATCH(O126,CRIT_MATRIX_ROWS,0),MATCH(APP_RISK_TIER,CRIT_MATRIX_COLS,0)))</f>
        <v/>
      </c>
    </row>
    <row r="127" ht="39.75" customHeight="1" s="19">
      <c r="A127" s="39" t="inlineStr">
        <is>
          <t>V6.3.5</t>
        </is>
      </c>
      <c r="B127" s="40" t="inlineStr">
        <is>
          <t>V6 - Authentication</t>
        </is>
      </c>
      <c r="C127" s="40" t="inlineStr">
        <is>
          <t>V6.3 - General Authentication Security</t>
        </is>
      </c>
      <c r="D127" s="39"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39" t="inlineStr">
        <is>
          <t>TRUE</t>
        </is>
      </c>
      <c r="H127" s="41">
        <f>IF(AND(TRUE(),D127&lt;=TARGET_LEVEL_NUM),"Applicable","N/A")</f>
        <v/>
      </c>
      <c r="I127" s="40" t="inlineStr">
        <is>
          <t>SAST + integration testing</t>
        </is>
      </c>
      <c r="J127" s="40" t="inlineStr">
        <is>
          <t>Deterministic, continuous</t>
        </is>
      </c>
      <c r="K127" s="39" t="inlineStr">
        <is>
          <t>Pipeline</t>
        </is>
      </c>
      <c r="L127" s="39" t="inlineStr">
        <is>
          <t>Not assessed</t>
        </is>
      </c>
      <c r="M127" s="40" t="n"/>
      <c r="N127" s="40" t="n"/>
      <c r="O127" s="42" t="inlineStr">
        <is>
          <t>High</t>
        </is>
      </c>
      <c r="P127" s="43">
        <f>IF(H127="N/A","N/A",INDEX(CRIT_MATRIX,MATCH(O127,CRIT_MATRIX_ROWS,0),MATCH(APP_RISK_TIER,CRIT_MATRIX_COLS,0)))</f>
        <v/>
      </c>
    </row>
    <row r="128" ht="39.75" customHeight="1" s="19">
      <c r="A128" s="39" t="inlineStr">
        <is>
          <t>V6.3.6</t>
        </is>
      </c>
      <c r="B128" s="40" t="inlineStr">
        <is>
          <t>V6 - Authentication</t>
        </is>
      </c>
      <c r="C128" s="40" t="inlineStr">
        <is>
          <t>V6.3 - General Authentication Security</t>
        </is>
      </c>
      <c r="D128" s="39" t="n">
        <v>3</v>
      </c>
      <c r="E128" s="40" t="inlineStr">
        <is>
          <t>Verify that email is not used as either a single-factor or multi-factor authentication mechanism.</t>
        </is>
      </c>
      <c r="F128" s="40" t="inlineStr">
        <is>
          <t>Always</t>
        </is>
      </c>
      <c r="G128" s="39" t="inlineStr">
        <is>
          <t>TRUE</t>
        </is>
      </c>
      <c r="H128" s="41">
        <f>IF(AND(TRUE(),D128&lt;=TARGET_LEVEL_NUM),"Applicable","N/A")</f>
        <v/>
      </c>
      <c r="I128" s="40" t="inlineStr">
        <is>
          <t>SAST + integration testing</t>
        </is>
      </c>
      <c r="J128" s="40" t="inlineStr">
        <is>
          <t>Deterministic, continuous</t>
        </is>
      </c>
      <c r="K128" s="39" t="inlineStr">
        <is>
          <t>Pipeline</t>
        </is>
      </c>
      <c r="L128" s="39" t="inlineStr">
        <is>
          <t>Not assessed</t>
        </is>
      </c>
      <c r="M128" s="40" t="n"/>
      <c r="N128" s="40" t="n"/>
      <c r="O128" s="42" t="inlineStr">
        <is>
          <t>High</t>
        </is>
      </c>
      <c r="P128" s="43">
        <f>IF(H128="N/A","N/A",INDEX(CRIT_MATRIX,MATCH(O128,CRIT_MATRIX_ROWS,0),MATCH(APP_RISK_TIER,CRIT_MATRIX_COLS,0)))</f>
        <v/>
      </c>
    </row>
    <row r="129" ht="39.75" customHeight="1" s="19">
      <c r="A129" s="39" t="inlineStr">
        <is>
          <t>V6.3.7</t>
        </is>
      </c>
      <c r="B129" s="40" t="inlineStr">
        <is>
          <t>V6 - Authentication</t>
        </is>
      </c>
      <c r="C129" s="40" t="inlineStr">
        <is>
          <t>V6.3 - General Authentication Security</t>
        </is>
      </c>
      <c r="D129" s="39" t="n">
        <v>3</v>
      </c>
      <c r="E129" s="40" t="inlineStr">
        <is>
          <t>Verify that users are notified after updates to authentication details, such as credential resets or modification of the username or email address.</t>
        </is>
      </c>
      <c r="F129" s="40" t="inlineStr">
        <is>
          <t>Always</t>
        </is>
      </c>
      <c r="G129" s="39" t="inlineStr">
        <is>
          <t>TRUE</t>
        </is>
      </c>
      <c r="H129" s="41">
        <f>IF(AND(TRUE(),D129&lt;=TARGET_LEVEL_NUM),"Applicable","N/A")</f>
        <v/>
      </c>
      <c r="I129" s="40" t="inlineStr">
        <is>
          <t>SAST + integration testing</t>
        </is>
      </c>
      <c r="J129" s="40" t="inlineStr">
        <is>
          <t>Deterministic, continuous</t>
        </is>
      </c>
      <c r="K129" s="39" t="inlineStr">
        <is>
          <t>Pipeline</t>
        </is>
      </c>
      <c r="L129" s="39" t="inlineStr">
        <is>
          <t>Not assessed</t>
        </is>
      </c>
      <c r="M129" s="40" t="n"/>
      <c r="N129" s="40" t="n"/>
      <c r="O129" s="42" t="inlineStr">
        <is>
          <t>High</t>
        </is>
      </c>
      <c r="P129" s="43">
        <f>IF(H129="N/A","N/A",INDEX(CRIT_MATRIX,MATCH(O129,CRIT_MATRIX_ROWS,0),MATCH(APP_RISK_TIER,CRIT_MATRIX_COLS,0)))</f>
        <v/>
      </c>
    </row>
    <row r="130" ht="39.75" customHeight="1" s="19">
      <c r="A130" s="39" t="inlineStr">
        <is>
          <t>V6.3.8</t>
        </is>
      </c>
      <c r="B130" s="40" t="inlineStr">
        <is>
          <t>V6 - Authentication</t>
        </is>
      </c>
      <c r="C130" s="40" t="inlineStr">
        <is>
          <t>V6.3 - General Authentication Security</t>
        </is>
      </c>
      <c r="D130" s="39"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39" t="inlineStr">
        <is>
          <t>TRUE</t>
        </is>
      </c>
      <c r="H130" s="41">
        <f>IF(AND(TRUE(),D130&lt;=TARGET_LEVEL_NUM),"Applicable","N/A")</f>
        <v/>
      </c>
      <c r="I130" s="40" t="inlineStr">
        <is>
          <t>SAST + integration testing</t>
        </is>
      </c>
      <c r="J130" s="40" t="inlineStr">
        <is>
          <t>Deterministic, continuous</t>
        </is>
      </c>
      <c r="K130" s="39" t="inlineStr">
        <is>
          <t>Pipeline</t>
        </is>
      </c>
      <c r="L130" s="39" t="inlineStr">
        <is>
          <t>Not assessed</t>
        </is>
      </c>
      <c r="M130" s="40" t="n"/>
      <c r="N130" s="40" t="n"/>
      <c r="O130" s="42" t="inlineStr">
        <is>
          <t>High</t>
        </is>
      </c>
      <c r="P130" s="43">
        <f>IF(H130="N/A","N/A",INDEX(CRIT_MATRIX,MATCH(O130,CRIT_MATRIX_ROWS,0),MATCH(APP_RISK_TIER,CRIT_MATRIX_COLS,0)))</f>
        <v/>
      </c>
    </row>
    <row r="131" ht="39.75" customHeight="1" s="19">
      <c r="A131" s="39" t="inlineStr">
        <is>
          <t>V6.4.1</t>
        </is>
      </c>
      <c r="B131" s="40" t="inlineStr">
        <is>
          <t>V6 - Authentication</t>
        </is>
      </c>
      <c r="C131" s="40" t="inlineStr">
        <is>
          <t>V6.4 - Authentication Factor Lifecycle and Recovery</t>
        </is>
      </c>
      <c r="D131" s="39"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39" t="inlineStr">
        <is>
          <t>TRUE</t>
        </is>
      </c>
      <c r="H131" s="41">
        <f>IF(AND(TRUE(),D131&lt;=TARGET_LEVEL_NUM),"Applicable","N/A")</f>
        <v/>
      </c>
      <c r="I131" s="40" t="inlineStr">
        <is>
          <t>SAST + integration testing</t>
        </is>
      </c>
      <c r="J131" s="40" t="inlineStr">
        <is>
          <t>Deterministic, continuous</t>
        </is>
      </c>
      <c r="K131" s="39" t="inlineStr">
        <is>
          <t>Pipeline</t>
        </is>
      </c>
      <c r="L131" s="39" t="inlineStr">
        <is>
          <t>Not assessed</t>
        </is>
      </c>
      <c r="M131" s="40" t="n"/>
      <c r="N131" s="40" t="n"/>
      <c r="O131" s="42" t="inlineStr">
        <is>
          <t>High</t>
        </is>
      </c>
      <c r="P131" s="43">
        <f>IF(H131="N/A","N/A",INDEX(CRIT_MATRIX,MATCH(O131,CRIT_MATRIX_ROWS,0),MATCH(APP_RISK_TIER,CRIT_MATRIX_COLS,0)))</f>
        <v/>
      </c>
    </row>
    <row r="132" ht="39.75" customHeight="1" s="19">
      <c r="A132" s="39" t="inlineStr">
        <is>
          <t>V6.4.2</t>
        </is>
      </c>
      <c r="B132" s="40" t="inlineStr">
        <is>
          <t>V6 - Authentication</t>
        </is>
      </c>
      <c r="C132" s="40" t="inlineStr">
        <is>
          <t>V6.4 - Authentication Factor Lifecycle and Recovery</t>
        </is>
      </c>
      <c r="D132" s="39" t="n">
        <v>1</v>
      </c>
      <c r="E132" s="40" t="inlineStr">
        <is>
          <t>Verify that password hints or knowledge-based authentication (so-called "secret questions") are not present.</t>
        </is>
      </c>
      <c r="F132" s="40" t="inlineStr">
        <is>
          <t>Always</t>
        </is>
      </c>
      <c r="G132" s="39" t="inlineStr">
        <is>
          <t>TRUE</t>
        </is>
      </c>
      <c r="H132" s="41">
        <f>IF(AND(TRUE(),D132&lt;=TARGET_LEVEL_NUM),"Applicable","N/A")</f>
        <v/>
      </c>
      <c r="I132" s="40" t="inlineStr">
        <is>
          <t>SAST + integration testing</t>
        </is>
      </c>
      <c r="J132" s="40" t="inlineStr">
        <is>
          <t>Deterministic, continuous</t>
        </is>
      </c>
      <c r="K132" s="39" t="inlineStr">
        <is>
          <t>Pipeline</t>
        </is>
      </c>
      <c r="L132" s="39" t="inlineStr">
        <is>
          <t>Not assessed</t>
        </is>
      </c>
      <c r="M132" s="40" t="n"/>
      <c r="N132" s="40" t="n"/>
      <c r="O132" s="42" t="inlineStr">
        <is>
          <t>High</t>
        </is>
      </c>
      <c r="P132" s="43">
        <f>IF(H132="N/A","N/A",INDEX(CRIT_MATRIX,MATCH(O132,CRIT_MATRIX_ROWS,0),MATCH(APP_RISK_TIER,CRIT_MATRIX_COLS,0)))</f>
        <v/>
      </c>
    </row>
    <row r="133" ht="39.75" customHeight="1" s="19">
      <c r="A133" s="39" t="inlineStr">
        <is>
          <t>V6.4.3</t>
        </is>
      </c>
      <c r="B133" s="40" t="inlineStr">
        <is>
          <t>V6 - Authentication</t>
        </is>
      </c>
      <c r="C133" s="40" t="inlineStr">
        <is>
          <t>V6.4 - Authentication Factor Lifecycle and Recovery</t>
        </is>
      </c>
      <c r="D133" s="39" t="n">
        <v>2</v>
      </c>
      <c r="E133" s="40" t="inlineStr">
        <is>
          <t>Verify that a secure process for resetting a forgotten password is implemented, that does not bypass any enabled multi-factor authentication mechanisms.</t>
        </is>
      </c>
      <c r="F133" s="40" t="inlineStr">
        <is>
          <t>Always</t>
        </is>
      </c>
      <c r="G133" s="39" t="inlineStr">
        <is>
          <t>TRUE</t>
        </is>
      </c>
      <c r="H133" s="41">
        <f>IF(AND(TRUE(),D133&lt;=TARGET_LEVEL_NUM),"Applicable","N/A")</f>
        <v/>
      </c>
      <c r="I133" s="40" t="inlineStr">
        <is>
          <t>SAST + integration testing</t>
        </is>
      </c>
      <c r="J133" s="40" t="inlineStr">
        <is>
          <t>Deterministic, continuous</t>
        </is>
      </c>
      <c r="K133" s="39" t="inlineStr">
        <is>
          <t>Pipeline</t>
        </is>
      </c>
      <c r="L133" s="39" t="inlineStr">
        <is>
          <t>Not assessed</t>
        </is>
      </c>
      <c r="M133" s="40" t="n"/>
      <c r="N133" s="40" t="n"/>
      <c r="O133" s="42" t="inlineStr">
        <is>
          <t>High</t>
        </is>
      </c>
      <c r="P133" s="43">
        <f>IF(H133="N/A","N/A",INDEX(CRIT_MATRIX,MATCH(O133,CRIT_MATRIX_ROWS,0),MATCH(APP_RISK_TIER,CRIT_MATRIX_COLS,0)))</f>
        <v/>
      </c>
    </row>
    <row r="134" ht="39.75" customHeight="1" s="19">
      <c r="A134" s="39" t="inlineStr">
        <is>
          <t>V6.4.4</t>
        </is>
      </c>
      <c r="B134" s="40" t="inlineStr">
        <is>
          <t>V6 - Authentication</t>
        </is>
      </c>
      <c r="C134" s="40" t="inlineStr">
        <is>
          <t>V6.4 - Authentication Factor Lifecycle and Recovery</t>
        </is>
      </c>
      <c r="D134" s="39" t="n">
        <v>2</v>
      </c>
      <c r="E134" s="40" t="inlineStr">
        <is>
          <t>Verify that if a multi-factor authentication factor is lost, evidence of identity proofing is performed at the same level as during enrollment.</t>
        </is>
      </c>
      <c r="F134" s="40" t="inlineStr">
        <is>
          <t>Always</t>
        </is>
      </c>
      <c r="G134" s="39" t="inlineStr">
        <is>
          <t>TRUE</t>
        </is>
      </c>
      <c r="H134" s="41">
        <f>IF(AND(TRUE(),D134&lt;=TARGET_LEVEL_NUM),"Applicable","N/A")</f>
        <v/>
      </c>
      <c r="I134" s="40" t="inlineStr">
        <is>
          <t>SAST + integration testing</t>
        </is>
      </c>
      <c r="J134" s="40" t="inlineStr">
        <is>
          <t>Deterministic, continuous</t>
        </is>
      </c>
      <c r="K134" s="39" t="inlineStr">
        <is>
          <t>Pipeline</t>
        </is>
      </c>
      <c r="L134" s="39" t="inlineStr">
        <is>
          <t>Not assessed</t>
        </is>
      </c>
      <c r="M134" s="40" t="n"/>
      <c r="N134" s="40" t="n"/>
      <c r="O134" s="42" t="inlineStr">
        <is>
          <t>High</t>
        </is>
      </c>
      <c r="P134" s="43">
        <f>IF(H134="N/A","N/A",INDEX(CRIT_MATRIX,MATCH(O134,CRIT_MATRIX_ROWS,0),MATCH(APP_RISK_TIER,CRIT_MATRIX_COLS,0)))</f>
        <v/>
      </c>
    </row>
    <row r="135" ht="39.75" customHeight="1" s="19">
      <c r="A135" s="39" t="inlineStr">
        <is>
          <t>V6.4.5</t>
        </is>
      </c>
      <c r="B135" s="40" t="inlineStr">
        <is>
          <t>V6 - Authentication</t>
        </is>
      </c>
      <c r="C135" s="40" t="inlineStr">
        <is>
          <t>V6.4 - Authentication Factor Lifecycle and Recovery</t>
        </is>
      </c>
      <c r="D135" s="39"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39" t="inlineStr">
        <is>
          <t>TRUE</t>
        </is>
      </c>
      <c r="H135" s="41">
        <f>IF(AND(TRUE(),D135&lt;=TARGET_LEVEL_NUM),"Applicable","N/A")</f>
        <v/>
      </c>
      <c r="I135" s="40" t="inlineStr">
        <is>
          <t>SAST + integration testing</t>
        </is>
      </c>
      <c r="J135" s="40" t="inlineStr">
        <is>
          <t>Deterministic, continuous</t>
        </is>
      </c>
      <c r="K135" s="39" t="inlineStr">
        <is>
          <t>Pipeline</t>
        </is>
      </c>
      <c r="L135" s="39" t="inlineStr">
        <is>
          <t>Not assessed</t>
        </is>
      </c>
      <c r="M135" s="40" t="n"/>
      <c r="N135" s="40" t="n"/>
      <c r="O135" s="42" t="inlineStr">
        <is>
          <t>High</t>
        </is>
      </c>
      <c r="P135" s="43">
        <f>IF(H135="N/A","N/A",INDEX(CRIT_MATRIX,MATCH(O135,CRIT_MATRIX_ROWS,0),MATCH(APP_RISK_TIER,CRIT_MATRIX_COLS,0)))</f>
        <v/>
      </c>
    </row>
    <row r="136" ht="39.75" customHeight="1" s="19">
      <c r="A136" s="39" t="inlineStr">
        <is>
          <t>V6.4.6</t>
        </is>
      </c>
      <c r="B136" s="40" t="inlineStr">
        <is>
          <t>V6 - Authentication</t>
        </is>
      </c>
      <c r="C136" s="40" t="inlineStr">
        <is>
          <t>V6.4 - Authentication Factor Lifecycle and Recovery</t>
        </is>
      </c>
      <c r="D136" s="39"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39" t="inlineStr">
        <is>
          <t>TRUE</t>
        </is>
      </c>
      <c r="H136" s="41">
        <f>IF(AND(TRUE(),D136&lt;=TARGET_LEVEL_NUM),"Applicable","N/A")</f>
        <v/>
      </c>
      <c r="I136" s="40" t="inlineStr">
        <is>
          <t>SAST + integration testing</t>
        </is>
      </c>
      <c r="J136" s="40" t="inlineStr">
        <is>
          <t>Deterministic, continuous</t>
        </is>
      </c>
      <c r="K136" s="39" t="inlineStr">
        <is>
          <t>Pipeline</t>
        </is>
      </c>
      <c r="L136" s="39" t="inlineStr">
        <is>
          <t>Not assessed</t>
        </is>
      </c>
      <c r="M136" s="40" t="n"/>
      <c r="N136" s="40" t="n"/>
      <c r="O136" s="42" t="inlineStr">
        <is>
          <t>High</t>
        </is>
      </c>
      <c r="P136" s="43">
        <f>IF(H136="N/A","N/A",INDEX(CRIT_MATRIX,MATCH(O136,CRIT_MATRIX_ROWS,0),MATCH(APP_RISK_TIER,CRIT_MATRIX_COLS,0)))</f>
        <v/>
      </c>
    </row>
    <row r="137" ht="39.75" customHeight="1" s="19">
      <c r="A137" s="39" t="inlineStr">
        <is>
          <t>V6.5.1</t>
        </is>
      </c>
      <c r="B137" s="40" t="inlineStr">
        <is>
          <t>V6 - Authentication</t>
        </is>
      </c>
      <c r="C137" s="40" t="inlineStr">
        <is>
          <t>V6.5 - General Multi-factor authentication requirements</t>
        </is>
      </c>
      <c r="D137" s="39" t="n">
        <v>2</v>
      </c>
      <c r="E137" s="40" t="inlineStr">
        <is>
          <t>Verify that lookup secrets, out-of-band authentication requests or codes, and time-based one-time passwords (TOTPs) are only successfully usable once.</t>
        </is>
      </c>
      <c r="F137" s="40" t="inlineStr">
        <is>
          <t>Always</t>
        </is>
      </c>
      <c r="G137" s="39" t="inlineStr">
        <is>
          <t>TRUE</t>
        </is>
      </c>
      <c r="H137" s="41">
        <f>IF(AND(TRUE(),D137&lt;=TARGET_LEVEL_NUM),"Applicable","N/A")</f>
        <v/>
      </c>
      <c r="I137" s="40" t="inlineStr">
        <is>
          <t>SAST + integration testing</t>
        </is>
      </c>
      <c r="J137" s="40" t="inlineStr">
        <is>
          <t>Deterministic, continuous</t>
        </is>
      </c>
      <c r="K137" s="39" t="inlineStr">
        <is>
          <t>Pipeline</t>
        </is>
      </c>
      <c r="L137" s="39" t="inlineStr">
        <is>
          <t>Not assessed</t>
        </is>
      </c>
      <c r="M137" s="40" t="n"/>
      <c r="N137" s="40" t="n"/>
      <c r="O137" s="42" t="inlineStr">
        <is>
          <t>High</t>
        </is>
      </c>
      <c r="P137" s="43">
        <f>IF(H137="N/A","N/A",INDEX(CRIT_MATRIX,MATCH(O137,CRIT_MATRIX_ROWS,0),MATCH(APP_RISK_TIER,CRIT_MATRIX_COLS,0)))</f>
        <v/>
      </c>
    </row>
    <row r="138" ht="39.75" customHeight="1" s="19">
      <c r="A138" s="39" t="inlineStr">
        <is>
          <t>V6.5.2</t>
        </is>
      </c>
      <c r="B138" s="40" t="inlineStr">
        <is>
          <t>V6 - Authentication</t>
        </is>
      </c>
      <c r="C138" s="40" t="inlineStr">
        <is>
          <t>V6.5 - General Multi-factor authentication requirements</t>
        </is>
      </c>
      <c r="D138" s="39"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39" t="inlineStr">
        <is>
          <t>TRUE</t>
        </is>
      </c>
      <c r="H138" s="41">
        <f>IF(AND(TRUE(),D138&lt;=TARGET_LEVEL_NUM),"Applicable","N/A")</f>
        <v/>
      </c>
      <c r="I138" s="40" t="inlineStr">
        <is>
          <t>SAST + integration testing</t>
        </is>
      </c>
      <c r="J138" s="40" t="inlineStr">
        <is>
          <t>Deterministic, continuous</t>
        </is>
      </c>
      <c r="K138" s="39" t="inlineStr">
        <is>
          <t>Pipeline</t>
        </is>
      </c>
      <c r="L138" s="39" t="inlineStr">
        <is>
          <t>Not assessed</t>
        </is>
      </c>
      <c r="M138" s="40" t="n"/>
      <c r="N138" s="40" t="n"/>
      <c r="O138" s="42" t="inlineStr">
        <is>
          <t>High</t>
        </is>
      </c>
      <c r="P138" s="43">
        <f>IF(H138="N/A","N/A",INDEX(CRIT_MATRIX,MATCH(O138,CRIT_MATRIX_ROWS,0),MATCH(APP_RISK_TIER,CRIT_MATRIX_COLS,0)))</f>
        <v/>
      </c>
    </row>
    <row r="139" ht="39.75" customHeight="1" s="19">
      <c r="A139" s="39" t="inlineStr">
        <is>
          <t>V6.5.3</t>
        </is>
      </c>
      <c r="B139" s="40" t="inlineStr">
        <is>
          <t>V6 - Authentication</t>
        </is>
      </c>
      <c r="C139" s="40" t="inlineStr">
        <is>
          <t>V6.5 - General Multi-factor authentication requirements</t>
        </is>
      </c>
      <c r="D139" s="39"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39" t="inlineStr">
        <is>
          <t>TRUE</t>
        </is>
      </c>
      <c r="H139" s="41">
        <f>IF(AND(TRUE(),D139&lt;=TARGET_LEVEL_NUM),"Applicable","N/A")</f>
        <v/>
      </c>
      <c r="I139" s="40" t="inlineStr">
        <is>
          <t>SAST + integration testing</t>
        </is>
      </c>
      <c r="J139" s="40" t="inlineStr">
        <is>
          <t>Deterministic, continuous</t>
        </is>
      </c>
      <c r="K139" s="39" t="inlineStr">
        <is>
          <t>Pipeline</t>
        </is>
      </c>
      <c r="L139" s="39" t="inlineStr">
        <is>
          <t>Not assessed</t>
        </is>
      </c>
      <c r="M139" s="40" t="n"/>
      <c r="N139" s="40" t="n"/>
      <c r="O139" s="42" t="inlineStr">
        <is>
          <t>High</t>
        </is>
      </c>
      <c r="P139" s="43">
        <f>IF(H139="N/A","N/A",INDEX(CRIT_MATRIX,MATCH(O139,CRIT_MATRIX_ROWS,0),MATCH(APP_RISK_TIER,CRIT_MATRIX_COLS,0)))</f>
        <v/>
      </c>
    </row>
    <row r="140" ht="39.75" customHeight="1" s="19">
      <c r="A140" s="39" t="inlineStr">
        <is>
          <t>V6.5.4</t>
        </is>
      </c>
      <c r="B140" s="40" t="inlineStr">
        <is>
          <t>V6 - Authentication</t>
        </is>
      </c>
      <c r="C140" s="40" t="inlineStr">
        <is>
          <t>V6.5 - General Multi-factor authentication requirements</t>
        </is>
      </c>
      <c r="D140" s="39" t="n">
        <v>2</v>
      </c>
      <c r="E140" s="40" t="inlineStr">
        <is>
          <t>Verify that lookup secrets and out-of-band authentication codes have a minimum of 20 bits of entropy (typically 4 random alphanumeric characters or 6 random digits is sufficient).</t>
        </is>
      </c>
      <c r="F140" s="40" t="inlineStr">
        <is>
          <t>Always</t>
        </is>
      </c>
      <c r="G140" s="39" t="inlineStr">
        <is>
          <t>TRUE</t>
        </is>
      </c>
      <c r="H140" s="41">
        <f>IF(AND(TRUE(),D140&lt;=TARGET_LEVEL_NUM),"Applicable","N/A")</f>
        <v/>
      </c>
      <c r="I140" s="40" t="inlineStr">
        <is>
          <t>SAST + integration testing</t>
        </is>
      </c>
      <c r="J140" s="40" t="inlineStr">
        <is>
          <t>Deterministic, continuous</t>
        </is>
      </c>
      <c r="K140" s="39" t="inlineStr">
        <is>
          <t>Pipeline</t>
        </is>
      </c>
      <c r="L140" s="39" t="inlineStr">
        <is>
          <t>Not assessed</t>
        </is>
      </c>
      <c r="M140" s="40" t="n"/>
      <c r="N140" s="40" t="n"/>
      <c r="O140" s="42" t="inlineStr">
        <is>
          <t>High</t>
        </is>
      </c>
      <c r="P140" s="43">
        <f>IF(H140="N/A","N/A",INDEX(CRIT_MATRIX,MATCH(O140,CRIT_MATRIX_ROWS,0),MATCH(APP_RISK_TIER,CRIT_MATRIX_COLS,0)))</f>
        <v/>
      </c>
    </row>
    <row r="141" ht="39.75" customHeight="1" s="19">
      <c r="A141" s="39" t="inlineStr">
        <is>
          <t>V6.5.5</t>
        </is>
      </c>
      <c r="B141" s="40" t="inlineStr">
        <is>
          <t>V6 - Authentication</t>
        </is>
      </c>
      <c r="C141" s="40" t="inlineStr">
        <is>
          <t>V6.5 - General Multi-factor authentication requirements</t>
        </is>
      </c>
      <c r="D141" s="39"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39" t="inlineStr">
        <is>
          <t>TRUE</t>
        </is>
      </c>
      <c r="H141" s="41">
        <f>IF(AND(TRUE(),D141&lt;=TARGET_LEVEL_NUM),"Applicable","N/A")</f>
        <v/>
      </c>
      <c r="I141" s="40" t="inlineStr">
        <is>
          <t>SAST + integration testing</t>
        </is>
      </c>
      <c r="J141" s="40" t="inlineStr">
        <is>
          <t>Deterministic, continuous</t>
        </is>
      </c>
      <c r="K141" s="39" t="inlineStr">
        <is>
          <t>Pipeline</t>
        </is>
      </c>
      <c r="L141" s="39" t="inlineStr">
        <is>
          <t>Not assessed</t>
        </is>
      </c>
      <c r="M141" s="40" t="n"/>
      <c r="N141" s="40" t="n"/>
      <c r="O141" s="42" t="inlineStr">
        <is>
          <t>High</t>
        </is>
      </c>
      <c r="P141" s="43">
        <f>IF(H141="N/A","N/A",INDEX(CRIT_MATRIX,MATCH(O141,CRIT_MATRIX_ROWS,0),MATCH(APP_RISK_TIER,CRIT_MATRIX_COLS,0)))</f>
        <v/>
      </c>
    </row>
    <row r="142" ht="39.75" customHeight="1" s="19">
      <c r="A142" s="39" t="inlineStr">
        <is>
          <t>V6.5.6</t>
        </is>
      </c>
      <c r="B142" s="40" t="inlineStr">
        <is>
          <t>V6 - Authentication</t>
        </is>
      </c>
      <c r="C142" s="40" t="inlineStr">
        <is>
          <t>V6.5 - General Multi-factor authentication requirements</t>
        </is>
      </c>
      <c r="D142" s="39" t="n">
        <v>3</v>
      </c>
      <c r="E142" s="40" t="inlineStr">
        <is>
          <t>Verify that any authentication factor (including physical devices) can be revoked in case of theft or other loss.</t>
        </is>
      </c>
      <c r="F142" s="40" t="inlineStr">
        <is>
          <t>Always</t>
        </is>
      </c>
      <c r="G142" s="39" t="inlineStr">
        <is>
          <t>TRUE</t>
        </is>
      </c>
      <c r="H142" s="41">
        <f>IF(AND(TRUE(),D142&lt;=TARGET_LEVEL_NUM),"Applicable","N/A")</f>
        <v/>
      </c>
      <c r="I142" s="40" t="inlineStr">
        <is>
          <t>SAST + integration testing</t>
        </is>
      </c>
      <c r="J142" s="40" t="inlineStr">
        <is>
          <t>Deterministic, continuous</t>
        </is>
      </c>
      <c r="K142" s="39" t="inlineStr">
        <is>
          <t>Pipeline</t>
        </is>
      </c>
      <c r="L142" s="39" t="inlineStr">
        <is>
          <t>Not assessed</t>
        </is>
      </c>
      <c r="M142" s="40" t="n"/>
      <c r="N142" s="40" t="n"/>
      <c r="O142" s="42" t="inlineStr">
        <is>
          <t>High</t>
        </is>
      </c>
      <c r="P142" s="43">
        <f>IF(H142="N/A","N/A",INDEX(CRIT_MATRIX,MATCH(O142,CRIT_MATRIX_ROWS,0),MATCH(APP_RISK_TIER,CRIT_MATRIX_COLS,0)))</f>
        <v/>
      </c>
    </row>
    <row r="143" ht="39.75" customHeight="1" s="19">
      <c r="A143" s="39" t="inlineStr">
        <is>
          <t>V6.5.7</t>
        </is>
      </c>
      <c r="B143" s="40" t="inlineStr">
        <is>
          <t>V6 - Authentication</t>
        </is>
      </c>
      <c r="C143" s="40" t="inlineStr">
        <is>
          <t>V6.5 - General Multi-factor authentication requirements</t>
        </is>
      </c>
      <c r="D143" s="39" t="n">
        <v>3</v>
      </c>
      <c r="E143" s="40" t="inlineStr">
        <is>
          <t>Verify that biometric authentication mechanisms are only used as secondary factors together with either something you have or something you know.</t>
        </is>
      </c>
      <c r="F143" s="40" t="inlineStr">
        <is>
          <t>Always</t>
        </is>
      </c>
      <c r="G143" s="39" t="inlineStr">
        <is>
          <t>TRUE</t>
        </is>
      </c>
      <c r="H143" s="41">
        <f>IF(AND(TRUE(),D143&lt;=TARGET_LEVEL_NUM),"Applicable","N/A")</f>
        <v/>
      </c>
      <c r="I143" s="40" t="inlineStr">
        <is>
          <t>SAST + integration testing</t>
        </is>
      </c>
      <c r="J143" s="40" t="inlineStr">
        <is>
          <t>Deterministic, continuous</t>
        </is>
      </c>
      <c r="K143" s="39" t="inlineStr">
        <is>
          <t>Pipeline</t>
        </is>
      </c>
      <c r="L143" s="39" t="inlineStr">
        <is>
          <t>Not assessed</t>
        </is>
      </c>
      <c r="M143" s="40" t="n"/>
      <c r="N143" s="40" t="n"/>
      <c r="O143" s="42" t="inlineStr">
        <is>
          <t>High</t>
        </is>
      </c>
      <c r="P143" s="43">
        <f>IF(H143="N/A","N/A",INDEX(CRIT_MATRIX,MATCH(O143,CRIT_MATRIX_ROWS,0),MATCH(APP_RISK_TIER,CRIT_MATRIX_COLS,0)))</f>
        <v/>
      </c>
    </row>
    <row r="144" ht="39.75" customHeight="1" s="19">
      <c r="A144" s="39" t="inlineStr">
        <is>
          <t>V6.5.8</t>
        </is>
      </c>
      <c r="B144" s="40" t="inlineStr">
        <is>
          <t>V6 - Authentication</t>
        </is>
      </c>
      <c r="C144" s="40" t="inlineStr">
        <is>
          <t>V6.5 - General Multi-factor authentication requirements</t>
        </is>
      </c>
      <c r="D144" s="39" t="n">
        <v>3</v>
      </c>
      <c r="E144" s="40" t="inlineStr">
        <is>
          <t>Verify that time-based one-time passwords (TOTPs) are checked based on a time source from a trusted service and not from an untrusted or client provided time.</t>
        </is>
      </c>
      <c r="F144" s="40" t="inlineStr">
        <is>
          <t>Always</t>
        </is>
      </c>
      <c r="G144" s="39" t="inlineStr">
        <is>
          <t>TRUE</t>
        </is>
      </c>
      <c r="H144" s="41">
        <f>IF(AND(TRUE(),D144&lt;=TARGET_LEVEL_NUM),"Applicable","N/A")</f>
        <v/>
      </c>
      <c r="I144" s="40" t="inlineStr">
        <is>
          <t>SAST + integration testing</t>
        </is>
      </c>
      <c r="J144" s="40" t="inlineStr">
        <is>
          <t>Deterministic, continuous</t>
        </is>
      </c>
      <c r="K144" s="39" t="inlineStr">
        <is>
          <t>Pipeline</t>
        </is>
      </c>
      <c r="L144" s="39" t="inlineStr">
        <is>
          <t>Not assessed</t>
        </is>
      </c>
      <c r="M144" s="40" t="n"/>
      <c r="N144" s="40" t="n"/>
      <c r="O144" s="42" t="inlineStr">
        <is>
          <t>High</t>
        </is>
      </c>
      <c r="P144" s="43">
        <f>IF(H144="N/A","N/A",INDEX(CRIT_MATRIX,MATCH(O144,CRIT_MATRIX_ROWS,0),MATCH(APP_RISK_TIER,CRIT_MATRIX_COLS,0)))</f>
        <v/>
      </c>
    </row>
    <row r="145" ht="39.75" customHeight="1" s="19">
      <c r="A145" s="39" t="inlineStr">
        <is>
          <t>V6.6.1</t>
        </is>
      </c>
      <c r="B145" s="40" t="inlineStr">
        <is>
          <t>V6 - Authentication</t>
        </is>
      </c>
      <c r="C145" s="40" t="inlineStr">
        <is>
          <t>V6.6 - Out-of-Band authentication mechanisms</t>
        </is>
      </c>
      <c r="D145" s="39"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39" t="inlineStr">
        <is>
          <t>TRUE</t>
        </is>
      </c>
      <c r="H145" s="41">
        <f>IF(AND(TRUE(),D145&lt;=TARGET_LEVEL_NUM),"Applicable","N/A")</f>
        <v/>
      </c>
      <c r="I145" s="40" t="inlineStr">
        <is>
          <t>SAST + integration testing</t>
        </is>
      </c>
      <c r="J145" s="40" t="inlineStr">
        <is>
          <t>Deterministic, continuous</t>
        </is>
      </c>
      <c r="K145" s="39" t="inlineStr">
        <is>
          <t>Pipeline</t>
        </is>
      </c>
      <c r="L145" s="39" t="inlineStr">
        <is>
          <t>Not assessed</t>
        </is>
      </c>
      <c r="M145" s="40" t="n"/>
      <c r="N145" s="40" t="n"/>
      <c r="O145" s="42" t="inlineStr">
        <is>
          <t>High</t>
        </is>
      </c>
      <c r="P145" s="43">
        <f>IF(H145="N/A","N/A",INDEX(CRIT_MATRIX,MATCH(O145,CRIT_MATRIX_ROWS,0),MATCH(APP_RISK_TIER,CRIT_MATRIX_COLS,0)))</f>
        <v/>
      </c>
    </row>
    <row r="146" ht="39.75" customHeight="1" s="19">
      <c r="A146" s="39" t="inlineStr">
        <is>
          <t>V6.6.2</t>
        </is>
      </c>
      <c r="B146" s="40" t="inlineStr">
        <is>
          <t>V6 - Authentication</t>
        </is>
      </c>
      <c r="C146" s="40" t="inlineStr">
        <is>
          <t>V6.6 - Out-of-Band authentication mechanisms</t>
        </is>
      </c>
      <c r="D146" s="39"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39" t="inlineStr">
        <is>
          <t>TRUE</t>
        </is>
      </c>
      <c r="H146" s="41">
        <f>IF(AND(TRUE(),D146&lt;=TARGET_LEVEL_NUM),"Applicable","N/A")</f>
        <v/>
      </c>
      <c r="I146" s="40" t="inlineStr">
        <is>
          <t>SAST + integration testing</t>
        </is>
      </c>
      <c r="J146" s="40" t="inlineStr">
        <is>
          <t>Deterministic, continuous</t>
        </is>
      </c>
      <c r="K146" s="39" t="inlineStr">
        <is>
          <t>Pipeline</t>
        </is>
      </c>
      <c r="L146" s="39" t="inlineStr">
        <is>
          <t>Not assessed</t>
        </is>
      </c>
      <c r="M146" s="40" t="n"/>
      <c r="N146" s="40" t="n"/>
      <c r="O146" s="42" t="inlineStr">
        <is>
          <t>High</t>
        </is>
      </c>
      <c r="P146" s="43">
        <f>IF(H146="N/A","N/A",INDEX(CRIT_MATRIX,MATCH(O146,CRIT_MATRIX_ROWS,0),MATCH(APP_RISK_TIER,CRIT_MATRIX_COLS,0)))</f>
        <v/>
      </c>
    </row>
    <row r="147" ht="39.75" customHeight="1" s="19">
      <c r="A147" s="39" t="inlineStr">
        <is>
          <t>V6.6.3</t>
        </is>
      </c>
      <c r="B147" s="40" t="inlineStr">
        <is>
          <t>V6 - Authentication</t>
        </is>
      </c>
      <c r="C147" s="40" t="inlineStr">
        <is>
          <t>V6.6 - Out-of-Band authentication mechanisms</t>
        </is>
      </c>
      <c r="D147" s="39" t="n">
        <v>2</v>
      </c>
      <c r="E147" s="40" t="inlineStr">
        <is>
          <t>Verify that a code based out-of-band authentication mechanism is protected against brute force attacks by using rate limiting. Consider also using a code with at least 64 bits of entropy.</t>
        </is>
      </c>
      <c r="F147" s="40" t="inlineStr">
        <is>
          <t>Always</t>
        </is>
      </c>
      <c r="G147" s="39" t="inlineStr">
        <is>
          <t>TRUE</t>
        </is>
      </c>
      <c r="H147" s="41">
        <f>IF(AND(TRUE(),D147&lt;=TARGET_LEVEL_NUM),"Applicable","N/A")</f>
        <v/>
      </c>
      <c r="I147" s="40" t="inlineStr">
        <is>
          <t>SAST + integration testing</t>
        </is>
      </c>
      <c r="J147" s="40" t="inlineStr">
        <is>
          <t>Deterministic, continuous</t>
        </is>
      </c>
      <c r="K147" s="39" t="inlineStr">
        <is>
          <t>Pipeline</t>
        </is>
      </c>
      <c r="L147" s="39" t="inlineStr">
        <is>
          <t>Not assessed</t>
        </is>
      </c>
      <c r="M147" s="40" t="n"/>
      <c r="N147" s="40" t="n"/>
      <c r="O147" s="42" t="inlineStr">
        <is>
          <t>High</t>
        </is>
      </c>
      <c r="P147" s="43">
        <f>IF(H147="N/A","N/A",INDEX(CRIT_MATRIX,MATCH(O147,CRIT_MATRIX_ROWS,0),MATCH(APP_RISK_TIER,CRIT_MATRIX_COLS,0)))</f>
        <v/>
      </c>
    </row>
    <row r="148" ht="39.75" customHeight="1" s="19">
      <c r="A148" s="39" t="inlineStr">
        <is>
          <t>V6.6.4</t>
        </is>
      </c>
      <c r="B148" s="40" t="inlineStr">
        <is>
          <t>V6 - Authentication</t>
        </is>
      </c>
      <c r="C148" s="40" t="inlineStr">
        <is>
          <t>V6.6 - Out-of-Band authentication mechanisms</t>
        </is>
      </c>
      <c r="D148" s="39" t="n">
        <v>3</v>
      </c>
      <c r="E148" s="40" t="inlineStr">
        <is>
          <t>Verify that, where push notifications are used for multi-factor authentication, rate limiting is used to prevent push bombing attacks. Number matching may also mitigate this risk.</t>
        </is>
      </c>
      <c r="F148" s="40" t="inlineStr">
        <is>
          <t>Always</t>
        </is>
      </c>
      <c r="G148" s="39" t="inlineStr">
        <is>
          <t>TRUE</t>
        </is>
      </c>
      <c r="H148" s="41">
        <f>IF(AND(TRUE(),D148&lt;=TARGET_LEVEL_NUM),"Applicable","N/A")</f>
        <v/>
      </c>
      <c r="I148" s="40" t="inlineStr">
        <is>
          <t>SAST + integration testing</t>
        </is>
      </c>
      <c r="J148" s="40" t="inlineStr">
        <is>
          <t>Deterministic, continuous</t>
        </is>
      </c>
      <c r="K148" s="39" t="inlineStr">
        <is>
          <t>Pipeline</t>
        </is>
      </c>
      <c r="L148" s="39" t="inlineStr">
        <is>
          <t>Not assessed</t>
        </is>
      </c>
      <c r="M148" s="40" t="n"/>
      <c r="N148" s="40" t="n"/>
      <c r="O148" s="42" t="inlineStr">
        <is>
          <t>High</t>
        </is>
      </c>
      <c r="P148" s="43">
        <f>IF(H148="N/A","N/A",INDEX(CRIT_MATRIX,MATCH(O148,CRIT_MATRIX_ROWS,0),MATCH(APP_RISK_TIER,CRIT_MATRIX_COLS,0)))</f>
        <v/>
      </c>
    </row>
    <row r="149" ht="39.75" customHeight="1" s="19">
      <c r="A149" s="39" t="inlineStr">
        <is>
          <t>V6.7.1</t>
        </is>
      </c>
      <c r="B149" s="40" t="inlineStr">
        <is>
          <t>V6 - Authentication</t>
        </is>
      </c>
      <c r="C149" s="40" t="inlineStr">
        <is>
          <t>V6.7 - Cryptographic authentication mechanism</t>
        </is>
      </c>
      <c r="D149" s="39" t="n">
        <v>3</v>
      </c>
      <c r="E149" s="40" t="inlineStr">
        <is>
          <t>Verify that the certificates used to verify cryptographic authentication assertions are stored in a way protects them from modification.</t>
        </is>
      </c>
      <c r="F149" s="40" t="inlineStr">
        <is>
          <t>Always</t>
        </is>
      </c>
      <c r="G149" s="39" t="inlineStr">
        <is>
          <t>TRUE</t>
        </is>
      </c>
      <c r="H149" s="41">
        <f>IF(AND(TRUE(),D149&lt;=TARGET_LEVEL_NUM),"Applicable","N/A")</f>
        <v/>
      </c>
      <c r="I149" s="40" t="inlineStr">
        <is>
          <t>SAST + integration testing</t>
        </is>
      </c>
      <c r="J149" s="40" t="inlineStr">
        <is>
          <t>Deterministic, continuous</t>
        </is>
      </c>
      <c r="K149" s="39" t="inlineStr">
        <is>
          <t>Pipeline</t>
        </is>
      </c>
      <c r="L149" s="39" t="inlineStr">
        <is>
          <t>Not assessed</t>
        </is>
      </c>
      <c r="M149" s="40" t="n"/>
      <c r="N149" s="40" t="n"/>
      <c r="O149" s="42" t="inlineStr">
        <is>
          <t>High</t>
        </is>
      </c>
      <c r="P149" s="43">
        <f>IF(H149="N/A","N/A",INDEX(CRIT_MATRIX,MATCH(O149,CRIT_MATRIX_ROWS,0),MATCH(APP_RISK_TIER,CRIT_MATRIX_COLS,0)))</f>
        <v/>
      </c>
    </row>
    <row r="150" ht="39.75" customHeight="1" s="19">
      <c r="A150" s="39" t="inlineStr">
        <is>
          <t>V6.7.2</t>
        </is>
      </c>
      <c r="B150" s="40" t="inlineStr">
        <is>
          <t>V6 - Authentication</t>
        </is>
      </c>
      <c r="C150" s="40" t="inlineStr">
        <is>
          <t>V6.7 - Cryptographic authentication mechanism</t>
        </is>
      </c>
      <c r="D150" s="39" t="n">
        <v>3</v>
      </c>
      <c r="E150" s="40" t="inlineStr">
        <is>
          <t>Verify that the challenge nonce is at least 64 bits in length, and statistically unique or unique over the lifetime of the cryptographic device.</t>
        </is>
      </c>
      <c r="F150" s="40" t="inlineStr">
        <is>
          <t>Always</t>
        </is>
      </c>
      <c r="G150" s="39" t="inlineStr">
        <is>
          <t>TRUE</t>
        </is>
      </c>
      <c r="H150" s="41">
        <f>IF(AND(TRUE(),D150&lt;=TARGET_LEVEL_NUM),"Applicable","N/A")</f>
        <v/>
      </c>
      <c r="I150" s="40" t="inlineStr">
        <is>
          <t>SAST + integration testing</t>
        </is>
      </c>
      <c r="J150" s="40" t="inlineStr">
        <is>
          <t>Deterministic, continuous</t>
        </is>
      </c>
      <c r="K150" s="39" t="inlineStr">
        <is>
          <t>Pipeline</t>
        </is>
      </c>
      <c r="L150" s="39" t="inlineStr">
        <is>
          <t>Not assessed</t>
        </is>
      </c>
      <c r="M150" s="40" t="n"/>
      <c r="N150" s="40" t="n"/>
      <c r="O150" s="42" t="inlineStr">
        <is>
          <t>High</t>
        </is>
      </c>
      <c r="P150" s="43">
        <f>IF(H150="N/A","N/A",INDEX(CRIT_MATRIX,MATCH(O150,CRIT_MATRIX_ROWS,0),MATCH(APP_RISK_TIER,CRIT_MATRIX_COLS,0)))</f>
        <v/>
      </c>
    </row>
    <row r="151" ht="39.75" customHeight="1" s="19">
      <c r="A151" s="39" t="inlineStr">
        <is>
          <t>V6.8.1</t>
        </is>
      </c>
      <c r="B151" s="40" t="inlineStr">
        <is>
          <t>V6 - Authentication</t>
        </is>
      </c>
      <c r="C151" s="40" t="inlineStr">
        <is>
          <t>V6.8 - Authentication with an Identity Provider</t>
        </is>
      </c>
      <c r="D151" s="39"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39" t="inlineStr">
        <is>
          <t>TRUE</t>
        </is>
      </c>
      <c r="H151" s="41">
        <f>IF(AND(TRUE(),D151&lt;=TARGET_LEVEL_NUM),"Applicable","N/A")</f>
        <v/>
      </c>
      <c r="I151" s="40" t="inlineStr">
        <is>
          <t>SAST + integration testing</t>
        </is>
      </c>
      <c r="J151" s="40" t="inlineStr">
        <is>
          <t>Deterministic, continuous</t>
        </is>
      </c>
      <c r="K151" s="39" t="inlineStr">
        <is>
          <t>Pipeline</t>
        </is>
      </c>
      <c r="L151" s="39" t="inlineStr">
        <is>
          <t>Not assessed</t>
        </is>
      </c>
      <c r="M151" s="40" t="n"/>
      <c r="N151" s="40" t="n"/>
      <c r="O151" s="42" t="inlineStr">
        <is>
          <t>High</t>
        </is>
      </c>
      <c r="P151" s="43">
        <f>IF(H151="N/A","N/A",INDEX(CRIT_MATRIX,MATCH(O151,CRIT_MATRIX_ROWS,0),MATCH(APP_RISK_TIER,CRIT_MATRIX_COLS,0)))</f>
        <v/>
      </c>
    </row>
    <row r="152" ht="39.75" customHeight="1" s="19">
      <c r="A152" s="39" t="inlineStr">
        <is>
          <t>V6.8.2</t>
        </is>
      </c>
      <c r="B152" s="40" t="inlineStr">
        <is>
          <t>V6 - Authentication</t>
        </is>
      </c>
      <c r="C152" s="40" t="inlineStr">
        <is>
          <t>V6.8 - Authentication with an Identity Provider</t>
        </is>
      </c>
      <c r="D152" s="39"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39" t="inlineStr">
        <is>
          <t>TRUE</t>
        </is>
      </c>
      <c r="H152" s="41">
        <f>IF(AND(TRUE(),D152&lt;=TARGET_LEVEL_NUM),"Applicable","N/A")</f>
        <v/>
      </c>
      <c r="I152" s="40" t="inlineStr">
        <is>
          <t>SAST + integration testing</t>
        </is>
      </c>
      <c r="J152" s="40" t="inlineStr">
        <is>
          <t>Deterministic, continuous</t>
        </is>
      </c>
      <c r="K152" s="39" t="inlineStr">
        <is>
          <t>Pipeline</t>
        </is>
      </c>
      <c r="L152" s="39" t="inlineStr">
        <is>
          <t>Not assessed</t>
        </is>
      </c>
      <c r="M152" s="40" t="n"/>
      <c r="N152" s="40" t="n"/>
      <c r="O152" s="42" t="inlineStr">
        <is>
          <t>High</t>
        </is>
      </c>
      <c r="P152" s="43">
        <f>IF(H152="N/A","N/A",INDEX(CRIT_MATRIX,MATCH(O152,CRIT_MATRIX_ROWS,0),MATCH(APP_RISK_TIER,CRIT_MATRIX_COLS,0)))</f>
        <v/>
      </c>
    </row>
    <row r="153" ht="39.75" customHeight="1" s="19">
      <c r="A153" s="39" t="inlineStr">
        <is>
          <t>V6.8.3</t>
        </is>
      </c>
      <c r="B153" s="40" t="inlineStr">
        <is>
          <t>V6 - Authentication</t>
        </is>
      </c>
      <c r="C153" s="40" t="inlineStr">
        <is>
          <t>V6.8 - Authentication with an Identity Provider</t>
        </is>
      </c>
      <c r="D153" s="39" t="n">
        <v>2</v>
      </c>
      <c r="E153" s="40" t="inlineStr">
        <is>
          <t>Verify that SAML assertions are uniquely processed and used only once within the validity period to prevent replay attacks.</t>
        </is>
      </c>
      <c r="F153" s="40" t="inlineStr">
        <is>
          <t>Always</t>
        </is>
      </c>
      <c r="G153" s="39" t="inlineStr">
        <is>
          <t>TRUE</t>
        </is>
      </c>
      <c r="H153" s="41">
        <f>IF(AND(TRUE(),D153&lt;=TARGET_LEVEL_NUM),"Applicable","N/A")</f>
        <v/>
      </c>
      <c r="I153" s="40" t="inlineStr">
        <is>
          <t>SAST + integration testing</t>
        </is>
      </c>
      <c r="J153" s="40" t="inlineStr">
        <is>
          <t>Deterministic, continuous</t>
        </is>
      </c>
      <c r="K153" s="39" t="inlineStr">
        <is>
          <t>Pipeline</t>
        </is>
      </c>
      <c r="L153" s="39" t="inlineStr">
        <is>
          <t>Not assessed</t>
        </is>
      </c>
      <c r="M153" s="40" t="n"/>
      <c r="N153" s="40" t="n"/>
      <c r="O153" s="42" t="inlineStr">
        <is>
          <t>High</t>
        </is>
      </c>
      <c r="P153" s="43">
        <f>IF(H153="N/A","N/A",INDEX(CRIT_MATRIX,MATCH(O153,CRIT_MATRIX_ROWS,0),MATCH(APP_RISK_TIER,CRIT_MATRIX_COLS,0)))</f>
        <v/>
      </c>
    </row>
    <row r="154" ht="39.75" customHeight="1" s="19">
      <c r="A154" s="39" t="inlineStr">
        <is>
          <t>V6.8.4</t>
        </is>
      </c>
      <c r="B154" s="40" t="inlineStr">
        <is>
          <t>V6 - Authentication</t>
        </is>
      </c>
      <c r="C154" s="40" t="inlineStr">
        <is>
          <t>V6.8 - Authentication with an Identity Provider</t>
        </is>
      </c>
      <c r="D154" s="39"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39" t="inlineStr">
        <is>
          <t>TRUE</t>
        </is>
      </c>
      <c r="H154" s="41">
        <f>IF(AND(TRUE(),D154&lt;=TARGET_LEVEL_NUM),"Applicable","N/A")</f>
        <v/>
      </c>
      <c r="I154" s="40" t="inlineStr">
        <is>
          <t>SAST + integration testing</t>
        </is>
      </c>
      <c r="J154" s="40" t="inlineStr">
        <is>
          <t>Deterministic, continuous</t>
        </is>
      </c>
      <c r="K154" s="39" t="inlineStr">
        <is>
          <t>Pipeline</t>
        </is>
      </c>
      <c r="L154" s="39" t="inlineStr">
        <is>
          <t>Not assessed</t>
        </is>
      </c>
      <c r="M154" s="40" t="n"/>
      <c r="N154" s="40" t="n"/>
      <c r="O154" s="42" t="inlineStr">
        <is>
          <t>High</t>
        </is>
      </c>
      <c r="P154" s="43">
        <f>IF(H154="N/A","N/A",INDEX(CRIT_MATRIX,MATCH(O154,CRIT_MATRIX_ROWS,0),MATCH(APP_RISK_TIER,CRIT_MATRIX_COLS,0)))</f>
        <v/>
      </c>
    </row>
    <row r="155" ht="39.75" customHeight="1" s="19">
      <c r="A155" s="39" t="inlineStr">
        <is>
          <t>V7.1.1</t>
        </is>
      </c>
      <c r="B155" s="40" t="inlineStr">
        <is>
          <t>V7 - Session Management</t>
        </is>
      </c>
      <c r="C155" s="40" t="inlineStr">
        <is>
          <t>V7.1 - Session Management Documentation</t>
        </is>
      </c>
      <c r="D155" s="39"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39" t="inlineStr">
        <is>
          <t>SESSION_STATEFUL="Yes"</t>
        </is>
      </c>
      <c r="H155" s="41">
        <f>IF(AND(SESSION_STATEFUL="Yes",D155&lt;=TARGET_LEVEL_NUM),"Applicable","N/A")</f>
        <v/>
      </c>
      <c r="I155" s="40" t="inlineStr">
        <is>
          <t>Architecture / documentation review</t>
        </is>
      </c>
      <c r="J155" s="40" t="inlineStr">
        <is>
          <t>Sampled, periodic</t>
        </is>
      </c>
      <c r="K155" s="39" t="inlineStr">
        <is>
          <t>Design/Governance</t>
        </is>
      </c>
      <c r="L155" s="39" t="inlineStr">
        <is>
          <t>Not assessed</t>
        </is>
      </c>
      <c r="M155" s="40" t="n"/>
      <c r="N155" s="40" t="n"/>
      <c r="O155" s="42" t="inlineStr">
        <is>
          <t>High</t>
        </is>
      </c>
      <c r="P155" s="43">
        <f>IF(H155="N/A","N/A",INDEX(CRIT_MATRIX,MATCH(O155,CRIT_MATRIX_ROWS,0),MATCH(APP_RISK_TIER,CRIT_MATRIX_COLS,0)))</f>
        <v/>
      </c>
    </row>
    <row r="156" ht="39.75" customHeight="1" s="19">
      <c r="A156" s="39" t="inlineStr">
        <is>
          <t>V7.1.2</t>
        </is>
      </c>
      <c r="B156" s="40" t="inlineStr">
        <is>
          <t>V7 - Session Management</t>
        </is>
      </c>
      <c r="C156" s="40" t="inlineStr">
        <is>
          <t>V7.1 - Session Management Documentation</t>
        </is>
      </c>
      <c r="D156" s="39"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39" t="inlineStr">
        <is>
          <t>SESSION_STATEFUL="Yes"</t>
        </is>
      </c>
      <c r="H156" s="41">
        <f>IF(AND(SESSION_STATEFUL="Yes",D156&lt;=TARGET_LEVEL_NUM),"Applicable","N/A")</f>
        <v/>
      </c>
      <c r="I156" s="40" t="inlineStr">
        <is>
          <t>Architecture / documentation review</t>
        </is>
      </c>
      <c r="J156" s="40" t="inlineStr">
        <is>
          <t>Sampled, periodic</t>
        </is>
      </c>
      <c r="K156" s="39" t="inlineStr">
        <is>
          <t>Design/Governance</t>
        </is>
      </c>
      <c r="L156" s="39" t="inlineStr">
        <is>
          <t>Not assessed</t>
        </is>
      </c>
      <c r="M156" s="40" t="n"/>
      <c r="N156" s="40" t="n"/>
      <c r="O156" s="42" t="inlineStr">
        <is>
          <t>High</t>
        </is>
      </c>
      <c r="P156" s="43">
        <f>IF(H156="N/A","N/A",INDEX(CRIT_MATRIX,MATCH(O156,CRIT_MATRIX_ROWS,0),MATCH(APP_RISK_TIER,CRIT_MATRIX_COLS,0)))</f>
        <v/>
      </c>
    </row>
    <row r="157" ht="39.75" customHeight="1" s="19">
      <c r="A157" s="39" t="inlineStr">
        <is>
          <t>V7.1.3</t>
        </is>
      </c>
      <c r="B157" s="40" t="inlineStr">
        <is>
          <t>V7 - Session Management</t>
        </is>
      </c>
      <c r="C157" s="40" t="inlineStr">
        <is>
          <t>V7.1 - Session Management Documentation</t>
        </is>
      </c>
      <c r="D157" s="39"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39" t="inlineStr">
        <is>
          <t>SESSION_STATEFUL="Yes"</t>
        </is>
      </c>
      <c r="H157" s="41">
        <f>IF(AND(SESSION_STATEFUL="Yes",D157&lt;=TARGET_LEVEL_NUM),"Applicable","N/A")</f>
        <v/>
      </c>
      <c r="I157" s="40" t="inlineStr">
        <is>
          <t>Architecture / documentation review</t>
        </is>
      </c>
      <c r="J157" s="40" t="inlineStr">
        <is>
          <t>Sampled, periodic</t>
        </is>
      </c>
      <c r="K157" s="39" t="inlineStr">
        <is>
          <t>Design/Governance</t>
        </is>
      </c>
      <c r="L157" s="39" t="inlineStr">
        <is>
          <t>Not assessed</t>
        </is>
      </c>
      <c r="M157" s="40" t="n"/>
      <c r="N157" s="40" t="n"/>
      <c r="O157" s="42" t="inlineStr">
        <is>
          <t>High</t>
        </is>
      </c>
      <c r="P157" s="43">
        <f>IF(H157="N/A","N/A",INDEX(CRIT_MATRIX,MATCH(O157,CRIT_MATRIX_ROWS,0),MATCH(APP_RISK_TIER,CRIT_MATRIX_COLS,0)))</f>
        <v/>
      </c>
    </row>
    <row r="158" ht="39.75" customHeight="1" s="19">
      <c r="A158" s="39" t="inlineStr">
        <is>
          <t>V7.2.1</t>
        </is>
      </c>
      <c r="B158" s="40" t="inlineStr">
        <is>
          <t>V7 - Session Management</t>
        </is>
      </c>
      <c r="C158" s="40" t="inlineStr">
        <is>
          <t>V7.2 - Fundamental Session Management Security</t>
        </is>
      </c>
      <c r="D158" s="39" t="n">
        <v>1</v>
      </c>
      <c r="E158" s="40" t="inlineStr">
        <is>
          <t>Verify that the application performs all session token verification using a trusted, backend service.</t>
        </is>
      </c>
      <c r="F158" s="40" t="inlineStr">
        <is>
          <t>If session is stateful</t>
        </is>
      </c>
      <c r="G158" s="39" t="inlineStr">
        <is>
          <t>SESSION_STATEFUL="Yes"</t>
        </is>
      </c>
      <c r="H158" s="41">
        <f>IF(AND(SESSION_STATEFUL="Yes",D158&lt;=TARGET_LEVEL_NUM),"Applicable","N/A")</f>
        <v/>
      </c>
      <c r="I158" s="40" t="inlineStr">
        <is>
          <t>Integration testing</t>
        </is>
      </c>
      <c r="J158" s="40" t="inlineStr">
        <is>
          <t>Deterministic, continuous</t>
        </is>
      </c>
      <c r="K158" s="39" t="inlineStr">
        <is>
          <t>Pipeline</t>
        </is>
      </c>
      <c r="L158" s="39" t="inlineStr">
        <is>
          <t>Not assessed</t>
        </is>
      </c>
      <c r="M158" s="40" t="n"/>
      <c r="N158" s="40" t="n"/>
      <c r="O158" s="42" t="inlineStr">
        <is>
          <t>High</t>
        </is>
      </c>
      <c r="P158" s="43">
        <f>IF(H158="N/A","N/A",INDEX(CRIT_MATRIX,MATCH(O158,CRIT_MATRIX_ROWS,0),MATCH(APP_RISK_TIER,CRIT_MATRIX_COLS,0)))</f>
        <v/>
      </c>
    </row>
    <row r="159" ht="39.75" customHeight="1" s="19">
      <c r="A159" s="39" t="inlineStr">
        <is>
          <t>V7.2.2</t>
        </is>
      </c>
      <c r="B159" s="40" t="inlineStr">
        <is>
          <t>V7 - Session Management</t>
        </is>
      </c>
      <c r="C159" s="40" t="inlineStr">
        <is>
          <t>V7.2 - Fundamental Session Management Security</t>
        </is>
      </c>
      <c r="D159" s="39" t="n">
        <v>1</v>
      </c>
      <c r="E159" s="40" t="inlineStr">
        <is>
          <t>Verify that the application uses either self-contained or reference tokens that are dynamically generated for session management, i.e. not using static API secrets and keys.</t>
        </is>
      </c>
      <c r="F159" s="40" t="inlineStr">
        <is>
          <t>If session is stateful</t>
        </is>
      </c>
      <c r="G159" s="39" t="inlineStr">
        <is>
          <t>SESSION_STATEFUL="Yes"</t>
        </is>
      </c>
      <c r="H159" s="41">
        <f>IF(AND(SESSION_STATEFUL="Yes",D159&lt;=TARGET_LEVEL_NUM),"Applicable","N/A")</f>
        <v/>
      </c>
      <c r="I159" s="40" t="inlineStr">
        <is>
          <t>Integration testing</t>
        </is>
      </c>
      <c r="J159" s="40" t="inlineStr">
        <is>
          <t>Deterministic, continuous</t>
        </is>
      </c>
      <c r="K159" s="39" t="inlineStr">
        <is>
          <t>Pipeline</t>
        </is>
      </c>
      <c r="L159" s="39" t="inlineStr">
        <is>
          <t>Not assessed</t>
        </is>
      </c>
      <c r="M159" s="40" t="n"/>
      <c r="N159" s="40" t="n"/>
      <c r="O159" s="42" t="inlineStr">
        <is>
          <t>High</t>
        </is>
      </c>
      <c r="P159" s="43">
        <f>IF(H159="N/A","N/A",INDEX(CRIT_MATRIX,MATCH(O159,CRIT_MATRIX_ROWS,0),MATCH(APP_RISK_TIER,CRIT_MATRIX_COLS,0)))</f>
        <v/>
      </c>
    </row>
    <row r="160" ht="39.75" customHeight="1" s="19">
      <c r="A160" s="39" t="inlineStr">
        <is>
          <t>V7.2.3</t>
        </is>
      </c>
      <c r="B160" s="40" t="inlineStr">
        <is>
          <t>V7 - Session Management</t>
        </is>
      </c>
      <c r="C160" s="40" t="inlineStr">
        <is>
          <t>V7.2 - Fundamental Session Management Security</t>
        </is>
      </c>
      <c r="D160" s="39"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39" t="inlineStr">
        <is>
          <t>SESSION_STATEFUL="Yes"</t>
        </is>
      </c>
      <c r="H160" s="41">
        <f>IF(AND(SESSION_STATEFUL="Yes",D160&lt;=TARGET_LEVEL_NUM),"Applicable","N/A")</f>
        <v/>
      </c>
      <c r="I160" s="40" t="inlineStr">
        <is>
          <t>Integration testing</t>
        </is>
      </c>
      <c r="J160" s="40" t="inlineStr">
        <is>
          <t>Deterministic, continuous</t>
        </is>
      </c>
      <c r="K160" s="39" t="inlineStr">
        <is>
          <t>Pipeline</t>
        </is>
      </c>
      <c r="L160" s="39" t="inlineStr">
        <is>
          <t>Not assessed</t>
        </is>
      </c>
      <c r="M160" s="40" t="n"/>
      <c r="N160" s="40" t="n"/>
      <c r="O160" s="42" t="inlineStr">
        <is>
          <t>High</t>
        </is>
      </c>
      <c r="P160" s="43">
        <f>IF(H160="N/A","N/A",INDEX(CRIT_MATRIX,MATCH(O160,CRIT_MATRIX_ROWS,0),MATCH(APP_RISK_TIER,CRIT_MATRIX_COLS,0)))</f>
        <v/>
      </c>
    </row>
    <row r="161" ht="39.75" customHeight="1" s="19">
      <c r="A161" s="39" t="inlineStr">
        <is>
          <t>V7.2.4</t>
        </is>
      </c>
      <c r="B161" s="40" t="inlineStr">
        <is>
          <t>V7 - Session Management</t>
        </is>
      </c>
      <c r="C161" s="40" t="inlineStr">
        <is>
          <t>V7.2 - Fundamental Session Management Security</t>
        </is>
      </c>
      <c r="D161" s="39" t="n">
        <v>1</v>
      </c>
      <c r="E161" s="40" t="inlineStr">
        <is>
          <t>Verify that the application generates a new session token on user authentication, including re-authentication, and terminates the current session token.</t>
        </is>
      </c>
      <c r="F161" s="40" t="inlineStr">
        <is>
          <t>If session is stateful</t>
        </is>
      </c>
      <c r="G161" s="39" t="inlineStr">
        <is>
          <t>SESSION_STATEFUL="Yes"</t>
        </is>
      </c>
      <c r="H161" s="41">
        <f>IF(AND(SESSION_STATEFUL="Yes",D161&lt;=TARGET_LEVEL_NUM),"Applicable","N/A")</f>
        <v/>
      </c>
      <c r="I161" s="40" t="inlineStr">
        <is>
          <t>Integration testing</t>
        </is>
      </c>
      <c r="J161" s="40" t="inlineStr">
        <is>
          <t>Deterministic, continuous</t>
        </is>
      </c>
      <c r="K161" s="39" t="inlineStr">
        <is>
          <t>Pipeline</t>
        </is>
      </c>
      <c r="L161" s="39" t="inlineStr">
        <is>
          <t>Not assessed</t>
        </is>
      </c>
      <c r="M161" s="40" t="n"/>
      <c r="N161" s="40" t="n"/>
      <c r="O161" s="42" t="inlineStr">
        <is>
          <t>High</t>
        </is>
      </c>
      <c r="P161" s="43">
        <f>IF(H161="N/A","N/A",INDEX(CRIT_MATRIX,MATCH(O161,CRIT_MATRIX_ROWS,0),MATCH(APP_RISK_TIER,CRIT_MATRIX_COLS,0)))</f>
        <v/>
      </c>
    </row>
    <row r="162" ht="39.75" customHeight="1" s="19">
      <c r="A162" s="39" t="inlineStr">
        <is>
          <t>V7.3.1</t>
        </is>
      </c>
      <c r="B162" s="40" t="inlineStr">
        <is>
          <t>V7 - Session Management</t>
        </is>
      </c>
      <c r="C162" s="40" t="inlineStr">
        <is>
          <t>V7.3 - Session Timeout</t>
        </is>
      </c>
      <c r="D162" s="39" t="n">
        <v>2</v>
      </c>
      <c r="E162" s="40" t="inlineStr">
        <is>
          <t>Verify that there is an inactivity timeout such that re-authentication is enforced according to risk analysis and documented security decisions.</t>
        </is>
      </c>
      <c r="F162" s="40" t="inlineStr">
        <is>
          <t>If session is stateful</t>
        </is>
      </c>
      <c r="G162" s="39" t="inlineStr">
        <is>
          <t>SESSION_STATEFUL="Yes"</t>
        </is>
      </c>
      <c r="H162" s="41">
        <f>IF(AND(SESSION_STATEFUL="Yes",D162&lt;=TARGET_LEVEL_NUM),"Applicable","N/A")</f>
        <v/>
      </c>
      <c r="I162" s="40" t="inlineStr">
        <is>
          <t>Integration testing</t>
        </is>
      </c>
      <c r="J162" s="40" t="inlineStr">
        <is>
          <t>Deterministic, continuous</t>
        </is>
      </c>
      <c r="K162" s="39" t="inlineStr">
        <is>
          <t>Pipeline</t>
        </is>
      </c>
      <c r="L162" s="39" t="inlineStr">
        <is>
          <t>Not assessed</t>
        </is>
      </c>
      <c r="M162" s="40" t="n"/>
      <c r="N162" s="40" t="n"/>
      <c r="O162" s="42" t="inlineStr">
        <is>
          <t>High</t>
        </is>
      </c>
      <c r="P162" s="43">
        <f>IF(H162="N/A","N/A",INDEX(CRIT_MATRIX,MATCH(O162,CRIT_MATRIX_ROWS,0),MATCH(APP_RISK_TIER,CRIT_MATRIX_COLS,0)))</f>
        <v/>
      </c>
    </row>
    <row r="163" ht="39.75" customHeight="1" s="19">
      <c r="A163" s="39" t="inlineStr">
        <is>
          <t>V7.3.2</t>
        </is>
      </c>
      <c r="B163" s="40" t="inlineStr">
        <is>
          <t>V7 - Session Management</t>
        </is>
      </c>
      <c r="C163" s="40" t="inlineStr">
        <is>
          <t>V7.3 - Session Timeout</t>
        </is>
      </c>
      <c r="D163" s="39" t="n">
        <v>2</v>
      </c>
      <c r="E163" s="40" t="inlineStr">
        <is>
          <t>Verify that there is an absolute maximum session lifetime such that re-authentication is enforced according to risk analysis and documented security decisions.</t>
        </is>
      </c>
      <c r="F163" s="40" t="inlineStr">
        <is>
          <t>If session is stateful</t>
        </is>
      </c>
      <c r="G163" s="39" t="inlineStr">
        <is>
          <t>SESSION_STATEFUL="Yes"</t>
        </is>
      </c>
      <c r="H163" s="41">
        <f>IF(AND(SESSION_STATEFUL="Yes",D163&lt;=TARGET_LEVEL_NUM),"Applicable","N/A")</f>
        <v/>
      </c>
      <c r="I163" s="40" t="inlineStr">
        <is>
          <t>Integration testing</t>
        </is>
      </c>
      <c r="J163" s="40" t="inlineStr">
        <is>
          <t>Deterministic, continuous</t>
        </is>
      </c>
      <c r="K163" s="39" t="inlineStr">
        <is>
          <t>Pipeline</t>
        </is>
      </c>
      <c r="L163" s="39" t="inlineStr">
        <is>
          <t>Not assessed</t>
        </is>
      </c>
      <c r="M163" s="40" t="n"/>
      <c r="N163" s="40" t="n"/>
      <c r="O163" s="42" t="inlineStr">
        <is>
          <t>High</t>
        </is>
      </c>
      <c r="P163" s="43">
        <f>IF(H163="N/A","N/A",INDEX(CRIT_MATRIX,MATCH(O163,CRIT_MATRIX_ROWS,0),MATCH(APP_RISK_TIER,CRIT_MATRIX_COLS,0)))</f>
        <v/>
      </c>
    </row>
    <row r="164" ht="39.75" customHeight="1" s="19">
      <c r="A164" s="39" t="inlineStr">
        <is>
          <t>V7.4.1</t>
        </is>
      </c>
      <c r="B164" s="40" t="inlineStr">
        <is>
          <t>V7 - Session Management</t>
        </is>
      </c>
      <c r="C164" s="40" t="inlineStr">
        <is>
          <t>V7.4 - Session Termination</t>
        </is>
      </c>
      <c r="D164" s="39"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39" t="inlineStr">
        <is>
          <t>SESSION_STATEFUL="Yes"</t>
        </is>
      </c>
      <c r="H164" s="41">
        <f>IF(AND(SESSION_STATEFUL="Yes",D164&lt;=TARGET_LEVEL_NUM),"Applicable","N/A")</f>
        <v/>
      </c>
      <c r="I164" s="40" t="inlineStr">
        <is>
          <t>Integration testing</t>
        </is>
      </c>
      <c r="J164" s="40" t="inlineStr">
        <is>
          <t>Deterministic, continuous</t>
        </is>
      </c>
      <c r="K164" s="39" t="inlineStr">
        <is>
          <t>Pipeline</t>
        </is>
      </c>
      <c r="L164" s="39" t="inlineStr">
        <is>
          <t>Not assessed</t>
        </is>
      </c>
      <c r="M164" s="40" t="n"/>
      <c r="N164" s="40" t="n"/>
      <c r="O164" s="42" t="inlineStr">
        <is>
          <t>High</t>
        </is>
      </c>
      <c r="P164" s="43">
        <f>IF(H164="N/A","N/A",INDEX(CRIT_MATRIX,MATCH(O164,CRIT_MATRIX_ROWS,0),MATCH(APP_RISK_TIER,CRIT_MATRIX_COLS,0)))</f>
        <v/>
      </c>
    </row>
    <row r="165" ht="39.75" customHeight="1" s="19">
      <c r="A165" s="39" t="inlineStr">
        <is>
          <t>V7.4.2</t>
        </is>
      </c>
      <c r="B165" s="40" t="inlineStr">
        <is>
          <t>V7 - Session Management</t>
        </is>
      </c>
      <c r="C165" s="40" t="inlineStr">
        <is>
          <t>V7.4 - Session Termination</t>
        </is>
      </c>
      <c r="D165" s="39" t="n">
        <v>1</v>
      </c>
      <c r="E165" s="40" t="inlineStr">
        <is>
          <t>Verify that the application terminates all active sessions when a user account is disabled or deleted (such as an employee leaving the company).</t>
        </is>
      </c>
      <c r="F165" s="40" t="inlineStr">
        <is>
          <t>If session is stateful</t>
        </is>
      </c>
      <c r="G165" s="39" t="inlineStr">
        <is>
          <t>SESSION_STATEFUL="Yes"</t>
        </is>
      </c>
      <c r="H165" s="41">
        <f>IF(AND(SESSION_STATEFUL="Yes",D165&lt;=TARGET_LEVEL_NUM),"Applicable","N/A")</f>
        <v/>
      </c>
      <c r="I165" s="40" t="inlineStr">
        <is>
          <t>Integration testing</t>
        </is>
      </c>
      <c r="J165" s="40" t="inlineStr">
        <is>
          <t>Deterministic, continuous</t>
        </is>
      </c>
      <c r="K165" s="39" t="inlineStr">
        <is>
          <t>Pipeline</t>
        </is>
      </c>
      <c r="L165" s="39" t="inlineStr">
        <is>
          <t>Not assessed</t>
        </is>
      </c>
      <c r="M165" s="40" t="n"/>
      <c r="N165" s="40" t="n"/>
      <c r="O165" s="42" t="inlineStr">
        <is>
          <t>High</t>
        </is>
      </c>
      <c r="P165" s="43">
        <f>IF(H165="N/A","N/A",INDEX(CRIT_MATRIX,MATCH(O165,CRIT_MATRIX_ROWS,0),MATCH(APP_RISK_TIER,CRIT_MATRIX_COLS,0)))</f>
        <v/>
      </c>
    </row>
    <row r="166" ht="39.75" customHeight="1" s="19">
      <c r="A166" s="39" t="inlineStr">
        <is>
          <t>V7.4.3</t>
        </is>
      </c>
      <c r="B166" s="40" t="inlineStr">
        <is>
          <t>V7 - Session Management</t>
        </is>
      </c>
      <c r="C166" s="40" t="inlineStr">
        <is>
          <t>V7.4 - Session Termination</t>
        </is>
      </c>
      <c r="D166" s="39"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39" t="inlineStr">
        <is>
          <t>SESSION_STATEFUL="Yes"</t>
        </is>
      </c>
      <c r="H166" s="41">
        <f>IF(AND(SESSION_STATEFUL="Yes",D166&lt;=TARGET_LEVEL_NUM),"Applicable","N/A")</f>
        <v/>
      </c>
      <c r="I166" s="40" t="inlineStr">
        <is>
          <t>Integration testing</t>
        </is>
      </c>
      <c r="J166" s="40" t="inlineStr">
        <is>
          <t>Deterministic, continuous</t>
        </is>
      </c>
      <c r="K166" s="39" t="inlineStr">
        <is>
          <t>Pipeline</t>
        </is>
      </c>
      <c r="L166" s="39" t="inlineStr">
        <is>
          <t>Not assessed</t>
        </is>
      </c>
      <c r="M166" s="40" t="n"/>
      <c r="N166" s="40" t="n"/>
      <c r="O166" s="42" t="inlineStr">
        <is>
          <t>High</t>
        </is>
      </c>
      <c r="P166" s="43">
        <f>IF(H166="N/A","N/A",INDEX(CRIT_MATRIX,MATCH(O166,CRIT_MATRIX_ROWS,0),MATCH(APP_RISK_TIER,CRIT_MATRIX_COLS,0)))</f>
        <v/>
      </c>
    </row>
    <row r="167" ht="39.75" customHeight="1" s="19">
      <c r="A167" s="39" t="inlineStr">
        <is>
          <t>V7.4.4</t>
        </is>
      </c>
      <c r="B167" s="40" t="inlineStr">
        <is>
          <t>V7 - Session Management</t>
        </is>
      </c>
      <c r="C167" s="40" t="inlineStr">
        <is>
          <t>V7.4 - Session Termination</t>
        </is>
      </c>
      <c r="D167" s="39" t="n">
        <v>2</v>
      </c>
      <c r="E167" s="40" t="inlineStr">
        <is>
          <t>Verify that all pages that require authentication have easy and visible access to logout functionality.</t>
        </is>
      </c>
      <c r="F167" s="40" t="inlineStr">
        <is>
          <t>If session is stateful</t>
        </is>
      </c>
      <c r="G167" s="39" t="inlineStr">
        <is>
          <t>SESSION_STATEFUL="Yes"</t>
        </is>
      </c>
      <c r="H167" s="41">
        <f>IF(AND(SESSION_STATEFUL="Yes",D167&lt;=TARGET_LEVEL_NUM),"Applicable","N/A")</f>
        <v/>
      </c>
      <c r="I167" s="40" t="inlineStr">
        <is>
          <t>Integration testing</t>
        </is>
      </c>
      <c r="J167" s="40" t="inlineStr">
        <is>
          <t>Deterministic, continuous</t>
        </is>
      </c>
      <c r="K167" s="39" t="inlineStr">
        <is>
          <t>Pipeline</t>
        </is>
      </c>
      <c r="L167" s="39" t="inlineStr">
        <is>
          <t>Not assessed</t>
        </is>
      </c>
      <c r="M167" s="40" t="n"/>
      <c r="N167" s="40" t="n"/>
      <c r="O167" s="42" t="inlineStr">
        <is>
          <t>High</t>
        </is>
      </c>
      <c r="P167" s="43">
        <f>IF(H167="N/A","N/A",INDEX(CRIT_MATRIX,MATCH(O167,CRIT_MATRIX_ROWS,0),MATCH(APP_RISK_TIER,CRIT_MATRIX_COLS,0)))</f>
        <v/>
      </c>
    </row>
    <row r="168" ht="39.75" customHeight="1" s="19">
      <c r="A168" s="39" t="inlineStr">
        <is>
          <t>V7.4.5</t>
        </is>
      </c>
      <c r="B168" s="40" t="inlineStr">
        <is>
          <t>V7 - Session Management</t>
        </is>
      </c>
      <c r="C168" s="40" t="inlineStr">
        <is>
          <t>V7.4 - Session Termination</t>
        </is>
      </c>
      <c r="D168" s="39" t="n">
        <v>2</v>
      </c>
      <c r="E168" s="40" t="inlineStr">
        <is>
          <t>Verify that application administrators are able to terminate active sessions for an individual user or for all users.</t>
        </is>
      </c>
      <c r="F168" s="40" t="inlineStr">
        <is>
          <t>If session is stateful</t>
        </is>
      </c>
      <c r="G168" s="39" t="inlineStr">
        <is>
          <t>SESSION_STATEFUL="Yes"</t>
        </is>
      </c>
      <c r="H168" s="41">
        <f>IF(AND(SESSION_STATEFUL="Yes",D168&lt;=TARGET_LEVEL_NUM),"Applicable","N/A")</f>
        <v/>
      </c>
      <c r="I168" s="40" t="inlineStr">
        <is>
          <t>Integration testing</t>
        </is>
      </c>
      <c r="J168" s="40" t="inlineStr">
        <is>
          <t>Deterministic, continuous</t>
        </is>
      </c>
      <c r="K168" s="39" t="inlineStr">
        <is>
          <t>Pipeline</t>
        </is>
      </c>
      <c r="L168" s="39" t="inlineStr">
        <is>
          <t>Not assessed</t>
        </is>
      </c>
      <c r="M168" s="40" t="n"/>
      <c r="N168" s="40" t="n"/>
      <c r="O168" s="42" t="inlineStr">
        <is>
          <t>High</t>
        </is>
      </c>
      <c r="P168" s="43">
        <f>IF(H168="N/A","N/A",INDEX(CRIT_MATRIX,MATCH(O168,CRIT_MATRIX_ROWS,0),MATCH(APP_RISK_TIER,CRIT_MATRIX_COLS,0)))</f>
        <v/>
      </c>
    </row>
    <row r="169" ht="39.75" customHeight="1" s="19">
      <c r="A169" s="39" t="inlineStr">
        <is>
          <t>V7.5.1</t>
        </is>
      </c>
      <c r="B169" s="40" t="inlineStr">
        <is>
          <t>V7 - Session Management</t>
        </is>
      </c>
      <c r="C169" s="40" t="inlineStr">
        <is>
          <t>V7.5 - Defenses Against Session Abuse</t>
        </is>
      </c>
      <c r="D169" s="39"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39" t="inlineStr">
        <is>
          <t>SESSION_STATEFUL="Yes"</t>
        </is>
      </c>
      <c r="H169" s="41">
        <f>IF(AND(SESSION_STATEFUL="Yes",D169&lt;=TARGET_LEVEL_NUM),"Applicable","N/A")</f>
        <v/>
      </c>
      <c r="I169" s="40" t="inlineStr">
        <is>
          <t>Integration testing</t>
        </is>
      </c>
      <c r="J169" s="40" t="inlineStr">
        <is>
          <t>Deterministic, continuous</t>
        </is>
      </c>
      <c r="K169" s="39" t="inlineStr">
        <is>
          <t>Pipeline</t>
        </is>
      </c>
      <c r="L169" s="39" t="inlineStr">
        <is>
          <t>Not assessed</t>
        </is>
      </c>
      <c r="M169" s="40" t="n"/>
      <c r="N169" s="40" t="n"/>
      <c r="O169" s="42" t="inlineStr">
        <is>
          <t>High</t>
        </is>
      </c>
      <c r="P169" s="43">
        <f>IF(H169="N/A","N/A",INDEX(CRIT_MATRIX,MATCH(O169,CRIT_MATRIX_ROWS,0),MATCH(APP_RISK_TIER,CRIT_MATRIX_COLS,0)))</f>
        <v/>
      </c>
    </row>
    <row r="170" ht="39.75" customHeight="1" s="19">
      <c r="A170" s="39" t="inlineStr">
        <is>
          <t>V7.5.2</t>
        </is>
      </c>
      <c r="B170" s="40" t="inlineStr">
        <is>
          <t>V7 - Session Management</t>
        </is>
      </c>
      <c r="C170" s="40" t="inlineStr">
        <is>
          <t>V7.5 - Defenses Against Session Abuse</t>
        </is>
      </c>
      <c r="D170" s="39" t="n">
        <v>2</v>
      </c>
      <c r="E170" s="40" t="inlineStr">
        <is>
          <t>Verify that users are able to view and (having authenticated again with at least one factor) terminate any or all currently active sessions.</t>
        </is>
      </c>
      <c r="F170" s="40" t="inlineStr">
        <is>
          <t>If session is stateful</t>
        </is>
      </c>
      <c r="G170" s="39" t="inlineStr">
        <is>
          <t>SESSION_STATEFUL="Yes"</t>
        </is>
      </c>
      <c r="H170" s="41">
        <f>IF(AND(SESSION_STATEFUL="Yes",D170&lt;=TARGET_LEVEL_NUM),"Applicable","N/A")</f>
        <v/>
      </c>
      <c r="I170" s="40" t="inlineStr">
        <is>
          <t>Integration testing</t>
        </is>
      </c>
      <c r="J170" s="40" t="inlineStr">
        <is>
          <t>Deterministic, continuous</t>
        </is>
      </c>
      <c r="K170" s="39" t="inlineStr">
        <is>
          <t>Pipeline</t>
        </is>
      </c>
      <c r="L170" s="39" t="inlineStr">
        <is>
          <t>Not assessed</t>
        </is>
      </c>
      <c r="M170" s="40" t="n"/>
      <c r="N170" s="40" t="n"/>
      <c r="O170" s="42" t="inlineStr">
        <is>
          <t>High</t>
        </is>
      </c>
      <c r="P170" s="43">
        <f>IF(H170="N/A","N/A",INDEX(CRIT_MATRIX,MATCH(O170,CRIT_MATRIX_ROWS,0),MATCH(APP_RISK_TIER,CRIT_MATRIX_COLS,0)))</f>
        <v/>
      </c>
    </row>
    <row r="171" ht="39.75" customHeight="1" s="19">
      <c r="A171" s="39" t="inlineStr">
        <is>
          <t>V7.5.3</t>
        </is>
      </c>
      <c r="B171" s="40" t="inlineStr">
        <is>
          <t>V7 - Session Management</t>
        </is>
      </c>
      <c r="C171" s="40" t="inlineStr">
        <is>
          <t>V7.5 - Defenses Against Session Abuse</t>
        </is>
      </c>
      <c r="D171" s="39"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39" t="inlineStr">
        <is>
          <t>SESSION_STATEFUL="Yes"</t>
        </is>
      </c>
      <c r="H171" s="41">
        <f>IF(AND(SESSION_STATEFUL="Yes",D171&lt;=TARGET_LEVEL_NUM),"Applicable","N/A")</f>
        <v/>
      </c>
      <c r="I171" s="40" t="inlineStr">
        <is>
          <t>Integration testing</t>
        </is>
      </c>
      <c r="J171" s="40" t="inlineStr">
        <is>
          <t>Deterministic, continuous</t>
        </is>
      </c>
      <c r="K171" s="39" t="inlineStr">
        <is>
          <t>Pipeline</t>
        </is>
      </c>
      <c r="L171" s="39" t="inlineStr">
        <is>
          <t>Not assessed</t>
        </is>
      </c>
      <c r="M171" s="40" t="n"/>
      <c r="N171" s="40" t="n"/>
      <c r="O171" s="42" t="inlineStr">
        <is>
          <t>High</t>
        </is>
      </c>
      <c r="P171" s="43">
        <f>IF(H171="N/A","N/A",INDEX(CRIT_MATRIX,MATCH(O171,CRIT_MATRIX_ROWS,0),MATCH(APP_RISK_TIER,CRIT_MATRIX_COLS,0)))</f>
        <v/>
      </c>
    </row>
    <row r="172" ht="39.75" customHeight="1" s="19">
      <c r="A172" s="39" t="inlineStr">
        <is>
          <t>V7.6.1</t>
        </is>
      </c>
      <c r="B172" s="40" t="inlineStr">
        <is>
          <t>V7 - Session Management</t>
        </is>
      </c>
      <c r="C172" s="40" t="inlineStr">
        <is>
          <t>V7.6 - Federated Re-authentication</t>
        </is>
      </c>
      <c r="D172" s="39"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39" t="inlineStr">
        <is>
          <t>SESSION_STATEFUL="Yes"</t>
        </is>
      </c>
      <c r="H172" s="41">
        <f>IF(AND(SESSION_STATEFUL="Yes",D172&lt;=TARGET_LEVEL_NUM),"Applicable","N/A")</f>
        <v/>
      </c>
      <c r="I172" s="40" t="inlineStr">
        <is>
          <t>Integration testing</t>
        </is>
      </c>
      <c r="J172" s="40" t="inlineStr">
        <is>
          <t>Deterministic, continuous</t>
        </is>
      </c>
      <c r="K172" s="39" t="inlineStr">
        <is>
          <t>Pipeline</t>
        </is>
      </c>
      <c r="L172" s="39" t="inlineStr">
        <is>
          <t>Not assessed</t>
        </is>
      </c>
      <c r="M172" s="40" t="n"/>
      <c r="N172" s="40" t="n"/>
      <c r="O172" s="42" t="inlineStr">
        <is>
          <t>High</t>
        </is>
      </c>
      <c r="P172" s="43">
        <f>IF(H172="N/A","N/A",INDEX(CRIT_MATRIX,MATCH(O172,CRIT_MATRIX_ROWS,0),MATCH(APP_RISK_TIER,CRIT_MATRIX_COLS,0)))</f>
        <v/>
      </c>
    </row>
    <row r="173" ht="39.75" customHeight="1" s="19">
      <c r="A173" s="39" t="inlineStr">
        <is>
          <t>V7.6.2</t>
        </is>
      </c>
      <c r="B173" s="40" t="inlineStr">
        <is>
          <t>V7 - Session Management</t>
        </is>
      </c>
      <c r="C173" s="40" t="inlineStr">
        <is>
          <t>V7.6 - Federated Re-authentication</t>
        </is>
      </c>
      <c r="D173" s="39" t="n">
        <v>2</v>
      </c>
      <c r="E173" s="40" t="inlineStr">
        <is>
          <t>Verify that creation of a session requires either the user's consent or an explicit action, preventing the creation of new application sessions without user interaction.</t>
        </is>
      </c>
      <c r="F173" s="40" t="inlineStr">
        <is>
          <t>If session is stateful</t>
        </is>
      </c>
      <c r="G173" s="39" t="inlineStr">
        <is>
          <t>SESSION_STATEFUL="Yes"</t>
        </is>
      </c>
      <c r="H173" s="41">
        <f>IF(AND(SESSION_STATEFUL="Yes",D173&lt;=TARGET_LEVEL_NUM),"Applicable","N/A")</f>
        <v/>
      </c>
      <c r="I173" s="40" t="inlineStr">
        <is>
          <t>Integration testing</t>
        </is>
      </c>
      <c r="J173" s="40" t="inlineStr">
        <is>
          <t>Deterministic, continuous</t>
        </is>
      </c>
      <c r="K173" s="39" t="inlineStr">
        <is>
          <t>Pipeline</t>
        </is>
      </c>
      <c r="L173" s="39" t="inlineStr">
        <is>
          <t>Not assessed</t>
        </is>
      </c>
      <c r="M173" s="40" t="n"/>
      <c r="N173" s="40" t="n"/>
      <c r="O173" s="42" t="inlineStr">
        <is>
          <t>High</t>
        </is>
      </c>
      <c r="P173" s="43">
        <f>IF(H173="N/A","N/A",INDEX(CRIT_MATRIX,MATCH(O173,CRIT_MATRIX_ROWS,0),MATCH(APP_RISK_TIER,CRIT_MATRIX_COLS,0)))</f>
        <v/>
      </c>
    </row>
    <row r="174" ht="39.75" customHeight="1" s="19">
      <c r="A174" s="39" t="inlineStr">
        <is>
          <t>V8.1.1</t>
        </is>
      </c>
      <c r="B174" s="40" t="inlineStr">
        <is>
          <t>V8 - Authorization</t>
        </is>
      </c>
      <c r="C174" s="40" t="inlineStr">
        <is>
          <t>V8.1 - Authorization Documentation</t>
        </is>
      </c>
      <c r="D174" s="39" t="n">
        <v>1</v>
      </c>
      <c r="E174" s="40" t="inlineStr">
        <is>
          <t>Verify that authorization documentation defines rules for restricting function-level and data-specific access based on consumer permissions and resource attributes.</t>
        </is>
      </c>
      <c r="F174" s="40" t="inlineStr">
        <is>
          <t>Always</t>
        </is>
      </c>
      <c r="G174" s="39" t="inlineStr">
        <is>
          <t>TRUE</t>
        </is>
      </c>
      <c r="H174" s="41">
        <f>IF(AND(TRUE(),D174&lt;=TARGET_LEVEL_NUM),"Applicable","N/A")</f>
        <v/>
      </c>
      <c r="I174" s="40" t="inlineStr">
        <is>
          <t>Architecture / documentation review</t>
        </is>
      </c>
      <c r="J174" s="40" t="inlineStr">
        <is>
          <t>Sampled, periodic</t>
        </is>
      </c>
      <c r="K174" s="39" t="inlineStr">
        <is>
          <t>Design/Governance</t>
        </is>
      </c>
      <c r="L174" s="39" t="inlineStr">
        <is>
          <t>Not assessed</t>
        </is>
      </c>
      <c r="M174" s="40" t="n"/>
      <c r="N174" s="40" t="n"/>
      <c r="O174" s="42" t="inlineStr">
        <is>
          <t>High</t>
        </is>
      </c>
      <c r="P174" s="43">
        <f>IF(H174="N/A","N/A",INDEX(CRIT_MATRIX,MATCH(O174,CRIT_MATRIX_ROWS,0),MATCH(APP_RISK_TIER,CRIT_MATRIX_COLS,0)))</f>
        <v/>
      </c>
    </row>
    <row r="175" ht="39.75" customHeight="1" s="19">
      <c r="A175" s="39" t="inlineStr">
        <is>
          <t>V8.1.2</t>
        </is>
      </c>
      <c r="B175" s="40" t="inlineStr">
        <is>
          <t>V8 - Authorization</t>
        </is>
      </c>
      <c r="C175" s="40" t="inlineStr">
        <is>
          <t>V8.1 - Authorization Documentation</t>
        </is>
      </c>
      <c r="D175" s="39"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39" t="inlineStr">
        <is>
          <t>TRUE</t>
        </is>
      </c>
      <c r="H175" s="41">
        <f>IF(AND(TRUE(),D175&lt;=TARGET_LEVEL_NUM),"Applicable","N/A")</f>
        <v/>
      </c>
      <c r="I175" s="40" t="inlineStr">
        <is>
          <t>Architecture / documentation review</t>
        </is>
      </c>
      <c r="J175" s="40" t="inlineStr">
        <is>
          <t>Sampled, periodic</t>
        </is>
      </c>
      <c r="K175" s="39" t="inlineStr">
        <is>
          <t>Design/Governance</t>
        </is>
      </c>
      <c r="L175" s="39" t="inlineStr">
        <is>
          <t>Not assessed</t>
        </is>
      </c>
      <c r="M175" s="40" t="n"/>
      <c r="N175" s="40" t="n"/>
      <c r="O175" s="42" t="inlineStr">
        <is>
          <t>High</t>
        </is>
      </c>
      <c r="P175" s="43">
        <f>IF(H175="N/A","N/A",INDEX(CRIT_MATRIX,MATCH(O175,CRIT_MATRIX_ROWS,0),MATCH(APP_RISK_TIER,CRIT_MATRIX_COLS,0)))</f>
        <v/>
      </c>
    </row>
    <row r="176" ht="39.75" customHeight="1" s="19">
      <c r="A176" s="39" t="inlineStr">
        <is>
          <t>V8.1.3</t>
        </is>
      </c>
      <c r="B176" s="40" t="inlineStr">
        <is>
          <t>V8 - Authorization</t>
        </is>
      </c>
      <c r="C176" s="40" t="inlineStr">
        <is>
          <t>V8.1 - Authorization Documentation</t>
        </is>
      </c>
      <c r="D176" s="39"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39" t="inlineStr">
        <is>
          <t>TRUE</t>
        </is>
      </c>
      <c r="H176" s="41">
        <f>IF(AND(TRUE(),D176&lt;=TARGET_LEVEL_NUM),"Applicable","N/A")</f>
        <v/>
      </c>
      <c r="I176" s="40" t="inlineStr">
        <is>
          <t>Architecture / documentation review</t>
        </is>
      </c>
      <c r="J176" s="40" t="inlineStr">
        <is>
          <t>Sampled, periodic</t>
        </is>
      </c>
      <c r="K176" s="39" t="inlineStr">
        <is>
          <t>Design/Governance</t>
        </is>
      </c>
      <c r="L176" s="39" t="inlineStr">
        <is>
          <t>Not assessed</t>
        </is>
      </c>
      <c r="M176" s="40" t="n"/>
      <c r="N176" s="40" t="n"/>
      <c r="O176" s="42" t="inlineStr">
        <is>
          <t>High</t>
        </is>
      </c>
      <c r="P176" s="43">
        <f>IF(H176="N/A","N/A",INDEX(CRIT_MATRIX,MATCH(O176,CRIT_MATRIX_ROWS,0),MATCH(APP_RISK_TIER,CRIT_MATRIX_COLS,0)))</f>
        <v/>
      </c>
    </row>
    <row r="177" ht="39.75" customHeight="1" s="19">
      <c r="A177" s="39" t="inlineStr">
        <is>
          <t>V8.1.4</t>
        </is>
      </c>
      <c r="B177" s="40" t="inlineStr">
        <is>
          <t>V8 - Authorization</t>
        </is>
      </c>
      <c r="C177" s="40" t="inlineStr">
        <is>
          <t>V8.1 - Authorization Documentation</t>
        </is>
      </c>
      <c r="D177" s="39"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39" t="inlineStr">
        <is>
          <t>TRUE</t>
        </is>
      </c>
      <c r="H177" s="41">
        <f>IF(AND(TRUE(),D177&lt;=TARGET_LEVEL_NUM),"Applicable","N/A")</f>
        <v/>
      </c>
      <c r="I177" s="40" t="inlineStr">
        <is>
          <t>Architecture / documentation review</t>
        </is>
      </c>
      <c r="J177" s="40" t="inlineStr">
        <is>
          <t>Sampled, periodic</t>
        </is>
      </c>
      <c r="K177" s="39" t="inlineStr">
        <is>
          <t>Design/Governance</t>
        </is>
      </c>
      <c r="L177" s="39" t="inlineStr">
        <is>
          <t>Not assessed</t>
        </is>
      </c>
      <c r="M177" s="40" t="n"/>
      <c r="N177" s="40" t="n"/>
      <c r="O177" s="42" t="inlineStr">
        <is>
          <t>High</t>
        </is>
      </c>
      <c r="P177" s="43">
        <f>IF(H177="N/A","N/A",INDEX(CRIT_MATRIX,MATCH(O177,CRIT_MATRIX_ROWS,0),MATCH(APP_RISK_TIER,CRIT_MATRIX_COLS,0)))</f>
        <v/>
      </c>
    </row>
    <row r="178" ht="39.75" customHeight="1" s="19">
      <c r="A178" s="39" t="inlineStr">
        <is>
          <t>V8.2.1</t>
        </is>
      </c>
      <c r="B178" s="40" t="inlineStr">
        <is>
          <t>V8 - Authorization</t>
        </is>
      </c>
      <c r="C178" s="40" t="inlineStr">
        <is>
          <t>V8.2 - General Authorization Design</t>
        </is>
      </c>
      <c r="D178" s="39" t="n">
        <v>1</v>
      </c>
      <c r="E178" s="40" t="inlineStr">
        <is>
          <t>Verify that the application ensures that function-level access is restricted to consumers with explicit permissions.</t>
        </is>
      </c>
      <c r="F178" s="40" t="inlineStr">
        <is>
          <t>Always</t>
        </is>
      </c>
      <c r="G178" s="39" t="inlineStr">
        <is>
          <t>TRUE</t>
        </is>
      </c>
      <c r="H178" s="41">
        <f>IF(AND(TRUE(),D178&lt;=TARGET_LEVEL_NUM),"Applicable","N/A")</f>
        <v/>
      </c>
      <c r="I178" s="40" t="inlineStr">
        <is>
          <t>SAST + integration testing</t>
        </is>
      </c>
      <c r="J178" s="40" t="inlineStr">
        <is>
          <t>Deterministic, continuous</t>
        </is>
      </c>
      <c r="K178" s="39" t="inlineStr">
        <is>
          <t>Pipeline</t>
        </is>
      </c>
      <c r="L178" s="39" t="inlineStr">
        <is>
          <t>Not assessed</t>
        </is>
      </c>
      <c r="M178" s="40" t="n"/>
      <c r="N178" s="40" t="n"/>
      <c r="O178" s="42" t="inlineStr">
        <is>
          <t>High</t>
        </is>
      </c>
      <c r="P178" s="43">
        <f>IF(H178="N/A","N/A",INDEX(CRIT_MATRIX,MATCH(O178,CRIT_MATRIX_ROWS,0),MATCH(APP_RISK_TIER,CRIT_MATRIX_COLS,0)))</f>
        <v/>
      </c>
    </row>
    <row r="179" ht="39.75" customHeight="1" s="19">
      <c r="A179" s="39" t="inlineStr">
        <is>
          <t>V8.2.2</t>
        </is>
      </c>
      <c r="B179" s="40" t="inlineStr">
        <is>
          <t>V8 - Authorization</t>
        </is>
      </c>
      <c r="C179" s="40" t="inlineStr">
        <is>
          <t>V8.2 - General Authorization Design</t>
        </is>
      </c>
      <c r="D179" s="39"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39" t="inlineStr">
        <is>
          <t>TRUE</t>
        </is>
      </c>
      <c r="H179" s="41">
        <f>IF(AND(TRUE(),D179&lt;=TARGET_LEVEL_NUM),"Applicable","N/A")</f>
        <v/>
      </c>
      <c r="I179" s="40" t="inlineStr">
        <is>
          <t>SAST + integration testing</t>
        </is>
      </c>
      <c r="J179" s="40" t="inlineStr">
        <is>
          <t>Deterministic, continuous</t>
        </is>
      </c>
      <c r="K179" s="39" t="inlineStr">
        <is>
          <t>Pipeline</t>
        </is>
      </c>
      <c r="L179" s="39" t="inlineStr">
        <is>
          <t>Not assessed</t>
        </is>
      </c>
      <c r="M179" s="40" t="n"/>
      <c r="N179" s="40" t="n"/>
      <c r="O179" s="42" t="inlineStr">
        <is>
          <t>High</t>
        </is>
      </c>
      <c r="P179" s="43">
        <f>IF(H179="N/A","N/A",INDEX(CRIT_MATRIX,MATCH(O179,CRIT_MATRIX_ROWS,0),MATCH(APP_RISK_TIER,CRIT_MATRIX_COLS,0)))</f>
        <v/>
      </c>
    </row>
    <row r="180" ht="39.75" customHeight="1" s="19">
      <c r="A180" s="39" t="inlineStr">
        <is>
          <t>V8.2.3</t>
        </is>
      </c>
      <c r="B180" s="40" t="inlineStr">
        <is>
          <t>V8 - Authorization</t>
        </is>
      </c>
      <c r="C180" s="40" t="inlineStr">
        <is>
          <t>V8.2 - General Authorization Design</t>
        </is>
      </c>
      <c r="D180" s="39"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39" t="inlineStr">
        <is>
          <t>TRUE</t>
        </is>
      </c>
      <c r="H180" s="41">
        <f>IF(AND(TRUE(),D180&lt;=TARGET_LEVEL_NUM),"Applicable","N/A")</f>
        <v/>
      </c>
      <c r="I180" s="40" t="inlineStr">
        <is>
          <t>SAST + integration testing</t>
        </is>
      </c>
      <c r="J180" s="40" t="inlineStr">
        <is>
          <t>Deterministic, continuous</t>
        </is>
      </c>
      <c r="K180" s="39" t="inlineStr">
        <is>
          <t>Pipeline</t>
        </is>
      </c>
      <c r="L180" s="39" t="inlineStr">
        <is>
          <t>Not assessed</t>
        </is>
      </c>
      <c r="M180" s="40" t="n"/>
      <c r="N180" s="40" t="n"/>
      <c r="O180" s="42" t="inlineStr">
        <is>
          <t>High</t>
        </is>
      </c>
      <c r="P180" s="43">
        <f>IF(H180="N/A","N/A",INDEX(CRIT_MATRIX,MATCH(O180,CRIT_MATRIX_ROWS,0),MATCH(APP_RISK_TIER,CRIT_MATRIX_COLS,0)))</f>
        <v/>
      </c>
    </row>
    <row r="181" ht="39.75" customHeight="1" s="19">
      <c r="A181" s="39" t="inlineStr">
        <is>
          <t>V8.2.4</t>
        </is>
      </c>
      <c r="B181" s="40" t="inlineStr">
        <is>
          <t>V8 - Authorization</t>
        </is>
      </c>
      <c r="C181" s="40" t="inlineStr">
        <is>
          <t>V8.2 - General Authorization Design</t>
        </is>
      </c>
      <c r="D181" s="39"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39" t="inlineStr">
        <is>
          <t>TRUE</t>
        </is>
      </c>
      <c r="H181" s="41">
        <f>IF(AND(TRUE(),D181&lt;=TARGET_LEVEL_NUM),"Applicable","N/A")</f>
        <v/>
      </c>
      <c r="I181" s="40" t="inlineStr">
        <is>
          <t>SAST + integration testing</t>
        </is>
      </c>
      <c r="J181" s="40" t="inlineStr">
        <is>
          <t>Deterministic, continuous</t>
        </is>
      </c>
      <c r="K181" s="39" t="inlineStr">
        <is>
          <t>Pipeline</t>
        </is>
      </c>
      <c r="L181" s="39" t="inlineStr">
        <is>
          <t>Not assessed</t>
        </is>
      </c>
      <c r="M181" s="40" t="n"/>
      <c r="N181" s="40" t="n"/>
      <c r="O181" s="42" t="inlineStr">
        <is>
          <t>High</t>
        </is>
      </c>
      <c r="P181" s="43">
        <f>IF(H181="N/A","N/A",INDEX(CRIT_MATRIX,MATCH(O181,CRIT_MATRIX_ROWS,0),MATCH(APP_RISK_TIER,CRIT_MATRIX_COLS,0)))</f>
        <v/>
      </c>
    </row>
    <row r="182" ht="39.75" customHeight="1" s="19">
      <c r="A182" s="39" t="inlineStr">
        <is>
          <t>V8.3.1</t>
        </is>
      </c>
      <c r="B182" s="40" t="inlineStr">
        <is>
          <t>V8 - Authorization</t>
        </is>
      </c>
      <c r="C182" s="40" t="inlineStr">
        <is>
          <t>V8.3 - Operation Level Authorization</t>
        </is>
      </c>
      <c r="D182" s="39" t="n">
        <v>1</v>
      </c>
      <c r="E182" s="40" t="inlineStr">
        <is>
          <t>Verify that the application enforces authorization rules at a trusted service layer and doesn't rely on controls that an untrusted consumer could manipulate, such as client-side JavaScript.</t>
        </is>
      </c>
      <c r="F182" s="40" t="inlineStr">
        <is>
          <t>Always</t>
        </is>
      </c>
      <c r="G182" s="39" t="inlineStr">
        <is>
          <t>TRUE</t>
        </is>
      </c>
      <c r="H182" s="41">
        <f>IF(AND(TRUE(),D182&lt;=TARGET_LEVEL_NUM),"Applicable","N/A")</f>
        <v/>
      </c>
      <c r="I182" s="40" t="inlineStr">
        <is>
          <t>Pentest / authenticated DAST</t>
        </is>
      </c>
      <c r="J182" s="40" t="inlineStr">
        <is>
          <t>Sampled, periodic</t>
        </is>
      </c>
      <c r="K182" s="39" t="inlineStr">
        <is>
          <t>Periodic</t>
        </is>
      </c>
      <c r="L182" s="39" t="inlineStr">
        <is>
          <t>Not assessed</t>
        </is>
      </c>
      <c r="M182" s="40" t="n"/>
      <c r="N182" s="40" t="n"/>
      <c r="O182" s="42" t="inlineStr">
        <is>
          <t>High</t>
        </is>
      </c>
      <c r="P182" s="43">
        <f>IF(H182="N/A","N/A",INDEX(CRIT_MATRIX,MATCH(O182,CRIT_MATRIX_ROWS,0),MATCH(APP_RISK_TIER,CRIT_MATRIX_COLS,0)))</f>
        <v/>
      </c>
    </row>
    <row r="183" ht="39.75" customHeight="1" s="19">
      <c r="A183" s="39" t="inlineStr">
        <is>
          <t>V8.3.2</t>
        </is>
      </c>
      <c r="B183" s="40" t="inlineStr">
        <is>
          <t>V8 - Authorization</t>
        </is>
      </c>
      <c r="C183" s="40" t="inlineStr">
        <is>
          <t>V8.3 - Operation Level Authorization</t>
        </is>
      </c>
      <c r="D183" s="39"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39" t="inlineStr">
        <is>
          <t>TRUE</t>
        </is>
      </c>
      <c r="H183" s="41">
        <f>IF(AND(TRUE(),D183&lt;=TARGET_LEVEL_NUM),"Applicable","N/A")</f>
        <v/>
      </c>
      <c r="I183" s="40" t="inlineStr">
        <is>
          <t>Pentest / authenticated DAST</t>
        </is>
      </c>
      <c r="J183" s="40" t="inlineStr">
        <is>
          <t>Sampled, periodic</t>
        </is>
      </c>
      <c r="K183" s="39" t="inlineStr">
        <is>
          <t>Periodic</t>
        </is>
      </c>
      <c r="L183" s="39" t="inlineStr">
        <is>
          <t>Not assessed</t>
        </is>
      </c>
      <c r="M183" s="40" t="n"/>
      <c r="N183" s="40" t="n"/>
      <c r="O183" s="42" t="inlineStr">
        <is>
          <t>High</t>
        </is>
      </c>
      <c r="P183" s="43">
        <f>IF(H183="N/A","N/A",INDEX(CRIT_MATRIX,MATCH(O183,CRIT_MATRIX_ROWS,0),MATCH(APP_RISK_TIER,CRIT_MATRIX_COLS,0)))</f>
        <v/>
      </c>
    </row>
    <row r="184" ht="39.75" customHeight="1" s="19">
      <c r="A184" s="39" t="inlineStr">
        <is>
          <t>V8.3.3</t>
        </is>
      </c>
      <c r="B184" s="40" t="inlineStr">
        <is>
          <t>V8 - Authorization</t>
        </is>
      </c>
      <c r="C184" s="40" t="inlineStr">
        <is>
          <t>V8.3 - Operation Level Authorization</t>
        </is>
      </c>
      <c r="D184" s="39"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39" t="inlineStr">
        <is>
          <t>TRUE</t>
        </is>
      </c>
      <c r="H184" s="41">
        <f>IF(AND(TRUE(),D184&lt;=TARGET_LEVEL_NUM),"Applicable","N/A")</f>
        <v/>
      </c>
      <c r="I184" s="40" t="inlineStr">
        <is>
          <t>Pentest / authenticated DAST</t>
        </is>
      </c>
      <c r="J184" s="40" t="inlineStr">
        <is>
          <t>Sampled, periodic</t>
        </is>
      </c>
      <c r="K184" s="39" t="inlineStr">
        <is>
          <t>Periodic</t>
        </is>
      </c>
      <c r="L184" s="39" t="inlineStr">
        <is>
          <t>Not assessed</t>
        </is>
      </c>
      <c r="M184" s="40" t="n"/>
      <c r="N184" s="40" t="n"/>
      <c r="O184" s="42" t="inlineStr">
        <is>
          <t>High</t>
        </is>
      </c>
      <c r="P184" s="43">
        <f>IF(H184="N/A","N/A",INDEX(CRIT_MATRIX,MATCH(O184,CRIT_MATRIX_ROWS,0),MATCH(APP_RISK_TIER,CRIT_MATRIX_COLS,0)))</f>
        <v/>
      </c>
    </row>
    <row r="185" ht="39.75" customHeight="1" s="19">
      <c r="A185" s="39" t="inlineStr">
        <is>
          <t>V8.4.1</t>
        </is>
      </c>
      <c r="B185" s="40" t="inlineStr">
        <is>
          <t>V8 - Authorization</t>
        </is>
      </c>
      <c r="C185" s="40" t="inlineStr">
        <is>
          <t>V8.4 - Other Authorization Considerations</t>
        </is>
      </c>
      <c r="D185" s="39" t="n">
        <v>2</v>
      </c>
      <c r="E185" s="40" t="inlineStr">
        <is>
          <t>Verify that multi-tenant applications use cross-tenant controls to ensure consumer operations will never affect tenants with which they do not have permissions to interact.</t>
        </is>
      </c>
      <c r="F185" s="40" t="inlineStr">
        <is>
          <t>Always</t>
        </is>
      </c>
      <c r="G185" s="39" t="inlineStr">
        <is>
          <t>TRUE</t>
        </is>
      </c>
      <c r="H185" s="41">
        <f>IF(AND(TRUE(),D185&lt;=TARGET_LEVEL_NUM),"Applicable","N/A")</f>
        <v/>
      </c>
      <c r="I185" s="40" t="inlineStr">
        <is>
          <t>SAST + integration testing</t>
        </is>
      </c>
      <c r="J185" s="40" t="inlineStr">
        <is>
          <t>Deterministic, continuous</t>
        </is>
      </c>
      <c r="K185" s="39" t="inlineStr">
        <is>
          <t>Pipeline</t>
        </is>
      </c>
      <c r="L185" s="39" t="inlineStr">
        <is>
          <t>Not assessed</t>
        </is>
      </c>
      <c r="M185" s="40" t="n"/>
      <c r="N185" s="40" t="n"/>
      <c r="O185" s="42" t="inlineStr">
        <is>
          <t>High</t>
        </is>
      </c>
      <c r="P185" s="43">
        <f>IF(H185="N/A","N/A",INDEX(CRIT_MATRIX,MATCH(O185,CRIT_MATRIX_ROWS,0),MATCH(APP_RISK_TIER,CRIT_MATRIX_COLS,0)))</f>
        <v/>
      </c>
    </row>
    <row r="186" ht="39.75" customHeight="1" s="19">
      <c r="A186" s="39" t="inlineStr">
        <is>
          <t>V8.4.2</t>
        </is>
      </c>
      <c r="B186" s="40" t="inlineStr">
        <is>
          <t>V8 - Authorization</t>
        </is>
      </c>
      <c r="C186" s="40" t="inlineStr">
        <is>
          <t>V8.4 - Other Authorization Considerations</t>
        </is>
      </c>
      <c r="D186" s="39"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39" t="inlineStr">
        <is>
          <t>TRUE</t>
        </is>
      </c>
      <c r="H186" s="41">
        <f>IF(AND(TRUE(),D186&lt;=TARGET_LEVEL_NUM),"Applicable","N/A")</f>
        <v/>
      </c>
      <c r="I186" s="40" t="inlineStr">
        <is>
          <t>SAST + integration testing</t>
        </is>
      </c>
      <c r="J186" s="40" t="inlineStr">
        <is>
          <t>Deterministic, continuous</t>
        </is>
      </c>
      <c r="K186" s="39" t="inlineStr">
        <is>
          <t>Pipeline</t>
        </is>
      </c>
      <c r="L186" s="39" t="inlineStr">
        <is>
          <t>Not assessed</t>
        </is>
      </c>
      <c r="M186" s="40" t="n"/>
      <c r="N186" s="40" t="n"/>
      <c r="O186" s="42" t="inlineStr">
        <is>
          <t>High</t>
        </is>
      </c>
      <c r="P186" s="43">
        <f>IF(H186="N/A","N/A",INDEX(CRIT_MATRIX,MATCH(O186,CRIT_MATRIX_ROWS,0),MATCH(APP_RISK_TIER,CRIT_MATRIX_COLS,0)))</f>
        <v/>
      </c>
    </row>
    <row r="187" ht="39.75" customHeight="1" s="19">
      <c r="A187" s="39" t="inlineStr">
        <is>
          <t>V9.1.1</t>
        </is>
      </c>
      <c r="B187" s="40" t="inlineStr">
        <is>
          <t>V9 - Self-contained Tokens</t>
        </is>
      </c>
      <c r="C187" s="40" t="inlineStr">
        <is>
          <t>V9.1 - Token source and integrity</t>
        </is>
      </c>
      <c r="D187" s="39" t="n">
        <v>1</v>
      </c>
      <c r="E187" s="40" t="inlineStr">
        <is>
          <t>Verify that self-contained tokens are validated using their digital signature or MAC to protect against tampering before accepting the token's contents.</t>
        </is>
      </c>
      <c r="F187" s="40" t="inlineStr">
        <is>
          <t>If session is stateless (tokens)</t>
        </is>
      </c>
      <c r="G187" s="39" t="inlineStr">
        <is>
          <t>SESSION_STATEFUL="No"</t>
        </is>
      </c>
      <c r="H187" s="41">
        <f>IF(AND(SESSION_STATEFUL="No",D187&lt;=TARGET_LEVEL_NUM),"Applicable","N/A")</f>
        <v/>
      </c>
      <c r="I187" s="40" t="inlineStr">
        <is>
          <t>SAST + configuration review</t>
        </is>
      </c>
      <c r="J187" s="40" t="inlineStr">
        <is>
          <t>Deterministic, continuous</t>
        </is>
      </c>
      <c r="K187" s="39" t="inlineStr">
        <is>
          <t>Pipeline</t>
        </is>
      </c>
      <c r="L187" s="39" t="inlineStr">
        <is>
          <t>Not assessed</t>
        </is>
      </c>
      <c r="M187" s="40" t="n"/>
      <c r="N187" s="40" t="n"/>
      <c r="O187" s="42" t="inlineStr">
        <is>
          <t>High</t>
        </is>
      </c>
      <c r="P187" s="43">
        <f>IF(H187="N/A","N/A",INDEX(CRIT_MATRIX,MATCH(O187,CRIT_MATRIX_ROWS,0),MATCH(APP_RISK_TIER,CRIT_MATRIX_COLS,0)))</f>
        <v/>
      </c>
    </row>
    <row r="188" ht="39.75" customHeight="1" s="19">
      <c r="A188" s="39" t="inlineStr">
        <is>
          <t>V9.1.2</t>
        </is>
      </c>
      <c r="B188" s="40" t="inlineStr">
        <is>
          <t>V9 - Self-contained Tokens</t>
        </is>
      </c>
      <c r="C188" s="40" t="inlineStr">
        <is>
          <t>V9.1 - Token source and integrity</t>
        </is>
      </c>
      <c r="D188" s="39"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39" t="inlineStr">
        <is>
          <t>SESSION_STATEFUL="No"</t>
        </is>
      </c>
      <c r="H188" s="41">
        <f>IF(AND(SESSION_STATEFUL="No",D188&lt;=TARGET_LEVEL_NUM),"Applicable","N/A")</f>
        <v/>
      </c>
      <c r="I188" s="40" t="inlineStr">
        <is>
          <t>SAST + configuration review</t>
        </is>
      </c>
      <c r="J188" s="40" t="inlineStr">
        <is>
          <t>Deterministic, continuous</t>
        </is>
      </c>
      <c r="K188" s="39" t="inlineStr">
        <is>
          <t>Pipeline</t>
        </is>
      </c>
      <c r="L188" s="39" t="inlineStr">
        <is>
          <t>Not assessed</t>
        </is>
      </c>
      <c r="M188" s="40" t="n"/>
      <c r="N188" s="40" t="n"/>
      <c r="O188" s="42" t="inlineStr">
        <is>
          <t>High</t>
        </is>
      </c>
      <c r="P188" s="43">
        <f>IF(H188="N/A","N/A",INDEX(CRIT_MATRIX,MATCH(O188,CRIT_MATRIX_ROWS,0),MATCH(APP_RISK_TIER,CRIT_MATRIX_COLS,0)))</f>
        <v/>
      </c>
    </row>
    <row r="189" ht="39.75" customHeight="1" s="19">
      <c r="A189" s="39" t="inlineStr">
        <is>
          <t>V9.1.3</t>
        </is>
      </c>
      <c r="B189" s="40" t="inlineStr">
        <is>
          <t>V9 - Self-contained Tokens</t>
        </is>
      </c>
      <c r="C189" s="40" t="inlineStr">
        <is>
          <t>V9.1 - Token source and integrity</t>
        </is>
      </c>
      <c r="D189" s="39"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39" t="inlineStr">
        <is>
          <t>SESSION_STATEFUL="No"</t>
        </is>
      </c>
      <c r="H189" s="41">
        <f>IF(AND(SESSION_STATEFUL="No",D189&lt;=TARGET_LEVEL_NUM),"Applicable","N/A")</f>
        <v/>
      </c>
      <c r="I189" s="40" t="inlineStr">
        <is>
          <t>SAST + configuration review</t>
        </is>
      </c>
      <c r="J189" s="40" t="inlineStr">
        <is>
          <t>Deterministic, continuous</t>
        </is>
      </c>
      <c r="K189" s="39" t="inlineStr">
        <is>
          <t>Pipeline</t>
        </is>
      </c>
      <c r="L189" s="39" t="inlineStr">
        <is>
          <t>Not assessed</t>
        </is>
      </c>
      <c r="M189" s="40" t="n"/>
      <c r="N189" s="40" t="n"/>
      <c r="O189" s="42" t="inlineStr">
        <is>
          <t>High</t>
        </is>
      </c>
      <c r="P189" s="43">
        <f>IF(H189="N/A","N/A",INDEX(CRIT_MATRIX,MATCH(O189,CRIT_MATRIX_ROWS,0),MATCH(APP_RISK_TIER,CRIT_MATRIX_COLS,0)))</f>
        <v/>
      </c>
    </row>
    <row r="190" ht="39.75" customHeight="1" s="19">
      <c r="A190" s="39" t="inlineStr">
        <is>
          <t>V9.2.1</t>
        </is>
      </c>
      <c r="B190" s="40" t="inlineStr">
        <is>
          <t>V9 - Self-contained Tokens</t>
        </is>
      </c>
      <c r="C190" s="40" t="inlineStr">
        <is>
          <t>V9.2 - Token content</t>
        </is>
      </c>
      <c r="D190" s="39"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39" t="inlineStr">
        <is>
          <t>SESSION_STATEFUL="No"</t>
        </is>
      </c>
      <c r="H190" s="41">
        <f>IF(AND(SESSION_STATEFUL="No",D190&lt;=TARGET_LEVEL_NUM),"Applicable","N/A")</f>
        <v/>
      </c>
      <c r="I190" s="40" t="inlineStr">
        <is>
          <t>SAST + configuration review</t>
        </is>
      </c>
      <c r="J190" s="40" t="inlineStr">
        <is>
          <t>Deterministic, continuous</t>
        </is>
      </c>
      <c r="K190" s="39" t="inlineStr">
        <is>
          <t>Pipeline</t>
        </is>
      </c>
      <c r="L190" s="39" t="inlineStr">
        <is>
          <t>Not assessed</t>
        </is>
      </c>
      <c r="M190" s="40" t="n"/>
      <c r="N190" s="40" t="n"/>
      <c r="O190" s="42" t="inlineStr">
        <is>
          <t>High</t>
        </is>
      </c>
      <c r="P190" s="43">
        <f>IF(H190="N/A","N/A",INDEX(CRIT_MATRIX,MATCH(O190,CRIT_MATRIX_ROWS,0),MATCH(APP_RISK_TIER,CRIT_MATRIX_COLS,0)))</f>
        <v/>
      </c>
    </row>
    <row r="191" ht="39.75" customHeight="1" s="19">
      <c r="A191" s="39" t="inlineStr">
        <is>
          <t>V9.2.2</t>
        </is>
      </c>
      <c r="B191" s="40" t="inlineStr">
        <is>
          <t>V9 - Self-contained Tokens</t>
        </is>
      </c>
      <c r="C191" s="40" t="inlineStr">
        <is>
          <t>V9.2 - Token content</t>
        </is>
      </c>
      <c r="D191" s="39"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39" t="inlineStr">
        <is>
          <t>SESSION_STATEFUL="No"</t>
        </is>
      </c>
      <c r="H191" s="41">
        <f>IF(AND(SESSION_STATEFUL="No",D191&lt;=TARGET_LEVEL_NUM),"Applicable","N/A")</f>
        <v/>
      </c>
      <c r="I191" s="40" t="inlineStr">
        <is>
          <t>SAST + configuration review</t>
        </is>
      </c>
      <c r="J191" s="40" t="inlineStr">
        <is>
          <t>Deterministic, continuous</t>
        </is>
      </c>
      <c r="K191" s="39" t="inlineStr">
        <is>
          <t>Pipeline</t>
        </is>
      </c>
      <c r="L191" s="39" t="inlineStr">
        <is>
          <t>Not assessed</t>
        </is>
      </c>
      <c r="M191" s="40" t="n"/>
      <c r="N191" s="40" t="n"/>
      <c r="O191" s="42" t="inlineStr">
        <is>
          <t>High</t>
        </is>
      </c>
      <c r="P191" s="43">
        <f>IF(H191="N/A","N/A",INDEX(CRIT_MATRIX,MATCH(O191,CRIT_MATRIX_ROWS,0),MATCH(APP_RISK_TIER,CRIT_MATRIX_COLS,0)))</f>
        <v/>
      </c>
    </row>
    <row r="192" ht="39.75" customHeight="1" s="19">
      <c r="A192" s="39" t="inlineStr">
        <is>
          <t>V9.2.3</t>
        </is>
      </c>
      <c r="B192" s="40" t="inlineStr">
        <is>
          <t>V9 - Self-contained Tokens</t>
        </is>
      </c>
      <c r="C192" s="40" t="inlineStr">
        <is>
          <t>V9.2 - Token content</t>
        </is>
      </c>
      <c r="D192" s="39"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39" t="inlineStr">
        <is>
          <t>SESSION_STATEFUL="No"</t>
        </is>
      </c>
      <c r="H192" s="41">
        <f>IF(AND(SESSION_STATEFUL="No",D192&lt;=TARGET_LEVEL_NUM),"Applicable","N/A")</f>
        <v/>
      </c>
      <c r="I192" s="40" t="inlineStr">
        <is>
          <t>SAST + configuration review</t>
        </is>
      </c>
      <c r="J192" s="40" t="inlineStr">
        <is>
          <t>Deterministic, continuous</t>
        </is>
      </c>
      <c r="K192" s="39" t="inlineStr">
        <is>
          <t>Pipeline</t>
        </is>
      </c>
      <c r="L192" s="39" t="inlineStr">
        <is>
          <t>Not assessed</t>
        </is>
      </c>
      <c r="M192" s="40" t="n"/>
      <c r="N192" s="40" t="n"/>
      <c r="O192" s="42" t="inlineStr">
        <is>
          <t>High</t>
        </is>
      </c>
      <c r="P192" s="43">
        <f>IF(H192="N/A","N/A",INDEX(CRIT_MATRIX,MATCH(O192,CRIT_MATRIX_ROWS,0),MATCH(APP_RISK_TIER,CRIT_MATRIX_COLS,0)))</f>
        <v/>
      </c>
    </row>
    <row r="193" ht="39.75" customHeight="1" s="19">
      <c r="A193" s="39" t="inlineStr">
        <is>
          <t>V9.2.4</t>
        </is>
      </c>
      <c r="B193" s="40" t="inlineStr">
        <is>
          <t>V9 - Self-contained Tokens</t>
        </is>
      </c>
      <c r="C193" s="40" t="inlineStr">
        <is>
          <t>V9.2 - Token content</t>
        </is>
      </c>
      <c r="D193" s="39"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39" t="inlineStr">
        <is>
          <t>SESSION_STATEFUL="No"</t>
        </is>
      </c>
      <c r="H193" s="41">
        <f>IF(AND(SESSION_STATEFUL="No",D193&lt;=TARGET_LEVEL_NUM),"Applicable","N/A")</f>
        <v/>
      </c>
      <c r="I193" s="40" t="inlineStr">
        <is>
          <t>SAST + configuration review</t>
        </is>
      </c>
      <c r="J193" s="40" t="inlineStr">
        <is>
          <t>Deterministic, continuous</t>
        </is>
      </c>
      <c r="K193" s="39" t="inlineStr">
        <is>
          <t>Pipeline</t>
        </is>
      </c>
      <c r="L193" s="39" t="inlineStr">
        <is>
          <t>Not assessed</t>
        </is>
      </c>
      <c r="M193" s="40" t="n"/>
      <c r="N193" s="40" t="n"/>
      <c r="O193" s="42" t="inlineStr">
        <is>
          <t>High</t>
        </is>
      </c>
      <c r="P193" s="43">
        <f>IF(H193="N/A","N/A",INDEX(CRIT_MATRIX,MATCH(O193,CRIT_MATRIX_ROWS,0),MATCH(APP_RISK_TIER,CRIT_MATRIX_COLS,0)))</f>
        <v/>
      </c>
    </row>
    <row r="194" ht="39.75" customHeight="1" s="19">
      <c r="A194" s="39" t="inlineStr">
        <is>
          <t>V10.1.1</t>
        </is>
      </c>
      <c r="B194" s="40" t="inlineStr">
        <is>
          <t>V10 - OAuth and OIDC</t>
        </is>
      </c>
      <c r="C194" s="40" t="inlineStr">
        <is>
          <t>V10.1 - Generic OAuth and OIDC Security</t>
        </is>
      </c>
      <c r="D194" s="39"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39" t="inlineStr">
        <is>
          <t>OAUTH_OIDC_USED="Yes"</t>
        </is>
      </c>
      <c r="H194" s="41">
        <f>IF(AND(OAUTH_OIDC_USED="Yes",D194&lt;=TARGET_LEVEL_NUM),"Applicable","N/A")</f>
        <v/>
      </c>
      <c r="I194" s="40" t="inlineStr">
        <is>
          <t>SAST + integration testing</t>
        </is>
      </c>
      <c r="J194" s="40" t="inlineStr">
        <is>
          <t>Deterministic, continuous</t>
        </is>
      </c>
      <c r="K194" s="39" t="inlineStr">
        <is>
          <t>Pipeline</t>
        </is>
      </c>
      <c r="L194" s="39" t="inlineStr">
        <is>
          <t>Not assessed</t>
        </is>
      </c>
      <c r="M194" s="40" t="n"/>
      <c r="N194" s="40" t="n"/>
      <c r="O194" s="42" t="inlineStr">
        <is>
          <t>High</t>
        </is>
      </c>
      <c r="P194" s="43">
        <f>IF(H194="N/A","N/A",INDEX(CRIT_MATRIX,MATCH(O194,CRIT_MATRIX_ROWS,0),MATCH(APP_RISK_TIER,CRIT_MATRIX_COLS,0)))</f>
        <v/>
      </c>
    </row>
    <row r="195" ht="39.75" customHeight="1" s="19">
      <c r="A195" s="39" t="inlineStr">
        <is>
          <t>V10.1.2</t>
        </is>
      </c>
      <c r="B195" s="40" t="inlineStr">
        <is>
          <t>V10 - OAuth and OIDC</t>
        </is>
      </c>
      <c r="C195" s="40" t="inlineStr">
        <is>
          <t>V10.1 - Generic OAuth and OIDC Security</t>
        </is>
      </c>
      <c r="D195" s="39"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39" t="inlineStr">
        <is>
          <t>OAUTH_OIDC_USED="Yes"</t>
        </is>
      </c>
      <c r="H195" s="41">
        <f>IF(AND(OAUTH_OIDC_USED="Yes",D195&lt;=TARGET_LEVEL_NUM),"Applicable","N/A")</f>
        <v/>
      </c>
      <c r="I195" s="40" t="inlineStr">
        <is>
          <t>SAST + integration testing</t>
        </is>
      </c>
      <c r="J195" s="40" t="inlineStr">
        <is>
          <t>Deterministic, continuous</t>
        </is>
      </c>
      <c r="K195" s="39" t="inlineStr">
        <is>
          <t>Pipeline</t>
        </is>
      </c>
      <c r="L195" s="39" t="inlineStr">
        <is>
          <t>Not assessed</t>
        </is>
      </c>
      <c r="M195" s="40" t="n"/>
      <c r="N195" s="40" t="n"/>
      <c r="O195" s="42" t="inlineStr">
        <is>
          <t>High</t>
        </is>
      </c>
      <c r="P195" s="43">
        <f>IF(H195="N/A","N/A",INDEX(CRIT_MATRIX,MATCH(O195,CRIT_MATRIX_ROWS,0),MATCH(APP_RISK_TIER,CRIT_MATRIX_COLS,0)))</f>
        <v/>
      </c>
    </row>
    <row r="196" ht="39.75" customHeight="1" s="19">
      <c r="A196" s="39" t="inlineStr">
        <is>
          <t>V10.2.1</t>
        </is>
      </c>
      <c r="B196" s="40" t="inlineStr">
        <is>
          <t>V10 - OAuth and OIDC</t>
        </is>
      </c>
      <c r="C196" s="40" t="inlineStr">
        <is>
          <t>V10.2 - OAuth Client</t>
        </is>
      </c>
      <c r="D196" s="39"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39" t="inlineStr">
        <is>
          <t>OAUTH_OIDC_USED="Yes"</t>
        </is>
      </c>
      <c r="H196" s="41">
        <f>IF(AND(OAUTH_OIDC_USED="Yes",D196&lt;=TARGET_LEVEL_NUM),"Applicable","N/A")</f>
        <v/>
      </c>
      <c r="I196" s="40" t="inlineStr">
        <is>
          <t>SAST + integration testing</t>
        </is>
      </c>
      <c r="J196" s="40" t="inlineStr">
        <is>
          <t>Deterministic, continuous</t>
        </is>
      </c>
      <c r="K196" s="39" t="inlineStr">
        <is>
          <t>Pipeline</t>
        </is>
      </c>
      <c r="L196" s="39" t="inlineStr">
        <is>
          <t>Not assessed</t>
        </is>
      </c>
      <c r="M196" s="40" t="n"/>
      <c r="N196" s="40" t="n"/>
      <c r="O196" s="42" t="inlineStr">
        <is>
          <t>High</t>
        </is>
      </c>
      <c r="P196" s="43">
        <f>IF(H196="N/A","N/A",INDEX(CRIT_MATRIX,MATCH(O196,CRIT_MATRIX_ROWS,0),MATCH(APP_RISK_TIER,CRIT_MATRIX_COLS,0)))</f>
        <v/>
      </c>
    </row>
    <row r="197" ht="39.75" customHeight="1" s="19">
      <c r="A197" s="39" t="inlineStr">
        <is>
          <t>V10.2.2</t>
        </is>
      </c>
      <c r="B197" s="40" t="inlineStr">
        <is>
          <t>V10 - OAuth and OIDC</t>
        </is>
      </c>
      <c r="C197" s="40" t="inlineStr">
        <is>
          <t>V10.2 - OAuth Client</t>
        </is>
      </c>
      <c r="D197" s="39"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39" t="inlineStr">
        <is>
          <t>OAUTH_OIDC_USED="Yes"</t>
        </is>
      </c>
      <c r="H197" s="41">
        <f>IF(AND(OAUTH_OIDC_USED="Yes",D197&lt;=TARGET_LEVEL_NUM),"Applicable","N/A")</f>
        <v/>
      </c>
      <c r="I197" s="40" t="inlineStr">
        <is>
          <t>SAST + integration testing</t>
        </is>
      </c>
      <c r="J197" s="40" t="inlineStr">
        <is>
          <t>Deterministic, continuous</t>
        </is>
      </c>
      <c r="K197" s="39" t="inlineStr">
        <is>
          <t>Pipeline</t>
        </is>
      </c>
      <c r="L197" s="39" t="inlineStr">
        <is>
          <t>Not assessed</t>
        </is>
      </c>
      <c r="M197" s="40" t="n"/>
      <c r="N197" s="40" t="n"/>
      <c r="O197" s="42" t="inlineStr">
        <is>
          <t>High</t>
        </is>
      </c>
      <c r="P197" s="43">
        <f>IF(H197="N/A","N/A",INDEX(CRIT_MATRIX,MATCH(O197,CRIT_MATRIX_ROWS,0),MATCH(APP_RISK_TIER,CRIT_MATRIX_COLS,0)))</f>
        <v/>
      </c>
    </row>
    <row r="198" ht="39.75" customHeight="1" s="19">
      <c r="A198" s="39" t="inlineStr">
        <is>
          <t>V10.2.3</t>
        </is>
      </c>
      <c r="B198" s="40" t="inlineStr">
        <is>
          <t>V10 - OAuth and OIDC</t>
        </is>
      </c>
      <c r="C198" s="40" t="inlineStr">
        <is>
          <t>V10.2 - OAuth Client</t>
        </is>
      </c>
      <c r="D198" s="39" t="n">
        <v>3</v>
      </c>
      <c r="E198" s="40" t="inlineStr">
        <is>
          <t>Verify that the OAuth client only requests the required scopes (or other authorization parameters) in requests to the authorization server.</t>
        </is>
      </c>
      <c r="F198" s="40" t="inlineStr">
        <is>
          <t>If uses OAuth/OIDC</t>
        </is>
      </c>
      <c r="G198" s="39" t="inlineStr">
        <is>
          <t>OAUTH_OIDC_USED="Yes"</t>
        </is>
      </c>
      <c r="H198" s="41">
        <f>IF(AND(OAUTH_OIDC_USED="Yes",D198&lt;=TARGET_LEVEL_NUM),"Applicable","N/A")</f>
        <v/>
      </c>
      <c r="I198" s="40" t="inlineStr">
        <is>
          <t>SAST + integration testing</t>
        </is>
      </c>
      <c r="J198" s="40" t="inlineStr">
        <is>
          <t>Deterministic, continuous</t>
        </is>
      </c>
      <c r="K198" s="39" t="inlineStr">
        <is>
          <t>Pipeline</t>
        </is>
      </c>
      <c r="L198" s="39" t="inlineStr">
        <is>
          <t>Not assessed</t>
        </is>
      </c>
      <c r="M198" s="40" t="n"/>
      <c r="N198" s="40" t="n"/>
      <c r="O198" s="42" t="inlineStr">
        <is>
          <t>High</t>
        </is>
      </c>
      <c r="P198" s="43">
        <f>IF(H198="N/A","N/A",INDEX(CRIT_MATRIX,MATCH(O198,CRIT_MATRIX_ROWS,0),MATCH(APP_RISK_TIER,CRIT_MATRIX_COLS,0)))</f>
        <v/>
      </c>
    </row>
    <row r="199" ht="39.75" customHeight="1" s="19">
      <c r="A199" s="39" t="inlineStr">
        <is>
          <t>V10.3.1</t>
        </is>
      </c>
      <c r="B199" s="40" t="inlineStr">
        <is>
          <t>V10 - OAuth and OIDC</t>
        </is>
      </c>
      <c r="C199" s="40" t="inlineStr">
        <is>
          <t>V10.3 - OAuth Resource Server</t>
        </is>
      </c>
      <c r="D199" s="39"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39" t="inlineStr">
        <is>
          <t>OAUTH_OIDC_USED="Yes"</t>
        </is>
      </c>
      <c r="H199" s="41">
        <f>IF(AND(OAUTH_OIDC_USED="Yes",D199&lt;=TARGET_LEVEL_NUM),"Applicable","N/A")</f>
        <v/>
      </c>
      <c r="I199" s="40" t="inlineStr">
        <is>
          <t>SAST + integration testing</t>
        </is>
      </c>
      <c r="J199" s="40" t="inlineStr">
        <is>
          <t>Deterministic, continuous</t>
        </is>
      </c>
      <c r="K199" s="39" t="inlineStr">
        <is>
          <t>Pipeline</t>
        </is>
      </c>
      <c r="L199" s="39" t="inlineStr">
        <is>
          <t>Not assessed</t>
        </is>
      </c>
      <c r="M199" s="40" t="n"/>
      <c r="N199" s="40" t="n"/>
      <c r="O199" s="42" t="inlineStr">
        <is>
          <t>High</t>
        </is>
      </c>
      <c r="P199" s="43">
        <f>IF(H199="N/A","N/A",INDEX(CRIT_MATRIX,MATCH(O199,CRIT_MATRIX_ROWS,0),MATCH(APP_RISK_TIER,CRIT_MATRIX_COLS,0)))</f>
        <v/>
      </c>
    </row>
    <row r="200" ht="39.75" customHeight="1" s="19">
      <c r="A200" s="39" t="inlineStr">
        <is>
          <t>V10.3.2</t>
        </is>
      </c>
      <c r="B200" s="40" t="inlineStr">
        <is>
          <t>V10 - OAuth and OIDC</t>
        </is>
      </c>
      <c r="C200" s="40" t="inlineStr">
        <is>
          <t>V10.3 - OAuth Resource Server</t>
        </is>
      </c>
      <c r="D200" s="39"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39" t="inlineStr">
        <is>
          <t>OAUTH_OIDC_USED="Yes"</t>
        </is>
      </c>
      <c r="H200" s="41">
        <f>IF(AND(OAUTH_OIDC_USED="Yes",D200&lt;=TARGET_LEVEL_NUM),"Applicable","N/A")</f>
        <v/>
      </c>
      <c r="I200" s="40" t="inlineStr">
        <is>
          <t>SAST + integration testing</t>
        </is>
      </c>
      <c r="J200" s="40" t="inlineStr">
        <is>
          <t>Deterministic, continuous</t>
        </is>
      </c>
      <c r="K200" s="39" t="inlineStr">
        <is>
          <t>Pipeline</t>
        </is>
      </c>
      <c r="L200" s="39" t="inlineStr">
        <is>
          <t>Not assessed</t>
        </is>
      </c>
      <c r="M200" s="40" t="n"/>
      <c r="N200" s="40" t="n"/>
      <c r="O200" s="42" t="inlineStr">
        <is>
          <t>High</t>
        </is>
      </c>
      <c r="P200" s="43">
        <f>IF(H200="N/A","N/A",INDEX(CRIT_MATRIX,MATCH(O200,CRIT_MATRIX_ROWS,0),MATCH(APP_RISK_TIER,CRIT_MATRIX_COLS,0)))</f>
        <v/>
      </c>
    </row>
    <row r="201" ht="39.75" customHeight="1" s="19">
      <c r="A201" s="39" t="inlineStr">
        <is>
          <t>V10.3.3</t>
        </is>
      </c>
      <c r="B201" s="40" t="inlineStr">
        <is>
          <t>V10 - OAuth and OIDC</t>
        </is>
      </c>
      <c r="C201" s="40" t="inlineStr">
        <is>
          <t>V10.3 - OAuth Resource Server</t>
        </is>
      </c>
      <c r="D201" s="39"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39" t="inlineStr">
        <is>
          <t>OAUTH_OIDC_USED="Yes"</t>
        </is>
      </c>
      <c r="H201" s="41">
        <f>IF(AND(OAUTH_OIDC_USED="Yes",D201&lt;=TARGET_LEVEL_NUM),"Applicable","N/A")</f>
        <v/>
      </c>
      <c r="I201" s="40" t="inlineStr">
        <is>
          <t>SAST + integration testing</t>
        </is>
      </c>
      <c r="J201" s="40" t="inlineStr">
        <is>
          <t>Deterministic, continuous</t>
        </is>
      </c>
      <c r="K201" s="39" t="inlineStr">
        <is>
          <t>Pipeline</t>
        </is>
      </c>
      <c r="L201" s="39" t="inlineStr">
        <is>
          <t>Not assessed</t>
        </is>
      </c>
      <c r="M201" s="40" t="n"/>
      <c r="N201" s="40" t="n"/>
      <c r="O201" s="42" t="inlineStr">
        <is>
          <t>High</t>
        </is>
      </c>
      <c r="P201" s="43">
        <f>IF(H201="N/A","N/A",INDEX(CRIT_MATRIX,MATCH(O201,CRIT_MATRIX_ROWS,0),MATCH(APP_RISK_TIER,CRIT_MATRIX_COLS,0)))</f>
        <v/>
      </c>
    </row>
    <row r="202" ht="39.75" customHeight="1" s="19">
      <c r="A202" s="39" t="inlineStr">
        <is>
          <t>V10.3.4</t>
        </is>
      </c>
      <c r="B202" s="40" t="inlineStr">
        <is>
          <t>V10 - OAuth and OIDC</t>
        </is>
      </c>
      <c r="C202" s="40" t="inlineStr">
        <is>
          <t>V10.3 - OAuth Resource Server</t>
        </is>
      </c>
      <c r="D202" s="39"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39" t="inlineStr">
        <is>
          <t>OAUTH_OIDC_USED="Yes"</t>
        </is>
      </c>
      <c r="H202" s="41">
        <f>IF(AND(OAUTH_OIDC_USED="Yes",D202&lt;=TARGET_LEVEL_NUM),"Applicable","N/A")</f>
        <v/>
      </c>
      <c r="I202" s="40" t="inlineStr">
        <is>
          <t>SAST + integration testing</t>
        </is>
      </c>
      <c r="J202" s="40" t="inlineStr">
        <is>
          <t>Deterministic, continuous</t>
        </is>
      </c>
      <c r="K202" s="39" t="inlineStr">
        <is>
          <t>Pipeline</t>
        </is>
      </c>
      <c r="L202" s="39" t="inlineStr">
        <is>
          <t>Not assessed</t>
        </is>
      </c>
      <c r="M202" s="40" t="n"/>
      <c r="N202" s="40" t="n"/>
      <c r="O202" s="42" t="inlineStr">
        <is>
          <t>High</t>
        </is>
      </c>
      <c r="P202" s="43">
        <f>IF(H202="N/A","N/A",INDEX(CRIT_MATRIX,MATCH(O202,CRIT_MATRIX_ROWS,0),MATCH(APP_RISK_TIER,CRIT_MATRIX_COLS,0)))</f>
        <v/>
      </c>
    </row>
    <row r="203" ht="39.75" customHeight="1" s="19">
      <c r="A203" s="39" t="inlineStr">
        <is>
          <t>V10.3.5</t>
        </is>
      </c>
      <c r="B203" s="40" t="inlineStr">
        <is>
          <t>V10 - OAuth and OIDC</t>
        </is>
      </c>
      <c r="C203" s="40" t="inlineStr">
        <is>
          <t>V10.3 - OAuth Resource Server</t>
        </is>
      </c>
      <c r="D203" s="39"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39" t="inlineStr">
        <is>
          <t>OAUTH_OIDC_USED="Yes"</t>
        </is>
      </c>
      <c r="H203" s="41">
        <f>IF(AND(OAUTH_OIDC_USED="Yes",D203&lt;=TARGET_LEVEL_NUM),"Applicable","N/A")</f>
        <v/>
      </c>
      <c r="I203" s="40" t="inlineStr">
        <is>
          <t>SAST + integration testing</t>
        </is>
      </c>
      <c r="J203" s="40" t="inlineStr">
        <is>
          <t>Deterministic, continuous</t>
        </is>
      </c>
      <c r="K203" s="39" t="inlineStr">
        <is>
          <t>Pipeline</t>
        </is>
      </c>
      <c r="L203" s="39" t="inlineStr">
        <is>
          <t>Not assessed</t>
        </is>
      </c>
      <c r="M203" s="40" t="n"/>
      <c r="N203" s="40" t="n"/>
      <c r="O203" s="42" t="inlineStr">
        <is>
          <t>High</t>
        </is>
      </c>
      <c r="P203" s="43">
        <f>IF(H203="N/A","N/A",INDEX(CRIT_MATRIX,MATCH(O203,CRIT_MATRIX_ROWS,0),MATCH(APP_RISK_TIER,CRIT_MATRIX_COLS,0)))</f>
        <v/>
      </c>
    </row>
    <row r="204" ht="39.75" customHeight="1" s="19">
      <c r="A204" s="39" t="inlineStr">
        <is>
          <t>V10.4.1</t>
        </is>
      </c>
      <c r="B204" s="40" t="inlineStr">
        <is>
          <t>V10 - OAuth and OIDC</t>
        </is>
      </c>
      <c r="C204" s="40" t="inlineStr">
        <is>
          <t>V10.4 - OAuth Authorization Server</t>
        </is>
      </c>
      <c r="D204" s="39" t="n">
        <v>1</v>
      </c>
      <c r="E204" s="40" t="inlineStr">
        <is>
          <t>Verify that the authorization server validates redirect URIs based on a client-specific allowlist of pre-registered URIs using exact string comparison.</t>
        </is>
      </c>
      <c r="F204" s="40" t="inlineStr">
        <is>
          <t>If uses OAuth/OIDC</t>
        </is>
      </c>
      <c r="G204" s="39" t="inlineStr">
        <is>
          <t>OAUTH_OIDC_USED="Yes"</t>
        </is>
      </c>
      <c r="H204" s="41">
        <f>IF(AND(OAUTH_OIDC_USED="Yes",D204&lt;=TARGET_LEVEL_NUM),"Applicable","N/A")</f>
        <v/>
      </c>
      <c r="I204" s="40" t="inlineStr">
        <is>
          <t>SAST + integration testing</t>
        </is>
      </c>
      <c r="J204" s="40" t="inlineStr">
        <is>
          <t>Deterministic, continuous</t>
        </is>
      </c>
      <c r="K204" s="39" t="inlineStr">
        <is>
          <t>Pipeline</t>
        </is>
      </c>
      <c r="L204" s="39" t="inlineStr">
        <is>
          <t>Not assessed</t>
        </is>
      </c>
      <c r="M204" s="40" t="n"/>
      <c r="N204" s="40" t="n"/>
      <c r="O204" s="42" t="inlineStr">
        <is>
          <t>High</t>
        </is>
      </c>
      <c r="P204" s="43">
        <f>IF(H204="N/A","N/A",INDEX(CRIT_MATRIX,MATCH(O204,CRIT_MATRIX_ROWS,0),MATCH(APP_RISK_TIER,CRIT_MATRIX_COLS,0)))</f>
        <v/>
      </c>
    </row>
    <row r="205" ht="39.75" customHeight="1" s="19">
      <c r="A205" s="39" t="inlineStr">
        <is>
          <t>V10.4.2</t>
        </is>
      </c>
      <c r="B205" s="40" t="inlineStr">
        <is>
          <t>V10 - OAuth and OIDC</t>
        </is>
      </c>
      <c r="C205" s="40" t="inlineStr">
        <is>
          <t>V10.4 - OAuth Authorization Server</t>
        </is>
      </c>
      <c r="D205" s="39"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39" t="inlineStr">
        <is>
          <t>OAUTH_OIDC_USED="Yes"</t>
        </is>
      </c>
      <c r="H205" s="41">
        <f>IF(AND(OAUTH_OIDC_USED="Yes",D205&lt;=TARGET_LEVEL_NUM),"Applicable","N/A")</f>
        <v/>
      </c>
      <c r="I205" s="40" t="inlineStr">
        <is>
          <t>SAST + integration testing</t>
        </is>
      </c>
      <c r="J205" s="40" t="inlineStr">
        <is>
          <t>Deterministic, continuous</t>
        </is>
      </c>
      <c r="K205" s="39" t="inlineStr">
        <is>
          <t>Pipeline</t>
        </is>
      </c>
      <c r="L205" s="39" t="inlineStr">
        <is>
          <t>Not assessed</t>
        </is>
      </c>
      <c r="M205" s="40" t="n"/>
      <c r="N205" s="40" t="n"/>
      <c r="O205" s="42" t="inlineStr">
        <is>
          <t>High</t>
        </is>
      </c>
      <c r="P205" s="43">
        <f>IF(H205="N/A","N/A",INDEX(CRIT_MATRIX,MATCH(O205,CRIT_MATRIX_ROWS,0),MATCH(APP_RISK_TIER,CRIT_MATRIX_COLS,0)))</f>
        <v/>
      </c>
    </row>
    <row r="206" ht="39.75" customHeight="1" s="19">
      <c r="A206" s="39" t="inlineStr">
        <is>
          <t>V10.4.3</t>
        </is>
      </c>
      <c r="B206" s="40" t="inlineStr">
        <is>
          <t>V10 - OAuth and OIDC</t>
        </is>
      </c>
      <c r="C206" s="40" t="inlineStr">
        <is>
          <t>V10.4 - OAuth Authorization Server</t>
        </is>
      </c>
      <c r="D206" s="39" t="n">
        <v>1</v>
      </c>
      <c r="E206" s="40" t="inlineStr">
        <is>
          <t>Verify that the authorization code is short-lived. The maximum lifetime can be up to 10 minutes for L1 and L2 applications and up to 1 minute for L3 applications.</t>
        </is>
      </c>
      <c r="F206" s="40" t="inlineStr">
        <is>
          <t>If uses OAuth/OIDC</t>
        </is>
      </c>
      <c r="G206" s="39" t="inlineStr">
        <is>
          <t>OAUTH_OIDC_USED="Yes"</t>
        </is>
      </c>
      <c r="H206" s="41">
        <f>IF(AND(OAUTH_OIDC_USED="Yes",D206&lt;=TARGET_LEVEL_NUM),"Applicable","N/A")</f>
        <v/>
      </c>
      <c r="I206" s="40" t="inlineStr">
        <is>
          <t>SAST + integration testing</t>
        </is>
      </c>
      <c r="J206" s="40" t="inlineStr">
        <is>
          <t>Deterministic, continuous</t>
        </is>
      </c>
      <c r="K206" s="39" t="inlineStr">
        <is>
          <t>Pipeline</t>
        </is>
      </c>
      <c r="L206" s="39" t="inlineStr">
        <is>
          <t>Not assessed</t>
        </is>
      </c>
      <c r="M206" s="40" t="n"/>
      <c r="N206" s="40" t="n"/>
      <c r="O206" s="42" t="inlineStr">
        <is>
          <t>High</t>
        </is>
      </c>
      <c r="P206" s="43">
        <f>IF(H206="N/A","N/A",INDEX(CRIT_MATRIX,MATCH(O206,CRIT_MATRIX_ROWS,0),MATCH(APP_RISK_TIER,CRIT_MATRIX_COLS,0)))</f>
        <v/>
      </c>
    </row>
    <row r="207" ht="39.75" customHeight="1" s="19">
      <c r="A207" s="39" t="inlineStr">
        <is>
          <t>V10.4.4</t>
        </is>
      </c>
      <c r="B207" s="40" t="inlineStr">
        <is>
          <t>V10 - OAuth and OIDC</t>
        </is>
      </c>
      <c r="C207" s="40" t="inlineStr">
        <is>
          <t>V10.4 - OAuth Authorization Server</t>
        </is>
      </c>
      <c r="D207" s="39"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39" t="inlineStr">
        <is>
          <t>OAUTH_OIDC_USED="Yes"</t>
        </is>
      </c>
      <c r="H207" s="41">
        <f>IF(AND(OAUTH_OIDC_USED="Yes",D207&lt;=TARGET_LEVEL_NUM),"Applicable","N/A")</f>
        <v/>
      </c>
      <c r="I207" s="40" t="inlineStr">
        <is>
          <t>SAST + integration testing</t>
        </is>
      </c>
      <c r="J207" s="40" t="inlineStr">
        <is>
          <t>Deterministic, continuous</t>
        </is>
      </c>
      <c r="K207" s="39" t="inlineStr">
        <is>
          <t>Pipeline</t>
        </is>
      </c>
      <c r="L207" s="39" t="inlineStr">
        <is>
          <t>Not assessed</t>
        </is>
      </c>
      <c r="M207" s="40" t="n"/>
      <c r="N207" s="40" t="n"/>
      <c r="O207" s="42" t="inlineStr">
        <is>
          <t>High</t>
        </is>
      </c>
      <c r="P207" s="43">
        <f>IF(H207="N/A","N/A",INDEX(CRIT_MATRIX,MATCH(O207,CRIT_MATRIX_ROWS,0),MATCH(APP_RISK_TIER,CRIT_MATRIX_COLS,0)))</f>
        <v/>
      </c>
    </row>
    <row r="208" ht="39.75" customHeight="1" s="19">
      <c r="A208" s="39" t="inlineStr">
        <is>
          <t>V10.4.5</t>
        </is>
      </c>
      <c r="B208" s="40" t="inlineStr">
        <is>
          <t>V10 - OAuth and OIDC</t>
        </is>
      </c>
      <c r="C208" s="40" t="inlineStr">
        <is>
          <t>V10.4 - OAuth Authorization Server</t>
        </is>
      </c>
      <c r="D208" s="39"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39" t="inlineStr">
        <is>
          <t>OAUTH_OIDC_USED="Yes"</t>
        </is>
      </c>
      <c r="H208" s="41">
        <f>IF(AND(OAUTH_OIDC_USED="Yes",D208&lt;=TARGET_LEVEL_NUM),"Applicable","N/A")</f>
        <v/>
      </c>
      <c r="I208" s="40" t="inlineStr">
        <is>
          <t>SAST + integration testing</t>
        </is>
      </c>
      <c r="J208" s="40" t="inlineStr">
        <is>
          <t>Deterministic, continuous</t>
        </is>
      </c>
      <c r="K208" s="39" t="inlineStr">
        <is>
          <t>Pipeline</t>
        </is>
      </c>
      <c r="L208" s="39" t="inlineStr">
        <is>
          <t>Not assessed</t>
        </is>
      </c>
      <c r="M208" s="40" t="n"/>
      <c r="N208" s="40" t="n"/>
      <c r="O208" s="42" t="inlineStr">
        <is>
          <t>High</t>
        </is>
      </c>
      <c r="P208" s="43">
        <f>IF(H208="N/A","N/A",INDEX(CRIT_MATRIX,MATCH(O208,CRIT_MATRIX_ROWS,0),MATCH(APP_RISK_TIER,CRIT_MATRIX_COLS,0)))</f>
        <v/>
      </c>
    </row>
    <row r="209" ht="39.75" customHeight="1" s="19">
      <c r="A209" s="39" t="inlineStr">
        <is>
          <t>V10.4.6</t>
        </is>
      </c>
      <c r="B209" s="40" t="inlineStr">
        <is>
          <t>V10 - OAuth and OIDC</t>
        </is>
      </c>
      <c r="C209" s="40" t="inlineStr">
        <is>
          <t>V10.4 - OAuth Authorization Server</t>
        </is>
      </c>
      <c r="D209" s="39"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39" t="inlineStr">
        <is>
          <t>OAUTH_OIDC_USED="Yes"</t>
        </is>
      </c>
      <c r="H209" s="41">
        <f>IF(AND(OAUTH_OIDC_USED="Yes",D209&lt;=TARGET_LEVEL_NUM),"Applicable","N/A")</f>
        <v/>
      </c>
      <c r="I209" s="40" t="inlineStr">
        <is>
          <t>SAST + integration testing</t>
        </is>
      </c>
      <c r="J209" s="40" t="inlineStr">
        <is>
          <t>Deterministic, continuous</t>
        </is>
      </c>
      <c r="K209" s="39" t="inlineStr">
        <is>
          <t>Pipeline</t>
        </is>
      </c>
      <c r="L209" s="39" t="inlineStr">
        <is>
          <t>Not assessed</t>
        </is>
      </c>
      <c r="M209" s="40" t="n"/>
      <c r="N209" s="40" t="n"/>
      <c r="O209" s="42" t="inlineStr">
        <is>
          <t>High</t>
        </is>
      </c>
      <c r="P209" s="43">
        <f>IF(H209="N/A","N/A",INDEX(CRIT_MATRIX,MATCH(O209,CRIT_MATRIX_ROWS,0),MATCH(APP_RISK_TIER,CRIT_MATRIX_COLS,0)))</f>
        <v/>
      </c>
    </row>
    <row r="210" ht="39.75" customHeight="1" s="19">
      <c r="A210" s="39" t="inlineStr">
        <is>
          <t>V10.4.7</t>
        </is>
      </c>
      <c r="B210" s="40" t="inlineStr">
        <is>
          <t>V10 - OAuth and OIDC</t>
        </is>
      </c>
      <c r="C210" s="40" t="inlineStr">
        <is>
          <t>V10.4 - OAuth Authorization Server</t>
        </is>
      </c>
      <c r="D210" s="39"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39" t="inlineStr">
        <is>
          <t>OAUTH_OIDC_USED="Yes"</t>
        </is>
      </c>
      <c r="H210" s="41">
        <f>IF(AND(OAUTH_OIDC_USED="Yes",D210&lt;=TARGET_LEVEL_NUM),"Applicable","N/A")</f>
        <v/>
      </c>
      <c r="I210" s="40" t="inlineStr">
        <is>
          <t>SAST + integration testing</t>
        </is>
      </c>
      <c r="J210" s="40" t="inlineStr">
        <is>
          <t>Deterministic, continuous</t>
        </is>
      </c>
      <c r="K210" s="39" t="inlineStr">
        <is>
          <t>Pipeline</t>
        </is>
      </c>
      <c r="L210" s="39" t="inlineStr">
        <is>
          <t>Not assessed</t>
        </is>
      </c>
      <c r="M210" s="40" t="n"/>
      <c r="N210" s="40" t="n"/>
      <c r="O210" s="42" t="inlineStr">
        <is>
          <t>High</t>
        </is>
      </c>
      <c r="P210" s="43">
        <f>IF(H210="N/A","N/A",INDEX(CRIT_MATRIX,MATCH(O210,CRIT_MATRIX_ROWS,0),MATCH(APP_RISK_TIER,CRIT_MATRIX_COLS,0)))</f>
        <v/>
      </c>
    </row>
    <row r="211" ht="39.75" customHeight="1" s="19">
      <c r="A211" s="39" t="inlineStr">
        <is>
          <t>V10.4.8</t>
        </is>
      </c>
      <c r="B211" s="40" t="inlineStr">
        <is>
          <t>V10 - OAuth and OIDC</t>
        </is>
      </c>
      <c r="C211" s="40" t="inlineStr">
        <is>
          <t>V10.4 - OAuth Authorization Server</t>
        </is>
      </c>
      <c r="D211" s="39" t="n">
        <v>2</v>
      </c>
      <c r="E211" s="40" t="inlineStr">
        <is>
          <t>Verify that refresh tokens have an absolute expiration, including if sliding refresh token expiration is applied.</t>
        </is>
      </c>
      <c r="F211" s="40" t="inlineStr">
        <is>
          <t>If uses OAuth/OIDC</t>
        </is>
      </c>
      <c r="G211" s="39" t="inlineStr">
        <is>
          <t>OAUTH_OIDC_USED="Yes"</t>
        </is>
      </c>
      <c r="H211" s="41">
        <f>IF(AND(OAUTH_OIDC_USED="Yes",D211&lt;=TARGET_LEVEL_NUM),"Applicable","N/A")</f>
        <v/>
      </c>
      <c r="I211" s="40" t="inlineStr">
        <is>
          <t>SAST + integration testing</t>
        </is>
      </c>
      <c r="J211" s="40" t="inlineStr">
        <is>
          <t>Deterministic, continuous</t>
        </is>
      </c>
      <c r="K211" s="39" t="inlineStr">
        <is>
          <t>Pipeline</t>
        </is>
      </c>
      <c r="L211" s="39" t="inlineStr">
        <is>
          <t>Not assessed</t>
        </is>
      </c>
      <c r="M211" s="40" t="n"/>
      <c r="N211" s="40" t="n"/>
      <c r="O211" s="42" t="inlineStr">
        <is>
          <t>High</t>
        </is>
      </c>
      <c r="P211" s="43">
        <f>IF(H211="N/A","N/A",INDEX(CRIT_MATRIX,MATCH(O211,CRIT_MATRIX_ROWS,0),MATCH(APP_RISK_TIER,CRIT_MATRIX_COLS,0)))</f>
        <v/>
      </c>
    </row>
    <row r="212" ht="39.75" customHeight="1" s="19">
      <c r="A212" s="39" t="inlineStr">
        <is>
          <t>V10.4.9</t>
        </is>
      </c>
      <c r="B212" s="40" t="inlineStr">
        <is>
          <t>V10 - OAuth and OIDC</t>
        </is>
      </c>
      <c r="C212" s="40" t="inlineStr">
        <is>
          <t>V10.4 - OAuth Authorization Server</t>
        </is>
      </c>
      <c r="D212" s="39"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39" t="inlineStr">
        <is>
          <t>OAUTH_OIDC_USED="Yes"</t>
        </is>
      </c>
      <c r="H212" s="41">
        <f>IF(AND(OAUTH_OIDC_USED="Yes",D212&lt;=TARGET_LEVEL_NUM),"Applicable","N/A")</f>
        <v/>
      </c>
      <c r="I212" s="40" t="inlineStr">
        <is>
          <t>SAST + integration testing</t>
        </is>
      </c>
      <c r="J212" s="40" t="inlineStr">
        <is>
          <t>Deterministic, continuous</t>
        </is>
      </c>
      <c r="K212" s="39" t="inlineStr">
        <is>
          <t>Pipeline</t>
        </is>
      </c>
      <c r="L212" s="39" t="inlineStr">
        <is>
          <t>Not assessed</t>
        </is>
      </c>
      <c r="M212" s="40" t="n"/>
      <c r="N212" s="40" t="n"/>
      <c r="O212" s="42" t="inlineStr">
        <is>
          <t>High</t>
        </is>
      </c>
      <c r="P212" s="43">
        <f>IF(H212="N/A","N/A",INDEX(CRIT_MATRIX,MATCH(O212,CRIT_MATRIX_ROWS,0),MATCH(APP_RISK_TIER,CRIT_MATRIX_COLS,0)))</f>
        <v/>
      </c>
    </row>
    <row r="213" ht="39.75" customHeight="1" s="19">
      <c r="A213" s="39" t="inlineStr">
        <is>
          <t>V10.4.10</t>
        </is>
      </c>
      <c r="B213" s="40" t="inlineStr">
        <is>
          <t>V10 - OAuth and OIDC</t>
        </is>
      </c>
      <c r="C213" s="40" t="inlineStr">
        <is>
          <t>V10.4 - OAuth Authorization Server</t>
        </is>
      </c>
      <c r="D213" s="39"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39" t="inlineStr">
        <is>
          <t>OAUTH_OIDC_USED="Yes"</t>
        </is>
      </c>
      <c r="H213" s="41">
        <f>IF(AND(OAUTH_OIDC_USED="Yes",D213&lt;=TARGET_LEVEL_NUM),"Applicable","N/A")</f>
        <v/>
      </c>
      <c r="I213" s="40" t="inlineStr">
        <is>
          <t>SAST + integration testing</t>
        </is>
      </c>
      <c r="J213" s="40" t="inlineStr">
        <is>
          <t>Deterministic, continuous</t>
        </is>
      </c>
      <c r="K213" s="39" t="inlineStr">
        <is>
          <t>Pipeline</t>
        </is>
      </c>
      <c r="L213" s="39" t="inlineStr">
        <is>
          <t>Not assessed</t>
        </is>
      </c>
      <c r="M213" s="40" t="n"/>
      <c r="N213" s="40" t="n"/>
      <c r="O213" s="42" t="inlineStr">
        <is>
          <t>High</t>
        </is>
      </c>
      <c r="P213" s="43">
        <f>IF(H213="N/A","N/A",INDEX(CRIT_MATRIX,MATCH(O213,CRIT_MATRIX_ROWS,0),MATCH(APP_RISK_TIER,CRIT_MATRIX_COLS,0)))</f>
        <v/>
      </c>
    </row>
    <row r="214" ht="39.75" customHeight="1" s="19">
      <c r="A214" s="39" t="inlineStr">
        <is>
          <t>V10.4.11</t>
        </is>
      </c>
      <c r="B214" s="40" t="inlineStr">
        <is>
          <t>V10 - OAuth and OIDC</t>
        </is>
      </c>
      <c r="C214" s="40" t="inlineStr">
        <is>
          <t>V10.4 - OAuth Authorization Server</t>
        </is>
      </c>
      <c r="D214" s="39" t="n">
        <v>2</v>
      </c>
      <c r="E214" s="40" t="inlineStr">
        <is>
          <t>Verify that the authorization server configuration only assigns the required scopes to the OAuth client.</t>
        </is>
      </c>
      <c r="F214" s="40" t="inlineStr">
        <is>
          <t>If uses OAuth/OIDC</t>
        </is>
      </c>
      <c r="G214" s="39" t="inlineStr">
        <is>
          <t>OAUTH_OIDC_USED="Yes"</t>
        </is>
      </c>
      <c r="H214" s="41">
        <f>IF(AND(OAUTH_OIDC_USED="Yes",D214&lt;=TARGET_LEVEL_NUM),"Applicable","N/A")</f>
        <v/>
      </c>
      <c r="I214" s="40" t="inlineStr">
        <is>
          <t>SAST + integration testing</t>
        </is>
      </c>
      <c r="J214" s="40" t="inlineStr">
        <is>
          <t>Deterministic, continuous</t>
        </is>
      </c>
      <c r="K214" s="39" t="inlineStr">
        <is>
          <t>Pipeline</t>
        </is>
      </c>
      <c r="L214" s="39" t="inlineStr">
        <is>
          <t>Not assessed</t>
        </is>
      </c>
      <c r="M214" s="40" t="n"/>
      <c r="N214" s="40" t="n"/>
      <c r="O214" s="42" t="inlineStr">
        <is>
          <t>High</t>
        </is>
      </c>
      <c r="P214" s="43">
        <f>IF(H214="N/A","N/A",INDEX(CRIT_MATRIX,MATCH(O214,CRIT_MATRIX_ROWS,0),MATCH(APP_RISK_TIER,CRIT_MATRIX_COLS,0)))</f>
        <v/>
      </c>
    </row>
    <row r="215" ht="39.75" customHeight="1" s="19">
      <c r="A215" s="39" t="inlineStr">
        <is>
          <t>V10.4.12</t>
        </is>
      </c>
      <c r="B215" s="40" t="inlineStr">
        <is>
          <t>V10 - OAuth and OIDC</t>
        </is>
      </c>
      <c r="C215" s="40" t="inlineStr">
        <is>
          <t>V10.4 - OAuth Authorization Server</t>
        </is>
      </c>
      <c r="D215" s="39"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39" t="inlineStr">
        <is>
          <t>OAUTH_OIDC_USED="Yes"</t>
        </is>
      </c>
      <c r="H215" s="41">
        <f>IF(AND(OAUTH_OIDC_USED="Yes",D215&lt;=TARGET_LEVEL_NUM),"Applicable","N/A")</f>
        <v/>
      </c>
      <c r="I215" s="40" t="inlineStr">
        <is>
          <t>SAST + integration testing</t>
        </is>
      </c>
      <c r="J215" s="40" t="inlineStr">
        <is>
          <t>Deterministic, continuous</t>
        </is>
      </c>
      <c r="K215" s="39" t="inlineStr">
        <is>
          <t>Pipeline</t>
        </is>
      </c>
      <c r="L215" s="39" t="inlineStr">
        <is>
          <t>Not assessed</t>
        </is>
      </c>
      <c r="M215" s="40" t="n"/>
      <c r="N215" s="40" t="n"/>
      <c r="O215" s="42" t="inlineStr">
        <is>
          <t>High</t>
        </is>
      </c>
      <c r="P215" s="43">
        <f>IF(H215="N/A","N/A",INDEX(CRIT_MATRIX,MATCH(O215,CRIT_MATRIX_ROWS,0),MATCH(APP_RISK_TIER,CRIT_MATRIX_COLS,0)))</f>
        <v/>
      </c>
    </row>
    <row r="216" ht="39.75" customHeight="1" s="19">
      <c r="A216" s="39" t="inlineStr">
        <is>
          <t>V10.4.13</t>
        </is>
      </c>
      <c r="B216" s="40" t="inlineStr">
        <is>
          <t>V10 - OAuth and OIDC</t>
        </is>
      </c>
      <c r="C216" s="40" t="inlineStr">
        <is>
          <t>V10.4 - OAuth Authorization Server</t>
        </is>
      </c>
      <c r="D216" s="39" t="n">
        <v>3</v>
      </c>
      <c r="E216" s="40" t="inlineStr">
        <is>
          <t>Verify that grant type 'code' is always used together with pushed authorization requests (PAR).</t>
        </is>
      </c>
      <c r="F216" s="40" t="inlineStr">
        <is>
          <t>If uses OAuth/OIDC</t>
        </is>
      </c>
      <c r="G216" s="39" t="inlineStr">
        <is>
          <t>OAUTH_OIDC_USED="Yes"</t>
        </is>
      </c>
      <c r="H216" s="41">
        <f>IF(AND(OAUTH_OIDC_USED="Yes",D216&lt;=TARGET_LEVEL_NUM),"Applicable","N/A")</f>
        <v/>
      </c>
      <c r="I216" s="40" t="inlineStr">
        <is>
          <t>SAST + integration testing</t>
        </is>
      </c>
      <c r="J216" s="40" t="inlineStr">
        <is>
          <t>Deterministic, continuous</t>
        </is>
      </c>
      <c r="K216" s="39" t="inlineStr">
        <is>
          <t>Pipeline</t>
        </is>
      </c>
      <c r="L216" s="39" t="inlineStr">
        <is>
          <t>Not assessed</t>
        </is>
      </c>
      <c r="M216" s="40" t="n"/>
      <c r="N216" s="40" t="n"/>
      <c r="O216" s="42" t="inlineStr">
        <is>
          <t>High</t>
        </is>
      </c>
      <c r="P216" s="43">
        <f>IF(H216="N/A","N/A",INDEX(CRIT_MATRIX,MATCH(O216,CRIT_MATRIX_ROWS,0),MATCH(APP_RISK_TIER,CRIT_MATRIX_COLS,0)))</f>
        <v/>
      </c>
    </row>
    <row r="217" ht="39.75" customHeight="1" s="19">
      <c r="A217" s="39" t="inlineStr">
        <is>
          <t>V10.4.14</t>
        </is>
      </c>
      <c r="B217" s="40" t="inlineStr">
        <is>
          <t>V10 - OAuth and OIDC</t>
        </is>
      </c>
      <c r="C217" s="40" t="inlineStr">
        <is>
          <t>V10.4 - OAuth Authorization Server</t>
        </is>
      </c>
      <c r="D217" s="39"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39" t="inlineStr">
        <is>
          <t>OAUTH_OIDC_USED="Yes"</t>
        </is>
      </c>
      <c r="H217" s="41">
        <f>IF(AND(OAUTH_OIDC_USED="Yes",D217&lt;=TARGET_LEVEL_NUM),"Applicable","N/A")</f>
        <v/>
      </c>
      <c r="I217" s="40" t="inlineStr">
        <is>
          <t>SAST + integration testing</t>
        </is>
      </c>
      <c r="J217" s="40" t="inlineStr">
        <is>
          <t>Deterministic, continuous</t>
        </is>
      </c>
      <c r="K217" s="39" t="inlineStr">
        <is>
          <t>Pipeline</t>
        </is>
      </c>
      <c r="L217" s="39" t="inlineStr">
        <is>
          <t>Not assessed</t>
        </is>
      </c>
      <c r="M217" s="40" t="n"/>
      <c r="N217" s="40" t="n"/>
      <c r="O217" s="42" t="inlineStr">
        <is>
          <t>High</t>
        </is>
      </c>
      <c r="P217" s="43">
        <f>IF(H217="N/A","N/A",INDEX(CRIT_MATRIX,MATCH(O217,CRIT_MATRIX_ROWS,0),MATCH(APP_RISK_TIER,CRIT_MATRIX_COLS,0)))</f>
        <v/>
      </c>
    </row>
    <row r="218" ht="39.75" customHeight="1" s="19">
      <c r="A218" s="39" t="inlineStr">
        <is>
          <t>V10.4.15</t>
        </is>
      </c>
      <c r="B218" s="40" t="inlineStr">
        <is>
          <t>V10 - OAuth and OIDC</t>
        </is>
      </c>
      <c r="C218" s="40" t="inlineStr">
        <is>
          <t>V10.4 - OAuth Authorization Server</t>
        </is>
      </c>
      <c r="D218" s="39"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39" t="inlineStr">
        <is>
          <t>OAUTH_OIDC_USED="Yes"</t>
        </is>
      </c>
      <c r="H218" s="41">
        <f>IF(AND(OAUTH_OIDC_USED="Yes",D218&lt;=TARGET_LEVEL_NUM),"Applicable","N/A")</f>
        <v/>
      </c>
      <c r="I218" s="40" t="inlineStr">
        <is>
          <t>SAST + integration testing</t>
        </is>
      </c>
      <c r="J218" s="40" t="inlineStr">
        <is>
          <t>Deterministic, continuous</t>
        </is>
      </c>
      <c r="K218" s="39" t="inlineStr">
        <is>
          <t>Pipeline</t>
        </is>
      </c>
      <c r="L218" s="39" t="inlineStr">
        <is>
          <t>Not assessed</t>
        </is>
      </c>
      <c r="M218" s="40" t="n"/>
      <c r="N218" s="40" t="n"/>
      <c r="O218" s="42" t="inlineStr">
        <is>
          <t>High</t>
        </is>
      </c>
      <c r="P218" s="43">
        <f>IF(H218="N/A","N/A",INDEX(CRIT_MATRIX,MATCH(O218,CRIT_MATRIX_ROWS,0),MATCH(APP_RISK_TIER,CRIT_MATRIX_COLS,0)))</f>
        <v/>
      </c>
    </row>
    <row r="219" ht="39.75" customHeight="1" s="19">
      <c r="A219" s="39" t="inlineStr">
        <is>
          <t>V10.4.16</t>
        </is>
      </c>
      <c r="B219" s="40" t="inlineStr">
        <is>
          <t>V10 - OAuth and OIDC</t>
        </is>
      </c>
      <c r="C219" s="40" t="inlineStr">
        <is>
          <t>V10.4 - OAuth Authorization Server</t>
        </is>
      </c>
      <c r="D219" s="39"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39" t="inlineStr">
        <is>
          <t>OAUTH_OIDC_USED="Yes"</t>
        </is>
      </c>
      <c r="H219" s="41">
        <f>IF(AND(OAUTH_OIDC_USED="Yes",D219&lt;=TARGET_LEVEL_NUM),"Applicable","N/A")</f>
        <v/>
      </c>
      <c r="I219" s="40" t="inlineStr">
        <is>
          <t>SAST + integration testing</t>
        </is>
      </c>
      <c r="J219" s="40" t="inlineStr">
        <is>
          <t>Deterministic, continuous</t>
        </is>
      </c>
      <c r="K219" s="39" t="inlineStr">
        <is>
          <t>Pipeline</t>
        </is>
      </c>
      <c r="L219" s="39" t="inlineStr">
        <is>
          <t>Not assessed</t>
        </is>
      </c>
      <c r="M219" s="40" t="n"/>
      <c r="N219" s="40" t="n"/>
      <c r="O219" s="42" t="inlineStr">
        <is>
          <t>High</t>
        </is>
      </c>
      <c r="P219" s="43">
        <f>IF(H219="N/A","N/A",INDEX(CRIT_MATRIX,MATCH(O219,CRIT_MATRIX_ROWS,0),MATCH(APP_RISK_TIER,CRIT_MATRIX_COLS,0)))</f>
        <v/>
      </c>
    </row>
    <row r="220" ht="39.75" customHeight="1" s="19">
      <c r="A220" s="39" t="inlineStr">
        <is>
          <t>V10.5.1</t>
        </is>
      </c>
      <c r="B220" s="40" t="inlineStr">
        <is>
          <t>V10 - OAuth and OIDC</t>
        </is>
      </c>
      <c r="C220" s="40" t="inlineStr">
        <is>
          <t>V10.5 - OIDC Client</t>
        </is>
      </c>
      <c r="D220" s="39"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39" t="inlineStr">
        <is>
          <t>OAUTH_OIDC_USED="Yes"</t>
        </is>
      </c>
      <c r="H220" s="41">
        <f>IF(AND(OAUTH_OIDC_USED="Yes",D220&lt;=TARGET_LEVEL_NUM),"Applicable","N/A")</f>
        <v/>
      </c>
      <c r="I220" s="40" t="inlineStr">
        <is>
          <t>SAST + integration testing</t>
        </is>
      </c>
      <c r="J220" s="40" t="inlineStr">
        <is>
          <t>Deterministic, continuous</t>
        </is>
      </c>
      <c r="K220" s="39" t="inlineStr">
        <is>
          <t>Pipeline</t>
        </is>
      </c>
      <c r="L220" s="39" t="inlineStr">
        <is>
          <t>Not assessed</t>
        </is>
      </c>
      <c r="M220" s="40" t="n"/>
      <c r="N220" s="40" t="n"/>
      <c r="O220" s="42" t="inlineStr">
        <is>
          <t>High</t>
        </is>
      </c>
      <c r="P220" s="43">
        <f>IF(H220="N/A","N/A",INDEX(CRIT_MATRIX,MATCH(O220,CRIT_MATRIX_ROWS,0),MATCH(APP_RISK_TIER,CRIT_MATRIX_COLS,0)))</f>
        <v/>
      </c>
    </row>
    <row r="221" ht="39.75" customHeight="1" s="19">
      <c r="A221" s="39" t="inlineStr">
        <is>
          <t>V10.5.2</t>
        </is>
      </c>
      <c r="B221" s="40" t="inlineStr">
        <is>
          <t>V10 - OAuth and OIDC</t>
        </is>
      </c>
      <c r="C221" s="40" t="inlineStr">
        <is>
          <t>V10.5 - OIDC Client</t>
        </is>
      </c>
      <c r="D221" s="39" t="n">
        <v>2</v>
      </c>
      <c r="E221" s="40" t="inlineStr">
        <is>
          <t>Verify that the client uniquely identifies the user from ID Token claims, usually the 'sub' claim, which cannot be reassigned to other users (for the scope of an identity provider).</t>
        </is>
      </c>
      <c r="F221" s="40" t="inlineStr">
        <is>
          <t>If uses OAuth/OIDC</t>
        </is>
      </c>
      <c r="G221" s="39" t="inlineStr">
        <is>
          <t>OAUTH_OIDC_USED="Yes"</t>
        </is>
      </c>
      <c r="H221" s="41">
        <f>IF(AND(OAUTH_OIDC_USED="Yes",D221&lt;=TARGET_LEVEL_NUM),"Applicable","N/A")</f>
        <v/>
      </c>
      <c r="I221" s="40" t="inlineStr">
        <is>
          <t>SAST + integration testing</t>
        </is>
      </c>
      <c r="J221" s="40" t="inlineStr">
        <is>
          <t>Deterministic, continuous</t>
        </is>
      </c>
      <c r="K221" s="39" t="inlineStr">
        <is>
          <t>Pipeline</t>
        </is>
      </c>
      <c r="L221" s="39" t="inlineStr">
        <is>
          <t>Not assessed</t>
        </is>
      </c>
      <c r="M221" s="40" t="n"/>
      <c r="N221" s="40" t="n"/>
      <c r="O221" s="42" t="inlineStr">
        <is>
          <t>High</t>
        </is>
      </c>
      <c r="P221" s="43">
        <f>IF(H221="N/A","N/A",INDEX(CRIT_MATRIX,MATCH(O221,CRIT_MATRIX_ROWS,0),MATCH(APP_RISK_TIER,CRIT_MATRIX_COLS,0)))</f>
        <v/>
      </c>
    </row>
    <row r="222" ht="39.75" customHeight="1" s="19">
      <c r="A222" s="39" t="inlineStr">
        <is>
          <t>V10.5.3</t>
        </is>
      </c>
      <c r="B222" s="40" t="inlineStr">
        <is>
          <t>V10 - OAuth and OIDC</t>
        </is>
      </c>
      <c r="C222" s="40" t="inlineStr">
        <is>
          <t>V10.5 - OIDC Client</t>
        </is>
      </c>
      <c r="D222" s="39"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39" t="inlineStr">
        <is>
          <t>OAUTH_OIDC_USED="Yes"</t>
        </is>
      </c>
      <c r="H222" s="41">
        <f>IF(AND(OAUTH_OIDC_USED="Yes",D222&lt;=TARGET_LEVEL_NUM),"Applicable","N/A")</f>
        <v/>
      </c>
      <c r="I222" s="40" t="inlineStr">
        <is>
          <t>SAST + integration testing</t>
        </is>
      </c>
      <c r="J222" s="40" t="inlineStr">
        <is>
          <t>Deterministic, continuous</t>
        </is>
      </c>
      <c r="K222" s="39" t="inlineStr">
        <is>
          <t>Pipeline</t>
        </is>
      </c>
      <c r="L222" s="39" t="inlineStr">
        <is>
          <t>Not assessed</t>
        </is>
      </c>
      <c r="M222" s="40" t="n"/>
      <c r="N222" s="40" t="n"/>
      <c r="O222" s="42" t="inlineStr">
        <is>
          <t>High</t>
        </is>
      </c>
      <c r="P222" s="43">
        <f>IF(H222="N/A","N/A",INDEX(CRIT_MATRIX,MATCH(O222,CRIT_MATRIX_ROWS,0),MATCH(APP_RISK_TIER,CRIT_MATRIX_COLS,0)))</f>
        <v/>
      </c>
    </row>
    <row r="223" ht="39.75" customHeight="1" s="19">
      <c r="A223" s="39" t="inlineStr">
        <is>
          <t>V10.5.4</t>
        </is>
      </c>
      <c r="B223" s="40" t="inlineStr">
        <is>
          <t>V10 - OAuth and OIDC</t>
        </is>
      </c>
      <c r="C223" s="40" t="inlineStr">
        <is>
          <t>V10.5 - OIDC Client</t>
        </is>
      </c>
      <c r="D223" s="39"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39" t="inlineStr">
        <is>
          <t>OAUTH_OIDC_USED="Yes"</t>
        </is>
      </c>
      <c r="H223" s="41">
        <f>IF(AND(OAUTH_OIDC_USED="Yes",D223&lt;=TARGET_LEVEL_NUM),"Applicable","N/A")</f>
        <v/>
      </c>
      <c r="I223" s="40" t="inlineStr">
        <is>
          <t>SAST + integration testing</t>
        </is>
      </c>
      <c r="J223" s="40" t="inlineStr">
        <is>
          <t>Deterministic, continuous</t>
        </is>
      </c>
      <c r="K223" s="39" t="inlineStr">
        <is>
          <t>Pipeline</t>
        </is>
      </c>
      <c r="L223" s="39" t="inlineStr">
        <is>
          <t>Not assessed</t>
        </is>
      </c>
      <c r="M223" s="40" t="n"/>
      <c r="N223" s="40" t="n"/>
      <c r="O223" s="42" t="inlineStr">
        <is>
          <t>High</t>
        </is>
      </c>
      <c r="P223" s="43">
        <f>IF(H223="N/A","N/A",INDEX(CRIT_MATRIX,MATCH(O223,CRIT_MATRIX_ROWS,0),MATCH(APP_RISK_TIER,CRIT_MATRIX_COLS,0)))</f>
        <v/>
      </c>
    </row>
    <row r="224" ht="39.75" customHeight="1" s="19">
      <c r="A224" s="39" t="inlineStr">
        <is>
          <t>V10.5.5</t>
        </is>
      </c>
      <c r="B224" s="40" t="inlineStr">
        <is>
          <t>V10 - OAuth and OIDC</t>
        </is>
      </c>
      <c r="C224" s="40" t="inlineStr">
        <is>
          <t>V10.5 - OIDC Client</t>
        </is>
      </c>
      <c r="D224" s="39"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39" t="inlineStr">
        <is>
          <t>OAUTH_OIDC_USED="Yes"</t>
        </is>
      </c>
      <c r="H224" s="41">
        <f>IF(AND(OAUTH_OIDC_USED="Yes",D224&lt;=TARGET_LEVEL_NUM),"Applicable","N/A")</f>
        <v/>
      </c>
      <c r="I224" s="40" t="inlineStr">
        <is>
          <t>SAST + integration testing</t>
        </is>
      </c>
      <c r="J224" s="40" t="inlineStr">
        <is>
          <t>Deterministic, continuous</t>
        </is>
      </c>
      <c r="K224" s="39" t="inlineStr">
        <is>
          <t>Pipeline</t>
        </is>
      </c>
      <c r="L224" s="39" t="inlineStr">
        <is>
          <t>Not assessed</t>
        </is>
      </c>
      <c r="M224" s="40" t="n"/>
      <c r="N224" s="40" t="n"/>
      <c r="O224" s="42" t="inlineStr">
        <is>
          <t>High</t>
        </is>
      </c>
      <c r="P224" s="43">
        <f>IF(H224="N/A","N/A",INDEX(CRIT_MATRIX,MATCH(O224,CRIT_MATRIX_ROWS,0),MATCH(APP_RISK_TIER,CRIT_MATRIX_COLS,0)))</f>
        <v/>
      </c>
    </row>
    <row r="225" ht="39.75" customHeight="1" s="19">
      <c r="A225" s="39" t="inlineStr">
        <is>
          <t>V10.6.1</t>
        </is>
      </c>
      <c r="B225" s="40" t="inlineStr">
        <is>
          <t>V10 - OAuth and OIDC</t>
        </is>
      </c>
      <c r="C225" s="40" t="inlineStr">
        <is>
          <t>V10.6 - OpenID Provider</t>
        </is>
      </c>
      <c r="D225" s="39"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39" t="inlineStr">
        <is>
          <t>OAUTH_OIDC_USED="Yes"</t>
        </is>
      </c>
      <c r="H225" s="41">
        <f>IF(AND(OAUTH_OIDC_USED="Yes",D225&lt;=TARGET_LEVEL_NUM),"Applicable","N/A")</f>
        <v/>
      </c>
      <c r="I225" s="40" t="inlineStr">
        <is>
          <t>SAST + integration testing</t>
        </is>
      </c>
      <c r="J225" s="40" t="inlineStr">
        <is>
          <t>Deterministic, continuous</t>
        </is>
      </c>
      <c r="K225" s="39" t="inlineStr">
        <is>
          <t>Pipeline</t>
        </is>
      </c>
      <c r="L225" s="39" t="inlineStr">
        <is>
          <t>Not assessed</t>
        </is>
      </c>
      <c r="M225" s="40" t="n"/>
      <c r="N225" s="40" t="n"/>
      <c r="O225" s="42" t="inlineStr">
        <is>
          <t>High</t>
        </is>
      </c>
      <c r="P225" s="43">
        <f>IF(H225="N/A","N/A",INDEX(CRIT_MATRIX,MATCH(O225,CRIT_MATRIX_ROWS,0),MATCH(APP_RISK_TIER,CRIT_MATRIX_COLS,0)))</f>
        <v/>
      </c>
    </row>
    <row r="226" ht="39.75" customHeight="1" s="19">
      <c r="A226" s="39" t="inlineStr">
        <is>
          <t>V10.6.2</t>
        </is>
      </c>
      <c r="B226" s="40" t="inlineStr">
        <is>
          <t>V10 - OAuth and OIDC</t>
        </is>
      </c>
      <c r="C226" s="40" t="inlineStr">
        <is>
          <t>V10.6 - OpenID Provider</t>
        </is>
      </c>
      <c r="D226" s="39"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39" t="inlineStr">
        <is>
          <t>OAUTH_OIDC_USED="Yes"</t>
        </is>
      </c>
      <c r="H226" s="41">
        <f>IF(AND(OAUTH_OIDC_USED="Yes",D226&lt;=TARGET_LEVEL_NUM),"Applicable","N/A")</f>
        <v/>
      </c>
      <c r="I226" s="40" t="inlineStr">
        <is>
          <t>SAST + integration testing</t>
        </is>
      </c>
      <c r="J226" s="40" t="inlineStr">
        <is>
          <t>Deterministic, continuous</t>
        </is>
      </c>
      <c r="K226" s="39" t="inlineStr">
        <is>
          <t>Pipeline</t>
        </is>
      </c>
      <c r="L226" s="39" t="inlineStr">
        <is>
          <t>Not assessed</t>
        </is>
      </c>
      <c r="M226" s="40" t="n"/>
      <c r="N226" s="40" t="n"/>
      <c r="O226" s="42" t="inlineStr">
        <is>
          <t>High</t>
        </is>
      </c>
      <c r="P226" s="43">
        <f>IF(H226="N/A","N/A",INDEX(CRIT_MATRIX,MATCH(O226,CRIT_MATRIX_ROWS,0),MATCH(APP_RISK_TIER,CRIT_MATRIX_COLS,0)))</f>
        <v/>
      </c>
    </row>
    <row r="227" ht="39.75" customHeight="1" s="19">
      <c r="A227" s="39" t="inlineStr">
        <is>
          <t>V10.7.1</t>
        </is>
      </c>
      <c r="B227" s="40" t="inlineStr">
        <is>
          <t>V10 - OAuth and OIDC</t>
        </is>
      </c>
      <c r="C227" s="40" t="inlineStr">
        <is>
          <t>V10.7 - Consent Management</t>
        </is>
      </c>
      <c r="D227" s="39"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39" t="inlineStr">
        <is>
          <t>OAUTH_OIDC_USED="Yes"</t>
        </is>
      </c>
      <c r="H227" s="41">
        <f>IF(AND(OAUTH_OIDC_USED="Yes",D227&lt;=TARGET_LEVEL_NUM),"Applicable","N/A")</f>
        <v/>
      </c>
      <c r="I227" s="40" t="inlineStr">
        <is>
          <t>SAST + integration testing</t>
        </is>
      </c>
      <c r="J227" s="40" t="inlineStr">
        <is>
          <t>Deterministic, continuous</t>
        </is>
      </c>
      <c r="K227" s="39" t="inlineStr">
        <is>
          <t>Pipeline</t>
        </is>
      </c>
      <c r="L227" s="39" t="inlineStr">
        <is>
          <t>Not assessed</t>
        </is>
      </c>
      <c r="M227" s="40" t="n"/>
      <c r="N227" s="40" t="n"/>
      <c r="O227" s="42" t="inlineStr">
        <is>
          <t>High</t>
        </is>
      </c>
      <c r="P227" s="43">
        <f>IF(H227="N/A","N/A",INDEX(CRIT_MATRIX,MATCH(O227,CRIT_MATRIX_ROWS,0),MATCH(APP_RISK_TIER,CRIT_MATRIX_COLS,0)))</f>
        <v/>
      </c>
    </row>
    <row r="228" ht="39.75" customHeight="1" s="19">
      <c r="A228" s="39" t="inlineStr">
        <is>
          <t>V10.7.2</t>
        </is>
      </c>
      <c r="B228" s="40" t="inlineStr">
        <is>
          <t>V10 - OAuth and OIDC</t>
        </is>
      </c>
      <c r="C228" s="40" t="inlineStr">
        <is>
          <t>V10.7 - Consent Management</t>
        </is>
      </c>
      <c r="D228" s="39"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39" t="inlineStr">
        <is>
          <t>OAUTH_OIDC_USED="Yes"</t>
        </is>
      </c>
      <c r="H228" s="41">
        <f>IF(AND(OAUTH_OIDC_USED="Yes",D228&lt;=TARGET_LEVEL_NUM),"Applicable","N/A")</f>
        <v/>
      </c>
      <c r="I228" s="40" t="inlineStr">
        <is>
          <t>SAST + integration testing</t>
        </is>
      </c>
      <c r="J228" s="40" t="inlineStr">
        <is>
          <t>Deterministic, continuous</t>
        </is>
      </c>
      <c r="K228" s="39" t="inlineStr">
        <is>
          <t>Pipeline</t>
        </is>
      </c>
      <c r="L228" s="39" t="inlineStr">
        <is>
          <t>Not assessed</t>
        </is>
      </c>
      <c r="M228" s="40" t="n"/>
      <c r="N228" s="40" t="n"/>
      <c r="O228" s="42" t="inlineStr">
        <is>
          <t>High</t>
        </is>
      </c>
      <c r="P228" s="43">
        <f>IF(H228="N/A","N/A",INDEX(CRIT_MATRIX,MATCH(O228,CRIT_MATRIX_ROWS,0),MATCH(APP_RISK_TIER,CRIT_MATRIX_COLS,0)))</f>
        <v/>
      </c>
    </row>
    <row r="229" ht="39.75" customHeight="1" s="19">
      <c r="A229" s="39" t="inlineStr">
        <is>
          <t>V10.7.3</t>
        </is>
      </c>
      <c r="B229" s="40" t="inlineStr">
        <is>
          <t>V10 - OAuth and OIDC</t>
        </is>
      </c>
      <c r="C229" s="40" t="inlineStr">
        <is>
          <t>V10.7 - Consent Management</t>
        </is>
      </c>
      <c r="D229" s="39" t="n">
        <v>2</v>
      </c>
      <c r="E229" s="40" t="inlineStr">
        <is>
          <t>Verify that the user can review, modify, and revoke consents which the user has granted through the authorization server.</t>
        </is>
      </c>
      <c r="F229" s="40" t="inlineStr">
        <is>
          <t>If uses OAuth/OIDC</t>
        </is>
      </c>
      <c r="G229" s="39" t="inlineStr">
        <is>
          <t>OAUTH_OIDC_USED="Yes"</t>
        </is>
      </c>
      <c r="H229" s="41">
        <f>IF(AND(OAUTH_OIDC_USED="Yes",D229&lt;=TARGET_LEVEL_NUM),"Applicable","N/A")</f>
        <v/>
      </c>
      <c r="I229" s="40" t="inlineStr">
        <is>
          <t>SAST + integration testing</t>
        </is>
      </c>
      <c r="J229" s="40" t="inlineStr">
        <is>
          <t>Deterministic, continuous</t>
        </is>
      </c>
      <c r="K229" s="39" t="inlineStr">
        <is>
          <t>Pipeline</t>
        </is>
      </c>
      <c r="L229" s="39" t="inlineStr">
        <is>
          <t>Not assessed</t>
        </is>
      </c>
      <c r="M229" s="40" t="n"/>
      <c r="N229" s="40" t="n"/>
      <c r="O229" s="42" t="inlineStr">
        <is>
          <t>High</t>
        </is>
      </c>
      <c r="P229" s="43">
        <f>IF(H229="N/A","N/A",INDEX(CRIT_MATRIX,MATCH(O229,CRIT_MATRIX_ROWS,0),MATCH(APP_RISK_TIER,CRIT_MATRIX_COLS,0)))</f>
        <v/>
      </c>
    </row>
    <row r="230" ht="39.75" customHeight="1" s="19">
      <c r="A230" s="39" t="inlineStr">
        <is>
          <t>V11.1.1</t>
        </is>
      </c>
      <c r="B230" s="40" t="inlineStr">
        <is>
          <t>V11 - Cryptography</t>
        </is>
      </c>
      <c r="C230" s="40" t="inlineStr">
        <is>
          <t>V11.1 - Cryptographic Inventory and Documentation</t>
        </is>
      </c>
      <c r="D230" s="39"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39" t="inlineStr">
        <is>
          <t>TRUE</t>
        </is>
      </c>
      <c r="H230" s="41">
        <f>IF(AND(TRUE(),D230&lt;=TARGET_LEVEL_NUM),"Applicable","N/A")</f>
        <v/>
      </c>
      <c r="I230" s="40" t="inlineStr">
        <is>
          <t>Architecture / documentation review</t>
        </is>
      </c>
      <c r="J230" s="40" t="inlineStr">
        <is>
          <t>Sampled, periodic</t>
        </is>
      </c>
      <c r="K230" s="39" t="inlineStr">
        <is>
          <t>Design/Governance</t>
        </is>
      </c>
      <c r="L230" s="39" t="inlineStr">
        <is>
          <t>Not assessed</t>
        </is>
      </c>
      <c r="M230" s="40" t="n"/>
      <c r="N230" s="40" t="n"/>
      <c r="O230" s="42" t="inlineStr">
        <is>
          <t>High</t>
        </is>
      </c>
      <c r="P230" s="43">
        <f>IF(H230="N/A","N/A",INDEX(CRIT_MATRIX,MATCH(O230,CRIT_MATRIX_ROWS,0),MATCH(APP_RISK_TIER,CRIT_MATRIX_COLS,0)))</f>
        <v/>
      </c>
    </row>
    <row r="231" ht="39.75" customHeight="1" s="19">
      <c r="A231" s="39" t="inlineStr">
        <is>
          <t>V11.1.2</t>
        </is>
      </c>
      <c r="B231" s="40" t="inlineStr">
        <is>
          <t>V11 - Cryptography</t>
        </is>
      </c>
      <c r="C231" s="40" t="inlineStr">
        <is>
          <t>V11.1 - Cryptographic Inventory and Documentation</t>
        </is>
      </c>
      <c r="D231" s="39"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39" t="inlineStr">
        <is>
          <t>TRUE</t>
        </is>
      </c>
      <c r="H231" s="41">
        <f>IF(AND(TRUE(),D231&lt;=TARGET_LEVEL_NUM),"Applicable","N/A")</f>
        <v/>
      </c>
      <c r="I231" s="40" t="inlineStr">
        <is>
          <t>Architecture / documentation review</t>
        </is>
      </c>
      <c r="J231" s="40" t="inlineStr">
        <is>
          <t>Sampled, periodic</t>
        </is>
      </c>
      <c r="K231" s="39" t="inlineStr">
        <is>
          <t>Design/Governance</t>
        </is>
      </c>
      <c r="L231" s="39" t="inlineStr">
        <is>
          <t>Not assessed</t>
        </is>
      </c>
      <c r="M231" s="40" t="n"/>
      <c r="N231" s="40" t="n"/>
      <c r="O231" s="42" t="inlineStr">
        <is>
          <t>High</t>
        </is>
      </c>
      <c r="P231" s="43">
        <f>IF(H231="N/A","N/A",INDEX(CRIT_MATRIX,MATCH(O231,CRIT_MATRIX_ROWS,0),MATCH(APP_RISK_TIER,CRIT_MATRIX_COLS,0)))</f>
        <v/>
      </c>
    </row>
    <row r="232" ht="39.75" customHeight="1" s="19">
      <c r="A232" s="39" t="inlineStr">
        <is>
          <t>V11.1.3</t>
        </is>
      </c>
      <c r="B232" s="40" t="inlineStr">
        <is>
          <t>V11 - Cryptography</t>
        </is>
      </c>
      <c r="C232" s="40" t="inlineStr">
        <is>
          <t>V11.1 - Cryptographic Inventory and Documentation</t>
        </is>
      </c>
      <c r="D232" s="39" t="n">
        <v>3</v>
      </c>
      <c r="E232" s="40" t="inlineStr">
        <is>
          <t>Verify that cryptographic discovery mechanisms are employed to identify all instances of cryptography in the system, including encryption, hashing, and signing operations.</t>
        </is>
      </c>
      <c r="F232" s="40" t="inlineStr">
        <is>
          <t>Always</t>
        </is>
      </c>
      <c r="G232" s="39" t="inlineStr">
        <is>
          <t>TRUE</t>
        </is>
      </c>
      <c r="H232" s="41">
        <f>IF(AND(TRUE(),D232&lt;=TARGET_LEVEL_NUM),"Applicable","N/A")</f>
        <v/>
      </c>
      <c r="I232" s="40" t="inlineStr">
        <is>
          <t>Architecture / documentation review</t>
        </is>
      </c>
      <c r="J232" s="40" t="inlineStr">
        <is>
          <t>Sampled, periodic</t>
        </is>
      </c>
      <c r="K232" s="39" t="inlineStr">
        <is>
          <t>Design/Governance</t>
        </is>
      </c>
      <c r="L232" s="39" t="inlineStr">
        <is>
          <t>Not assessed</t>
        </is>
      </c>
      <c r="M232" s="40" t="n"/>
      <c r="N232" s="40" t="n"/>
      <c r="O232" s="42" t="inlineStr">
        <is>
          <t>High</t>
        </is>
      </c>
      <c r="P232" s="43">
        <f>IF(H232="N/A","N/A",INDEX(CRIT_MATRIX,MATCH(O232,CRIT_MATRIX_ROWS,0),MATCH(APP_RISK_TIER,CRIT_MATRIX_COLS,0)))</f>
        <v/>
      </c>
    </row>
    <row r="233" ht="39.75" customHeight="1" s="19">
      <c r="A233" s="39" t="inlineStr">
        <is>
          <t>V11.1.4</t>
        </is>
      </c>
      <c r="B233" s="40" t="inlineStr">
        <is>
          <t>V11 - Cryptography</t>
        </is>
      </c>
      <c r="C233" s="40" t="inlineStr">
        <is>
          <t>V11.1 - Cryptographic Inventory and Documentation</t>
        </is>
      </c>
      <c r="D233" s="39"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39" t="inlineStr">
        <is>
          <t>TRUE</t>
        </is>
      </c>
      <c r="H233" s="41">
        <f>IF(AND(TRUE(),D233&lt;=TARGET_LEVEL_NUM),"Applicable","N/A")</f>
        <v/>
      </c>
      <c r="I233" s="40" t="inlineStr">
        <is>
          <t>Architecture / documentation review</t>
        </is>
      </c>
      <c r="J233" s="40" t="inlineStr">
        <is>
          <t>Sampled, periodic</t>
        </is>
      </c>
      <c r="K233" s="39" t="inlineStr">
        <is>
          <t>Design/Governance</t>
        </is>
      </c>
      <c r="L233" s="39" t="inlineStr">
        <is>
          <t>Not assessed</t>
        </is>
      </c>
      <c r="M233" s="40" t="n"/>
      <c r="N233" s="40" t="n"/>
      <c r="O233" s="42" t="inlineStr">
        <is>
          <t>High</t>
        </is>
      </c>
      <c r="P233" s="43">
        <f>IF(H233="N/A","N/A",INDEX(CRIT_MATRIX,MATCH(O233,CRIT_MATRIX_ROWS,0),MATCH(APP_RISK_TIER,CRIT_MATRIX_COLS,0)))</f>
        <v/>
      </c>
    </row>
    <row r="234" ht="39.75" customHeight="1" s="19">
      <c r="A234" s="39" t="inlineStr">
        <is>
          <t>V11.2.1</t>
        </is>
      </c>
      <c r="B234" s="40" t="inlineStr">
        <is>
          <t>V11 - Cryptography</t>
        </is>
      </c>
      <c r="C234" s="40" t="inlineStr">
        <is>
          <t>V11.2 - Secure Cryptography Implementation</t>
        </is>
      </c>
      <c r="D234" s="39" t="n">
        <v>2</v>
      </c>
      <c r="E234" s="40" t="inlineStr">
        <is>
          <t>Verify that industry-validated implementations (including libraries and hardware-accelerated implementations) are used for cryptographic operations.</t>
        </is>
      </c>
      <c r="F234" s="40" t="inlineStr">
        <is>
          <t>Always</t>
        </is>
      </c>
      <c r="G234" s="39" t="inlineStr">
        <is>
          <t>TRUE</t>
        </is>
      </c>
      <c r="H234" s="41">
        <f>IF(AND(TRUE(),D234&lt;=TARGET_LEVEL_NUM),"Applicable","N/A")</f>
        <v/>
      </c>
      <c r="I234" s="40" t="inlineStr">
        <is>
          <t>SAST (crypto rules) + configuration review</t>
        </is>
      </c>
      <c r="J234" s="40" t="inlineStr">
        <is>
          <t>Deterministic, continuous</t>
        </is>
      </c>
      <c r="K234" s="39" t="inlineStr">
        <is>
          <t>Pipeline</t>
        </is>
      </c>
      <c r="L234" s="39" t="inlineStr">
        <is>
          <t>Not assessed</t>
        </is>
      </c>
      <c r="M234" s="40" t="n"/>
      <c r="N234" s="40" t="n"/>
      <c r="O234" s="42" t="inlineStr">
        <is>
          <t>High</t>
        </is>
      </c>
      <c r="P234" s="43">
        <f>IF(H234="N/A","N/A",INDEX(CRIT_MATRIX,MATCH(O234,CRIT_MATRIX_ROWS,0),MATCH(APP_RISK_TIER,CRIT_MATRIX_COLS,0)))</f>
        <v/>
      </c>
    </row>
    <row r="235" ht="39.75" customHeight="1" s="19">
      <c r="A235" s="39" t="inlineStr">
        <is>
          <t>V11.2.2</t>
        </is>
      </c>
      <c r="B235" s="40" t="inlineStr">
        <is>
          <t>V11 - Cryptography</t>
        </is>
      </c>
      <c r="C235" s="40" t="inlineStr">
        <is>
          <t>V11.2 - Secure Cryptography Implementation</t>
        </is>
      </c>
      <c r="D235" s="39"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39" t="inlineStr">
        <is>
          <t>TRUE</t>
        </is>
      </c>
      <c r="H235" s="41">
        <f>IF(AND(TRUE(),D235&lt;=TARGET_LEVEL_NUM),"Applicable","N/A")</f>
        <v/>
      </c>
      <c r="I235" s="40" t="inlineStr">
        <is>
          <t>SAST (crypto rules) + configuration review</t>
        </is>
      </c>
      <c r="J235" s="40" t="inlineStr">
        <is>
          <t>Deterministic, continuous</t>
        </is>
      </c>
      <c r="K235" s="39" t="inlineStr">
        <is>
          <t>Pipeline</t>
        </is>
      </c>
      <c r="L235" s="39" t="inlineStr">
        <is>
          <t>Not assessed</t>
        </is>
      </c>
      <c r="M235" s="40" t="n"/>
      <c r="N235" s="40" t="n"/>
      <c r="O235" s="42" t="inlineStr">
        <is>
          <t>High</t>
        </is>
      </c>
      <c r="P235" s="43">
        <f>IF(H235="N/A","N/A",INDEX(CRIT_MATRIX,MATCH(O235,CRIT_MATRIX_ROWS,0),MATCH(APP_RISK_TIER,CRIT_MATRIX_COLS,0)))</f>
        <v/>
      </c>
    </row>
    <row r="236" ht="39.75" customHeight="1" s="19">
      <c r="A236" s="39" t="inlineStr">
        <is>
          <t>V11.2.3</t>
        </is>
      </c>
      <c r="B236" s="40" t="inlineStr">
        <is>
          <t>V11 - Cryptography</t>
        </is>
      </c>
      <c r="C236" s="40" t="inlineStr">
        <is>
          <t>V11.2 - Secure Cryptography Implementation</t>
        </is>
      </c>
      <c r="D236" s="39"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39" t="inlineStr">
        <is>
          <t>TRUE</t>
        </is>
      </c>
      <c r="H236" s="41">
        <f>IF(AND(TRUE(),D236&lt;=TARGET_LEVEL_NUM),"Applicable","N/A")</f>
        <v/>
      </c>
      <c r="I236" s="40" t="inlineStr">
        <is>
          <t>SAST (crypto rules) + configuration review</t>
        </is>
      </c>
      <c r="J236" s="40" t="inlineStr">
        <is>
          <t>Deterministic, continuous</t>
        </is>
      </c>
      <c r="K236" s="39" t="inlineStr">
        <is>
          <t>Pipeline</t>
        </is>
      </c>
      <c r="L236" s="39" t="inlineStr">
        <is>
          <t>Not assessed</t>
        </is>
      </c>
      <c r="M236" s="40" t="n"/>
      <c r="N236" s="40" t="n"/>
      <c r="O236" s="42" t="inlineStr">
        <is>
          <t>High</t>
        </is>
      </c>
      <c r="P236" s="43">
        <f>IF(H236="N/A","N/A",INDEX(CRIT_MATRIX,MATCH(O236,CRIT_MATRIX_ROWS,0),MATCH(APP_RISK_TIER,CRIT_MATRIX_COLS,0)))</f>
        <v/>
      </c>
    </row>
    <row r="237" ht="39.75" customHeight="1" s="19">
      <c r="A237" s="39" t="inlineStr">
        <is>
          <t>V11.2.4</t>
        </is>
      </c>
      <c r="B237" s="40" t="inlineStr">
        <is>
          <t>V11 - Cryptography</t>
        </is>
      </c>
      <c r="C237" s="40" t="inlineStr">
        <is>
          <t>V11.2 - Secure Cryptography Implementation</t>
        </is>
      </c>
      <c r="D237" s="39" t="n">
        <v>3</v>
      </c>
      <c r="E237" s="40" t="inlineStr">
        <is>
          <t>Verify that all cryptographic operations are constant-time, with no 'short-circuit' operations in comparisons, calculations, or returns, to avoid leaking information.</t>
        </is>
      </c>
      <c r="F237" s="40" t="inlineStr">
        <is>
          <t>Always</t>
        </is>
      </c>
      <c r="G237" s="39" t="inlineStr">
        <is>
          <t>TRUE</t>
        </is>
      </c>
      <c r="H237" s="41">
        <f>IF(AND(TRUE(),D237&lt;=TARGET_LEVEL_NUM),"Applicable","N/A")</f>
        <v/>
      </c>
      <c r="I237" s="40" t="inlineStr">
        <is>
          <t>SAST (crypto rules) + configuration review</t>
        </is>
      </c>
      <c r="J237" s="40" t="inlineStr">
        <is>
          <t>Deterministic, continuous</t>
        </is>
      </c>
      <c r="K237" s="39" t="inlineStr">
        <is>
          <t>Pipeline</t>
        </is>
      </c>
      <c r="L237" s="39" t="inlineStr">
        <is>
          <t>Not assessed</t>
        </is>
      </c>
      <c r="M237" s="40" t="n"/>
      <c r="N237" s="40" t="n"/>
      <c r="O237" s="42" t="inlineStr">
        <is>
          <t>High</t>
        </is>
      </c>
      <c r="P237" s="43">
        <f>IF(H237="N/A","N/A",INDEX(CRIT_MATRIX,MATCH(O237,CRIT_MATRIX_ROWS,0),MATCH(APP_RISK_TIER,CRIT_MATRIX_COLS,0)))</f>
        <v/>
      </c>
    </row>
    <row r="238" ht="39.75" customHeight="1" s="19">
      <c r="A238" s="39" t="inlineStr">
        <is>
          <t>V11.2.5</t>
        </is>
      </c>
      <c r="B238" s="40" t="inlineStr">
        <is>
          <t>V11 - Cryptography</t>
        </is>
      </c>
      <c r="C238" s="40" t="inlineStr">
        <is>
          <t>V11.2 - Secure Cryptography Implementation</t>
        </is>
      </c>
      <c r="D238" s="39" t="n">
        <v>3</v>
      </c>
      <c r="E238" s="40" t="inlineStr">
        <is>
          <t>Verify that all cryptographic modules fail securely, and errors are handled in a way that does not enable vulnerabilities, such as Padding Oracle attacks.</t>
        </is>
      </c>
      <c r="F238" s="40" t="inlineStr">
        <is>
          <t>Always</t>
        </is>
      </c>
      <c r="G238" s="39" t="inlineStr">
        <is>
          <t>TRUE</t>
        </is>
      </c>
      <c r="H238" s="41">
        <f>IF(AND(TRUE(),D238&lt;=TARGET_LEVEL_NUM),"Applicable","N/A")</f>
        <v/>
      </c>
      <c r="I238" s="40" t="inlineStr">
        <is>
          <t>SAST (crypto rules) + configuration review</t>
        </is>
      </c>
      <c r="J238" s="40" t="inlineStr">
        <is>
          <t>Deterministic, continuous</t>
        </is>
      </c>
      <c r="K238" s="39" t="inlineStr">
        <is>
          <t>Pipeline</t>
        </is>
      </c>
      <c r="L238" s="39" t="inlineStr">
        <is>
          <t>Not assessed</t>
        </is>
      </c>
      <c r="M238" s="40" t="n"/>
      <c r="N238" s="40" t="n"/>
      <c r="O238" s="42" t="inlineStr">
        <is>
          <t>High</t>
        </is>
      </c>
      <c r="P238" s="43">
        <f>IF(H238="N/A","N/A",INDEX(CRIT_MATRIX,MATCH(O238,CRIT_MATRIX_ROWS,0),MATCH(APP_RISK_TIER,CRIT_MATRIX_COLS,0)))</f>
        <v/>
      </c>
    </row>
    <row r="239" ht="39.75" customHeight="1" s="19">
      <c r="A239" s="39" t="inlineStr">
        <is>
          <t>V11.3.1</t>
        </is>
      </c>
      <c r="B239" s="40" t="inlineStr">
        <is>
          <t>V11 - Cryptography</t>
        </is>
      </c>
      <c r="C239" s="40" t="inlineStr">
        <is>
          <t>V11.3 - Encryption Algorithms</t>
        </is>
      </c>
      <c r="D239" s="39" t="n">
        <v>1</v>
      </c>
      <c r="E239" s="40" t="inlineStr">
        <is>
          <t>Verify that insecure block modes (e.g., ECB) and weak padding schemes (e.g., PKCS#1 v1.5) are not used.</t>
        </is>
      </c>
      <c r="F239" s="40" t="inlineStr">
        <is>
          <t>Always</t>
        </is>
      </c>
      <c r="G239" s="39" t="inlineStr">
        <is>
          <t>TRUE</t>
        </is>
      </c>
      <c r="H239" s="41">
        <f>IF(AND(TRUE(),D239&lt;=TARGET_LEVEL_NUM),"Applicable","N/A")</f>
        <v/>
      </c>
      <c r="I239" s="40" t="inlineStr">
        <is>
          <t>SAST (crypto rules) + configuration review</t>
        </is>
      </c>
      <c r="J239" s="40" t="inlineStr">
        <is>
          <t>Deterministic, continuous</t>
        </is>
      </c>
      <c r="K239" s="39" t="inlineStr">
        <is>
          <t>Pipeline</t>
        </is>
      </c>
      <c r="L239" s="39" t="inlineStr">
        <is>
          <t>Not assessed</t>
        </is>
      </c>
      <c r="M239" s="40" t="n"/>
      <c r="N239" s="40" t="n"/>
      <c r="O239" s="42" t="inlineStr">
        <is>
          <t>High</t>
        </is>
      </c>
      <c r="P239" s="43">
        <f>IF(H239="N/A","N/A",INDEX(CRIT_MATRIX,MATCH(O239,CRIT_MATRIX_ROWS,0),MATCH(APP_RISK_TIER,CRIT_MATRIX_COLS,0)))</f>
        <v/>
      </c>
    </row>
    <row r="240" ht="39.75" customHeight="1" s="19">
      <c r="A240" s="39" t="inlineStr">
        <is>
          <t>V11.3.2</t>
        </is>
      </c>
      <c r="B240" s="40" t="inlineStr">
        <is>
          <t>V11 - Cryptography</t>
        </is>
      </c>
      <c r="C240" s="40" t="inlineStr">
        <is>
          <t>V11.3 - Encryption Algorithms</t>
        </is>
      </c>
      <c r="D240" s="39" t="n">
        <v>1</v>
      </c>
      <c r="E240" s="40" t="inlineStr">
        <is>
          <t>Verify that only approved ciphers and modes such as AES with GCM are used.</t>
        </is>
      </c>
      <c r="F240" s="40" t="inlineStr">
        <is>
          <t>Always</t>
        </is>
      </c>
      <c r="G240" s="39" t="inlineStr">
        <is>
          <t>TRUE</t>
        </is>
      </c>
      <c r="H240" s="41">
        <f>IF(AND(TRUE(),D240&lt;=TARGET_LEVEL_NUM),"Applicable","N/A")</f>
        <v/>
      </c>
      <c r="I240" s="40" t="inlineStr">
        <is>
          <t>SAST (crypto rules) + configuration review</t>
        </is>
      </c>
      <c r="J240" s="40" t="inlineStr">
        <is>
          <t>Deterministic, continuous</t>
        </is>
      </c>
      <c r="K240" s="39" t="inlineStr">
        <is>
          <t>Pipeline</t>
        </is>
      </c>
      <c r="L240" s="39" t="inlineStr">
        <is>
          <t>Not assessed</t>
        </is>
      </c>
      <c r="M240" s="40" t="n"/>
      <c r="N240" s="40" t="n"/>
      <c r="O240" s="42" t="inlineStr">
        <is>
          <t>High</t>
        </is>
      </c>
      <c r="P240" s="43">
        <f>IF(H240="N/A","N/A",INDEX(CRIT_MATRIX,MATCH(O240,CRIT_MATRIX_ROWS,0),MATCH(APP_RISK_TIER,CRIT_MATRIX_COLS,0)))</f>
        <v/>
      </c>
    </row>
    <row r="241" ht="39.75" customHeight="1" s="19">
      <c r="A241" s="39" t="inlineStr">
        <is>
          <t>V11.3.3</t>
        </is>
      </c>
      <c r="B241" s="40" t="inlineStr">
        <is>
          <t>V11 - Cryptography</t>
        </is>
      </c>
      <c r="C241" s="40" t="inlineStr">
        <is>
          <t>V11.3 - Encryption Algorithms</t>
        </is>
      </c>
      <c r="D241" s="39"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39" t="inlineStr">
        <is>
          <t>TRUE</t>
        </is>
      </c>
      <c r="H241" s="41">
        <f>IF(AND(TRUE(),D241&lt;=TARGET_LEVEL_NUM),"Applicable","N/A")</f>
        <v/>
      </c>
      <c r="I241" s="40" t="inlineStr">
        <is>
          <t>SAST (crypto rules) + configuration review</t>
        </is>
      </c>
      <c r="J241" s="40" t="inlineStr">
        <is>
          <t>Deterministic, continuous</t>
        </is>
      </c>
      <c r="K241" s="39" t="inlineStr">
        <is>
          <t>Pipeline</t>
        </is>
      </c>
      <c r="L241" s="39" t="inlineStr">
        <is>
          <t>Not assessed</t>
        </is>
      </c>
      <c r="M241" s="40" t="n"/>
      <c r="N241" s="40" t="n"/>
      <c r="O241" s="42" t="inlineStr">
        <is>
          <t>High</t>
        </is>
      </c>
      <c r="P241" s="43">
        <f>IF(H241="N/A","N/A",INDEX(CRIT_MATRIX,MATCH(O241,CRIT_MATRIX_ROWS,0),MATCH(APP_RISK_TIER,CRIT_MATRIX_COLS,0)))</f>
        <v/>
      </c>
    </row>
    <row r="242" ht="39.75" customHeight="1" s="19">
      <c r="A242" s="39" t="inlineStr">
        <is>
          <t>V11.3.4</t>
        </is>
      </c>
      <c r="B242" s="40" t="inlineStr">
        <is>
          <t>V11 - Cryptography</t>
        </is>
      </c>
      <c r="C242" s="40" t="inlineStr">
        <is>
          <t>V11.3 - Encryption Algorithms</t>
        </is>
      </c>
      <c r="D242" s="39"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39" t="inlineStr">
        <is>
          <t>TRUE</t>
        </is>
      </c>
      <c r="H242" s="41">
        <f>IF(AND(TRUE(),D242&lt;=TARGET_LEVEL_NUM),"Applicable","N/A")</f>
        <v/>
      </c>
      <c r="I242" s="40" t="inlineStr">
        <is>
          <t>SAST (crypto rules) + configuration review</t>
        </is>
      </c>
      <c r="J242" s="40" t="inlineStr">
        <is>
          <t>Deterministic, continuous</t>
        </is>
      </c>
      <c r="K242" s="39" t="inlineStr">
        <is>
          <t>Pipeline</t>
        </is>
      </c>
      <c r="L242" s="39" t="inlineStr">
        <is>
          <t>Not assessed</t>
        </is>
      </c>
      <c r="M242" s="40" t="n"/>
      <c r="N242" s="40" t="n"/>
      <c r="O242" s="42" t="inlineStr">
        <is>
          <t>High</t>
        </is>
      </c>
      <c r="P242" s="43">
        <f>IF(H242="N/A","N/A",INDEX(CRIT_MATRIX,MATCH(O242,CRIT_MATRIX_ROWS,0),MATCH(APP_RISK_TIER,CRIT_MATRIX_COLS,0)))</f>
        <v/>
      </c>
    </row>
    <row r="243" ht="39.75" customHeight="1" s="19">
      <c r="A243" s="39" t="inlineStr">
        <is>
          <t>V11.3.5</t>
        </is>
      </c>
      <c r="B243" s="40" t="inlineStr">
        <is>
          <t>V11 - Cryptography</t>
        </is>
      </c>
      <c r="C243" s="40" t="inlineStr">
        <is>
          <t>V11.3 - Encryption Algorithms</t>
        </is>
      </c>
      <c r="D243" s="39" t="n">
        <v>3</v>
      </c>
      <c r="E243" s="40" t="inlineStr">
        <is>
          <t>Verify that any combination of an encryption algorithm and a MAC algorithm is operating in encrypt-then-MAC mode.</t>
        </is>
      </c>
      <c r="F243" s="40" t="inlineStr">
        <is>
          <t>Always</t>
        </is>
      </c>
      <c r="G243" s="39" t="inlineStr">
        <is>
          <t>TRUE</t>
        </is>
      </c>
      <c r="H243" s="41">
        <f>IF(AND(TRUE(),D243&lt;=TARGET_LEVEL_NUM),"Applicable","N/A")</f>
        <v/>
      </c>
      <c r="I243" s="40" t="inlineStr">
        <is>
          <t>SAST (crypto rules) + configuration review</t>
        </is>
      </c>
      <c r="J243" s="40" t="inlineStr">
        <is>
          <t>Deterministic, continuous</t>
        </is>
      </c>
      <c r="K243" s="39" t="inlineStr">
        <is>
          <t>Pipeline</t>
        </is>
      </c>
      <c r="L243" s="39" t="inlineStr">
        <is>
          <t>Not assessed</t>
        </is>
      </c>
      <c r="M243" s="40" t="n"/>
      <c r="N243" s="40" t="n"/>
      <c r="O243" s="42" t="inlineStr">
        <is>
          <t>High</t>
        </is>
      </c>
      <c r="P243" s="43">
        <f>IF(H243="N/A","N/A",INDEX(CRIT_MATRIX,MATCH(O243,CRIT_MATRIX_ROWS,0),MATCH(APP_RISK_TIER,CRIT_MATRIX_COLS,0)))</f>
        <v/>
      </c>
    </row>
    <row r="244" ht="39.75" customHeight="1" s="19">
      <c r="A244" s="39" t="inlineStr">
        <is>
          <t>V11.4.1</t>
        </is>
      </c>
      <c r="B244" s="40" t="inlineStr">
        <is>
          <t>V11 - Cryptography</t>
        </is>
      </c>
      <c r="C244" s="40" t="inlineStr">
        <is>
          <t>V11.4 - Hashing and Hash-based Functions</t>
        </is>
      </c>
      <c r="D244" s="39"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39" t="inlineStr">
        <is>
          <t>TRUE</t>
        </is>
      </c>
      <c r="H244" s="41">
        <f>IF(AND(TRUE(),D244&lt;=TARGET_LEVEL_NUM),"Applicable","N/A")</f>
        <v/>
      </c>
      <c r="I244" s="40" t="inlineStr">
        <is>
          <t>SAST (crypto rules) + configuration review</t>
        </is>
      </c>
      <c r="J244" s="40" t="inlineStr">
        <is>
          <t>Deterministic, continuous</t>
        </is>
      </c>
      <c r="K244" s="39" t="inlineStr">
        <is>
          <t>Pipeline</t>
        </is>
      </c>
      <c r="L244" s="39" t="inlineStr">
        <is>
          <t>Not assessed</t>
        </is>
      </c>
      <c r="M244" s="40" t="n"/>
      <c r="N244" s="40" t="n"/>
      <c r="O244" s="42" t="inlineStr">
        <is>
          <t>High</t>
        </is>
      </c>
      <c r="P244" s="43">
        <f>IF(H244="N/A","N/A",INDEX(CRIT_MATRIX,MATCH(O244,CRIT_MATRIX_ROWS,0),MATCH(APP_RISK_TIER,CRIT_MATRIX_COLS,0)))</f>
        <v/>
      </c>
    </row>
    <row r="245" ht="39.75" customHeight="1" s="19">
      <c r="A245" s="39" t="inlineStr">
        <is>
          <t>V11.4.2</t>
        </is>
      </c>
      <c r="B245" s="40" t="inlineStr">
        <is>
          <t>V11 - Cryptography</t>
        </is>
      </c>
      <c r="C245" s="40" t="inlineStr">
        <is>
          <t>V11.4 - Hashing and Hash-based Functions</t>
        </is>
      </c>
      <c r="D245" s="39"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39" t="inlineStr">
        <is>
          <t>TRUE</t>
        </is>
      </c>
      <c r="H245" s="41">
        <f>IF(AND(TRUE(),D245&lt;=TARGET_LEVEL_NUM),"Applicable","N/A")</f>
        <v/>
      </c>
      <c r="I245" s="40" t="inlineStr">
        <is>
          <t>SAST (crypto rules) + configuration review</t>
        </is>
      </c>
      <c r="J245" s="40" t="inlineStr">
        <is>
          <t>Deterministic, continuous</t>
        </is>
      </c>
      <c r="K245" s="39" t="inlineStr">
        <is>
          <t>Pipeline</t>
        </is>
      </c>
      <c r="L245" s="39" t="inlineStr">
        <is>
          <t>Not assessed</t>
        </is>
      </c>
      <c r="M245" s="40" t="n"/>
      <c r="N245" s="40" t="n"/>
      <c r="O245" s="42" t="inlineStr">
        <is>
          <t>High</t>
        </is>
      </c>
      <c r="P245" s="43">
        <f>IF(H245="N/A","N/A",INDEX(CRIT_MATRIX,MATCH(O245,CRIT_MATRIX_ROWS,0),MATCH(APP_RISK_TIER,CRIT_MATRIX_COLS,0)))</f>
        <v/>
      </c>
    </row>
    <row r="246" ht="39.75" customHeight="1" s="19">
      <c r="A246" s="39" t="inlineStr">
        <is>
          <t>V11.4.3</t>
        </is>
      </c>
      <c r="B246" s="40" t="inlineStr">
        <is>
          <t>V11 - Cryptography</t>
        </is>
      </c>
      <c r="C246" s="40" t="inlineStr">
        <is>
          <t>V11.4 - Hashing and Hash-based Functions</t>
        </is>
      </c>
      <c r="D246" s="39"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39" t="inlineStr">
        <is>
          <t>TRUE</t>
        </is>
      </c>
      <c r="H246" s="41">
        <f>IF(AND(TRUE(),D246&lt;=TARGET_LEVEL_NUM),"Applicable","N/A")</f>
        <v/>
      </c>
      <c r="I246" s="40" t="inlineStr">
        <is>
          <t>SAST (crypto rules) + configuration review</t>
        </is>
      </c>
      <c r="J246" s="40" t="inlineStr">
        <is>
          <t>Deterministic, continuous</t>
        </is>
      </c>
      <c r="K246" s="39" t="inlineStr">
        <is>
          <t>Pipeline</t>
        </is>
      </c>
      <c r="L246" s="39" t="inlineStr">
        <is>
          <t>Not assessed</t>
        </is>
      </c>
      <c r="M246" s="40" t="n"/>
      <c r="N246" s="40" t="n"/>
      <c r="O246" s="42" t="inlineStr">
        <is>
          <t>High</t>
        </is>
      </c>
      <c r="P246" s="43">
        <f>IF(H246="N/A","N/A",INDEX(CRIT_MATRIX,MATCH(O246,CRIT_MATRIX_ROWS,0),MATCH(APP_RISK_TIER,CRIT_MATRIX_COLS,0)))</f>
        <v/>
      </c>
    </row>
    <row r="247" ht="39.75" customHeight="1" s="19">
      <c r="A247" s="39" t="inlineStr">
        <is>
          <t>V11.4.4</t>
        </is>
      </c>
      <c r="B247" s="40" t="inlineStr">
        <is>
          <t>V11 - Cryptography</t>
        </is>
      </c>
      <c r="C247" s="40" t="inlineStr">
        <is>
          <t>V11.4 - Hashing and Hash-based Functions</t>
        </is>
      </c>
      <c r="D247" s="39"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39" t="inlineStr">
        <is>
          <t>TRUE</t>
        </is>
      </c>
      <c r="H247" s="41">
        <f>IF(AND(TRUE(),D247&lt;=TARGET_LEVEL_NUM),"Applicable","N/A")</f>
        <v/>
      </c>
      <c r="I247" s="40" t="inlineStr">
        <is>
          <t>SAST (crypto rules) + configuration review</t>
        </is>
      </c>
      <c r="J247" s="40" t="inlineStr">
        <is>
          <t>Deterministic, continuous</t>
        </is>
      </c>
      <c r="K247" s="39" t="inlineStr">
        <is>
          <t>Pipeline</t>
        </is>
      </c>
      <c r="L247" s="39" t="inlineStr">
        <is>
          <t>Not assessed</t>
        </is>
      </c>
      <c r="M247" s="40" t="n"/>
      <c r="N247" s="40" t="n"/>
      <c r="O247" s="42" t="inlineStr">
        <is>
          <t>High</t>
        </is>
      </c>
      <c r="P247" s="43">
        <f>IF(H247="N/A","N/A",INDEX(CRIT_MATRIX,MATCH(O247,CRIT_MATRIX_ROWS,0),MATCH(APP_RISK_TIER,CRIT_MATRIX_COLS,0)))</f>
        <v/>
      </c>
    </row>
    <row r="248" ht="39.75" customHeight="1" s="19">
      <c r="A248" s="39" t="inlineStr">
        <is>
          <t>V11.5.1</t>
        </is>
      </c>
      <c r="B248" s="40" t="inlineStr">
        <is>
          <t>V11 - Cryptography</t>
        </is>
      </c>
      <c r="C248" s="40" t="inlineStr">
        <is>
          <t>V11.5 - Random Values</t>
        </is>
      </c>
      <c r="D248" s="39"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39" t="inlineStr">
        <is>
          <t>TRUE</t>
        </is>
      </c>
      <c r="H248" s="41">
        <f>IF(AND(TRUE(),D248&lt;=TARGET_LEVEL_NUM),"Applicable","N/A")</f>
        <v/>
      </c>
      <c r="I248" s="40" t="inlineStr">
        <is>
          <t>SAST (crypto rules) + configuration review</t>
        </is>
      </c>
      <c r="J248" s="40" t="inlineStr">
        <is>
          <t>Deterministic, continuous</t>
        </is>
      </c>
      <c r="K248" s="39" t="inlineStr">
        <is>
          <t>Pipeline</t>
        </is>
      </c>
      <c r="L248" s="39" t="inlineStr">
        <is>
          <t>Not assessed</t>
        </is>
      </c>
      <c r="M248" s="40" t="n"/>
      <c r="N248" s="40" t="n"/>
      <c r="O248" s="42" t="inlineStr">
        <is>
          <t>High</t>
        </is>
      </c>
      <c r="P248" s="43">
        <f>IF(H248="N/A","N/A",INDEX(CRIT_MATRIX,MATCH(O248,CRIT_MATRIX_ROWS,0),MATCH(APP_RISK_TIER,CRIT_MATRIX_COLS,0)))</f>
        <v/>
      </c>
    </row>
    <row r="249" ht="39.75" customHeight="1" s="19">
      <c r="A249" s="39" t="inlineStr">
        <is>
          <t>V11.5.2</t>
        </is>
      </c>
      <c r="B249" s="40" t="inlineStr">
        <is>
          <t>V11 - Cryptography</t>
        </is>
      </c>
      <c r="C249" s="40" t="inlineStr">
        <is>
          <t>V11.5 - Random Values</t>
        </is>
      </c>
      <c r="D249" s="39" t="n">
        <v>3</v>
      </c>
      <c r="E249" s="40" t="inlineStr">
        <is>
          <t>Verify that the random number generation mechanism in use is designed to work securely, even under heavy demand.</t>
        </is>
      </c>
      <c r="F249" s="40" t="inlineStr">
        <is>
          <t>Always</t>
        </is>
      </c>
      <c r="G249" s="39" t="inlineStr">
        <is>
          <t>TRUE</t>
        </is>
      </c>
      <c r="H249" s="41">
        <f>IF(AND(TRUE(),D249&lt;=TARGET_LEVEL_NUM),"Applicable","N/A")</f>
        <v/>
      </c>
      <c r="I249" s="40" t="inlineStr">
        <is>
          <t>SAST (crypto rules) + configuration review</t>
        </is>
      </c>
      <c r="J249" s="40" t="inlineStr">
        <is>
          <t>Deterministic, continuous</t>
        </is>
      </c>
      <c r="K249" s="39" t="inlineStr">
        <is>
          <t>Pipeline</t>
        </is>
      </c>
      <c r="L249" s="39" t="inlineStr">
        <is>
          <t>Not assessed</t>
        </is>
      </c>
      <c r="M249" s="40" t="n"/>
      <c r="N249" s="40" t="n"/>
      <c r="O249" s="42" t="inlineStr">
        <is>
          <t>High</t>
        </is>
      </c>
      <c r="P249" s="43">
        <f>IF(H249="N/A","N/A",INDEX(CRIT_MATRIX,MATCH(O249,CRIT_MATRIX_ROWS,0),MATCH(APP_RISK_TIER,CRIT_MATRIX_COLS,0)))</f>
        <v/>
      </c>
    </row>
    <row r="250" ht="39.75" customHeight="1" s="19">
      <c r="A250" s="39" t="inlineStr">
        <is>
          <t>V11.6.1</t>
        </is>
      </c>
      <c r="B250" s="40" t="inlineStr">
        <is>
          <t>V11 - Cryptography</t>
        </is>
      </c>
      <c r="C250" s="40" t="inlineStr">
        <is>
          <t>V11.6 - Public Key Cryptography</t>
        </is>
      </c>
      <c r="D250" s="39"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39" t="inlineStr">
        <is>
          <t>TRUE</t>
        </is>
      </c>
      <c r="H250" s="41">
        <f>IF(AND(TRUE(),D250&lt;=TARGET_LEVEL_NUM),"Applicable","N/A")</f>
        <v/>
      </c>
      <c r="I250" s="40" t="inlineStr">
        <is>
          <t>SAST (crypto rules) + configuration review</t>
        </is>
      </c>
      <c r="J250" s="40" t="inlineStr">
        <is>
          <t>Deterministic, continuous</t>
        </is>
      </c>
      <c r="K250" s="39" t="inlineStr">
        <is>
          <t>Pipeline</t>
        </is>
      </c>
      <c r="L250" s="39" t="inlineStr">
        <is>
          <t>Not assessed</t>
        </is>
      </c>
      <c r="M250" s="40" t="n"/>
      <c r="N250" s="40" t="n"/>
      <c r="O250" s="42" t="inlineStr">
        <is>
          <t>High</t>
        </is>
      </c>
      <c r="P250" s="43">
        <f>IF(H250="N/A","N/A",INDEX(CRIT_MATRIX,MATCH(O250,CRIT_MATRIX_ROWS,0),MATCH(APP_RISK_TIER,CRIT_MATRIX_COLS,0)))</f>
        <v/>
      </c>
    </row>
    <row r="251" ht="39.75" customHeight="1" s="19">
      <c r="A251" s="39" t="inlineStr">
        <is>
          <t>V11.6.2</t>
        </is>
      </c>
      <c r="B251" s="40" t="inlineStr">
        <is>
          <t>V11 - Cryptography</t>
        </is>
      </c>
      <c r="C251" s="40" t="inlineStr">
        <is>
          <t>V11.6 - Public Key Cryptography</t>
        </is>
      </c>
      <c r="D251" s="39"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39" t="inlineStr">
        <is>
          <t>TRUE</t>
        </is>
      </c>
      <c r="H251" s="41">
        <f>IF(AND(TRUE(),D251&lt;=TARGET_LEVEL_NUM),"Applicable","N/A")</f>
        <v/>
      </c>
      <c r="I251" s="40" t="inlineStr">
        <is>
          <t>SAST (crypto rules) + configuration review</t>
        </is>
      </c>
      <c r="J251" s="40" t="inlineStr">
        <is>
          <t>Deterministic, continuous</t>
        </is>
      </c>
      <c r="K251" s="39" t="inlineStr">
        <is>
          <t>Pipeline</t>
        </is>
      </c>
      <c r="L251" s="39" t="inlineStr">
        <is>
          <t>Not assessed</t>
        </is>
      </c>
      <c r="M251" s="40" t="n"/>
      <c r="N251" s="40" t="n"/>
      <c r="O251" s="42" t="inlineStr">
        <is>
          <t>High</t>
        </is>
      </c>
      <c r="P251" s="43">
        <f>IF(H251="N/A","N/A",INDEX(CRIT_MATRIX,MATCH(O251,CRIT_MATRIX_ROWS,0),MATCH(APP_RISK_TIER,CRIT_MATRIX_COLS,0)))</f>
        <v/>
      </c>
    </row>
    <row r="252" ht="39.75" customHeight="1" s="19">
      <c r="A252" s="39" t="inlineStr">
        <is>
          <t>V11.7.1</t>
        </is>
      </c>
      <c r="B252" s="40" t="inlineStr">
        <is>
          <t>V11 - Cryptography</t>
        </is>
      </c>
      <c r="C252" s="40" t="inlineStr">
        <is>
          <t>V11.7 - In-Use Data Cryptography</t>
        </is>
      </c>
      <c r="D252" s="39" t="n">
        <v>3</v>
      </c>
      <c r="E252" s="40" t="inlineStr">
        <is>
          <t>Verify that full memory encryption is in use that protects sensitive data while it is in use, preventing access by unauthorized users or processes.</t>
        </is>
      </c>
      <c r="F252" s="40" t="inlineStr">
        <is>
          <t>Always</t>
        </is>
      </c>
      <c r="G252" s="39" t="inlineStr">
        <is>
          <t>TRUE</t>
        </is>
      </c>
      <c r="H252" s="41">
        <f>IF(AND(TRUE(),D252&lt;=TARGET_LEVEL_NUM),"Applicable","N/A")</f>
        <v/>
      </c>
      <c r="I252" s="40" t="inlineStr">
        <is>
          <t>SAST (crypto rules) + configuration review</t>
        </is>
      </c>
      <c r="J252" s="40" t="inlineStr">
        <is>
          <t>Deterministic, continuous</t>
        </is>
      </c>
      <c r="K252" s="39" t="inlineStr">
        <is>
          <t>Pipeline</t>
        </is>
      </c>
      <c r="L252" s="39" t="inlineStr">
        <is>
          <t>Not assessed</t>
        </is>
      </c>
      <c r="M252" s="40" t="n"/>
      <c r="N252" s="40" t="n"/>
      <c r="O252" s="42" t="inlineStr">
        <is>
          <t>High</t>
        </is>
      </c>
      <c r="P252" s="43">
        <f>IF(H252="N/A","N/A",INDEX(CRIT_MATRIX,MATCH(O252,CRIT_MATRIX_ROWS,0),MATCH(APP_RISK_TIER,CRIT_MATRIX_COLS,0)))</f>
        <v/>
      </c>
    </row>
    <row r="253" ht="39.75" customHeight="1" s="19">
      <c r="A253" s="39" t="inlineStr">
        <is>
          <t>V11.7.2</t>
        </is>
      </c>
      <c r="B253" s="40" t="inlineStr">
        <is>
          <t>V11 - Cryptography</t>
        </is>
      </c>
      <c r="C253" s="40" t="inlineStr">
        <is>
          <t>V11.7 - In-Use Data Cryptography</t>
        </is>
      </c>
      <c r="D253" s="39" t="n">
        <v>3</v>
      </c>
      <c r="E253" s="40" t="inlineStr">
        <is>
          <t>Verify that data minimization ensures the minimal amount of data is exposed during processing, and ensure that data is encrypted immediately after use or as soon as feasible.</t>
        </is>
      </c>
      <c r="F253" s="40" t="inlineStr">
        <is>
          <t>Always</t>
        </is>
      </c>
      <c r="G253" s="39" t="inlineStr">
        <is>
          <t>TRUE</t>
        </is>
      </c>
      <c r="H253" s="41">
        <f>IF(AND(TRUE(),D253&lt;=TARGET_LEVEL_NUM),"Applicable","N/A")</f>
        <v/>
      </c>
      <c r="I253" s="40" t="inlineStr">
        <is>
          <t>SAST (crypto rules) + configuration review</t>
        </is>
      </c>
      <c r="J253" s="40" t="inlineStr">
        <is>
          <t>Deterministic, continuous</t>
        </is>
      </c>
      <c r="K253" s="39" t="inlineStr">
        <is>
          <t>Pipeline</t>
        </is>
      </c>
      <c r="L253" s="39" t="inlineStr">
        <is>
          <t>Not assessed</t>
        </is>
      </c>
      <c r="M253" s="40" t="n"/>
      <c r="N253" s="40" t="n"/>
      <c r="O253" s="42" t="inlineStr">
        <is>
          <t>High</t>
        </is>
      </c>
      <c r="P253" s="43">
        <f>IF(H253="N/A","N/A",INDEX(CRIT_MATRIX,MATCH(O253,CRIT_MATRIX_ROWS,0),MATCH(APP_RISK_TIER,CRIT_MATRIX_COLS,0)))</f>
        <v/>
      </c>
    </row>
    <row r="254" ht="39.75" customHeight="1" s="19">
      <c r="A254" s="39" t="inlineStr">
        <is>
          <t>V12.1.1</t>
        </is>
      </c>
      <c r="B254" s="40" t="inlineStr">
        <is>
          <t>V12 - Secure Communication</t>
        </is>
      </c>
      <c r="C254" s="40" t="inlineStr">
        <is>
          <t>V12.1 - General TLS Security Guidance</t>
        </is>
      </c>
      <c r="D254" s="39" t="n">
        <v>1</v>
      </c>
      <c r="E254" s="40" t="inlineStr">
        <is>
          <t>Verify that only the latest recommended versions of the TLS protocol are enabled, such as TLS 1.2 and TLS 1.3. The latest version of the TLS protocol must be the preferred option.</t>
        </is>
      </c>
      <c r="F254" s="40" t="inlineStr">
        <is>
          <t>Always</t>
        </is>
      </c>
      <c r="G254" s="39" t="inlineStr">
        <is>
          <t>TRUE</t>
        </is>
      </c>
      <c r="H254" s="41">
        <f>IF(AND(TRUE(),D254&lt;=TARGET_LEVEL_NUM),"Applicable","N/A")</f>
        <v/>
      </c>
      <c r="I254" s="40" t="inlineStr">
        <is>
          <t>Configuration scanner / DAST</t>
        </is>
      </c>
      <c r="J254" s="40" t="inlineStr">
        <is>
          <t>Deterministic, continuous</t>
        </is>
      </c>
      <c r="K254" s="39" t="inlineStr">
        <is>
          <t>Pipeline</t>
        </is>
      </c>
      <c r="L254" s="39" t="inlineStr">
        <is>
          <t>Not assessed</t>
        </is>
      </c>
      <c r="M254" s="40" t="n"/>
      <c r="N254" s="40" t="n"/>
      <c r="O254" s="42" t="inlineStr">
        <is>
          <t>Medium</t>
        </is>
      </c>
      <c r="P254" s="43">
        <f>IF(H254="N/A","N/A",INDEX(CRIT_MATRIX,MATCH(O254,CRIT_MATRIX_ROWS,0),MATCH(APP_RISK_TIER,CRIT_MATRIX_COLS,0)))</f>
        <v/>
      </c>
    </row>
    <row r="255" ht="39.75" customHeight="1" s="19">
      <c r="A255" s="39" t="inlineStr">
        <is>
          <t>V12.1.2</t>
        </is>
      </c>
      <c r="B255" s="40" t="inlineStr">
        <is>
          <t>V12 - Secure Communication</t>
        </is>
      </c>
      <c r="C255" s="40" t="inlineStr">
        <is>
          <t>V12.1 - General TLS Security Guidance</t>
        </is>
      </c>
      <c r="D255" s="39" t="n">
        <v>2</v>
      </c>
      <c r="E255" s="40" t="inlineStr">
        <is>
          <t>Verify that only recommended cipher suites are enabled, with the strongest cipher suites set as preferred. L3 applications must only support cipher suites which provide forward secrecy.</t>
        </is>
      </c>
      <c r="F255" s="40" t="inlineStr">
        <is>
          <t>Always</t>
        </is>
      </c>
      <c r="G255" s="39" t="inlineStr">
        <is>
          <t>TRUE</t>
        </is>
      </c>
      <c r="H255" s="41">
        <f>IF(AND(TRUE(),D255&lt;=TARGET_LEVEL_NUM),"Applicable","N/A")</f>
        <v/>
      </c>
      <c r="I255" s="40" t="inlineStr">
        <is>
          <t>Configuration scanner / DAST</t>
        </is>
      </c>
      <c r="J255" s="40" t="inlineStr">
        <is>
          <t>Deterministic, continuous</t>
        </is>
      </c>
      <c r="K255" s="39" t="inlineStr">
        <is>
          <t>Pipeline</t>
        </is>
      </c>
      <c r="L255" s="39" t="inlineStr">
        <is>
          <t>Not assessed</t>
        </is>
      </c>
      <c r="M255" s="40" t="n"/>
      <c r="N255" s="40" t="n"/>
      <c r="O255" s="42" t="inlineStr">
        <is>
          <t>Medium</t>
        </is>
      </c>
      <c r="P255" s="43">
        <f>IF(H255="N/A","N/A",INDEX(CRIT_MATRIX,MATCH(O255,CRIT_MATRIX_ROWS,0),MATCH(APP_RISK_TIER,CRIT_MATRIX_COLS,0)))</f>
        <v/>
      </c>
    </row>
    <row r="256" ht="39.75" customHeight="1" s="19">
      <c r="A256" s="39" t="inlineStr">
        <is>
          <t>V12.1.3</t>
        </is>
      </c>
      <c r="B256" s="40" t="inlineStr">
        <is>
          <t>V12 - Secure Communication</t>
        </is>
      </c>
      <c r="C256" s="40" t="inlineStr">
        <is>
          <t>V12.1 - General TLS Security Guidance</t>
        </is>
      </c>
      <c r="D256" s="39" t="n">
        <v>2</v>
      </c>
      <c r="E256" s="40" t="inlineStr">
        <is>
          <t>Verify that the application validates that mTLS client certificates are trusted before using the certificate identity for authentication or authorization.</t>
        </is>
      </c>
      <c r="F256" s="40" t="inlineStr">
        <is>
          <t>Always</t>
        </is>
      </c>
      <c r="G256" s="39" t="inlineStr">
        <is>
          <t>TRUE</t>
        </is>
      </c>
      <c r="H256" s="41">
        <f>IF(AND(TRUE(),D256&lt;=TARGET_LEVEL_NUM),"Applicable","N/A")</f>
        <v/>
      </c>
      <c r="I256" s="40" t="inlineStr">
        <is>
          <t>Configuration scanner / DAST</t>
        </is>
      </c>
      <c r="J256" s="40" t="inlineStr">
        <is>
          <t>Deterministic, continuous</t>
        </is>
      </c>
      <c r="K256" s="39" t="inlineStr">
        <is>
          <t>Pipeline</t>
        </is>
      </c>
      <c r="L256" s="39" t="inlineStr">
        <is>
          <t>Not assessed</t>
        </is>
      </c>
      <c r="M256" s="40" t="n"/>
      <c r="N256" s="40" t="n"/>
      <c r="O256" s="42" t="inlineStr">
        <is>
          <t>Medium</t>
        </is>
      </c>
      <c r="P256" s="43">
        <f>IF(H256="N/A","N/A",INDEX(CRIT_MATRIX,MATCH(O256,CRIT_MATRIX_ROWS,0),MATCH(APP_RISK_TIER,CRIT_MATRIX_COLS,0)))</f>
        <v/>
      </c>
    </row>
    <row r="257" ht="39.75" customHeight="1" s="19">
      <c r="A257" s="39" t="inlineStr">
        <is>
          <t>V12.1.4</t>
        </is>
      </c>
      <c r="B257" s="40" t="inlineStr">
        <is>
          <t>V12 - Secure Communication</t>
        </is>
      </c>
      <c r="C257" s="40" t="inlineStr">
        <is>
          <t>V12.1 - General TLS Security Guidance</t>
        </is>
      </c>
      <c r="D257" s="39" t="n">
        <v>3</v>
      </c>
      <c r="E257" s="40" t="inlineStr">
        <is>
          <t>Verify that proper certification revocation, such as Online Certificate Status Protocol (OCSP) Stapling, is enabled and configured.</t>
        </is>
      </c>
      <c r="F257" s="40" t="inlineStr">
        <is>
          <t>Always</t>
        </is>
      </c>
      <c r="G257" s="39" t="inlineStr">
        <is>
          <t>TRUE</t>
        </is>
      </c>
      <c r="H257" s="41">
        <f>IF(AND(TRUE(),D257&lt;=TARGET_LEVEL_NUM),"Applicable","N/A")</f>
        <v/>
      </c>
      <c r="I257" s="40" t="inlineStr">
        <is>
          <t>Configuration scanner / DAST</t>
        </is>
      </c>
      <c r="J257" s="40" t="inlineStr">
        <is>
          <t>Deterministic, continuous</t>
        </is>
      </c>
      <c r="K257" s="39" t="inlineStr">
        <is>
          <t>Pipeline</t>
        </is>
      </c>
      <c r="L257" s="39" t="inlineStr">
        <is>
          <t>Not assessed</t>
        </is>
      </c>
      <c r="M257" s="40" t="n"/>
      <c r="N257" s="40" t="n"/>
      <c r="O257" s="42" t="inlineStr">
        <is>
          <t>Medium</t>
        </is>
      </c>
      <c r="P257" s="43">
        <f>IF(H257="N/A","N/A",INDEX(CRIT_MATRIX,MATCH(O257,CRIT_MATRIX_ROWS,0),MATCH(APP_RISK_TIER,CRIT_MATRIX_COLS,0)))</f>
        <v/>
      </c>
    </row>
    <row r="258" ht="39.75" customHeight="1" s="19">
      <c r="A258" s="39" t="inlineStr">
        <is>
          <t>V12.1.5</t>
        </is>
      </c>
      <c r="B258" s="40" t="inlineStr">
        <is>
          <t>V12 - Secure Communication</t>
        </is>
      </c>
      <c r="C258" s="40" t="inlineStr">
        <is>
          <t>V12.1 - General TLS Security Guidance</t>
        </is>
      </c>
      <c r="D258" s="39"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39" t="inlineStr">
        <is>
          <t>TRUE</t>
        </is>
      </c>
      <c r="H258" s="41">
        <f>IF(AND(TRUE(),D258&lt;=TARGET_LEVEL_NUM),"Applicable","N/A")</f>
        <v/>
      </c>
      <c r="I258" s="40" t="inlineStr">
        <is>
          <t>Configuration scanner / DAST</t>
        </is>
      </c>
      <c r="J258" s="40" t="inlineStr">
        <is>
          <t>Deterministic, continuous</t>
        </is>
      </c>
      <c r="K258" s="39" t="inlineStr">
        <is>
          <t>Pipeline</t>
        </is>
      </c>
      <c r="L258" s="39" t="inlineStr">
        <is>
          <t>Not assessed</t>
        </is>
      </c>
      <c r="M258" s="40" t="n"/>
      <c r="N258" s="40" t="n"/>
      <c r="O258" s="42" t="inlineStr">
        <is>
          <t>Medium</t>
        </is>
      </c>
      <c r="P258" s="43">
        <f>IF(H258="N/A","N/A",INDEX(CRIT_MATRIX,MATCH(O258,CRIT_MATRIX_ROWS,0),MATCH(APP_RISK_TIER,CRIT_MATRIX_COLS,0)))</f>
        <v/>
      </c>
    </row>
    <row r="259" ht="39.75" customHeight="1" s="19">
      <c r="A259" s="39" t="inlineStr">
        <is>
          <t>V12.2.1</t>
        </is>
      </c>
      <c r="B259" s="40" t="inlineStr">
        <is>
          <t>V12 - Secure Communication</t>
        </is>
      </c>
      <c r="C259" s="40" t="inlineStr">
        <is>
          <t>V12.2 - HTTPS Communication with External Facing Services</t>
        </is>
      </c>
      <c r="D259" s="39" t="n">
        <v>1</v>
      </c>
      <c r="E259" s="40" t="inlineStr">
        <is>
          <t>Verify that TLS is used for all connectivity between a client and external facing, HTTP-based services, and does not fall back to insecure or unencrypted communications.</t>
        </is>
      </c>
      <c r="F259" s="40" t="inlineStr">
        <is>
          <t>Always</t>
        </is>
      </c>
      <c r="G259" s="39" t="inlineStr">
        <is>
          <t>TRUE</t>
        </is>
      </c>
      <c r="H259" s="41">
        <f>IF(AND(TRUE(),D259&lt;=TARGET_LEVEL_NUM),"Applicable","N/A")</f>
        <v/>
      </c>
      <c r="I259" s="40" t="inlineStr">
        <is>
          <t>Configuration scanner / DAST</t>
        </is>
      </c>
      <c r="J259" s="40" t="inlineStr">
        <is>
          <t>Deterministic, continuous</t>
        </is>
      </c>
      <c r="K259" s="39" t="inlineStr">
        <is>
          <t>Pipeline</t>
        </is>
      </c>
      <c r="L259" s="39" t="inlineStr">
        <is>
          <t>Not assessed</t>
        </is>
      </c>
      <c r="M259" s="40" t="n"/>
      <c r="N259" s="40" t="n"/>
      <c r="O259" s="42" t="inlineStr">
        <is>
          <t>Medium</t>
        </is>
      </c>
      <c r="P259" s="43">
        <f>IF(H259="N/A","N/A",INDEX(CRIT_MATRIX,MATCH(O259,CRIT_MATRIX_ROWS,0),MATCH(APP_RISK_TIER,CRIT_MATRIX_COLS,0)))</f>
        <v/>
      </c>
    </row>
    <row r="260" ht="39.75" customHeight="1" s="19">
      <c r="A260" s="39" t="inlineStr">
        <is>
          <t>V12.2.2</t>
        </is>
      </c>
      <c r="B260" s="40" t="inlineStr">
        <is>
          <t>V12 - Secure Communication</t>
        </is>
      </c>
      <c r="C260" s="40" t="inlineStr">
        <is>
          <t>V12.2 - HTTPS Communication with External Facing Services</t>
        </is>
      </c>
      <c r="D260" s="39" t="n">
        <v>1</v>
      </c>
      <c r="E260" s="40" t="inlineStr">
        <is>
          <t>Verify that external facing services use publicly trusted TLS certificates.</t>
        </is>
      </c>
      <c r="F260" s="40" t="inlineStr">
        <is>
          <t>Always</t>
        </is>
      </c>
      <c r="G260" s="39" t="inlineStr">
        <is>
          <t>TRUE</t>
        </is>
      </c>
      <c r="H260" s="41">
        <f>IF(AND(TRUE(),D260&lt;=TARGET_LEVEL_NUM),"Applicable","N/A")</f>
        <v/>
      </c>
      <c r="I260" s="40" t="inlineStr">
        <is>
          <t>Configuration scanner / DAST</t>
        </is>
      </c>
      <c r="J260" s="40" t="inlineStr">
        <is>
          <t>Deterministic, continuous</t>
        </is>
      </c>
      <c r="K260" s="39" t="inlineStr">
        <is>
          <t>Pipeline</t>
        </is>
      </c>
      <c r="L260" s="39" t="inlineStr">
        <is>
          <t>Not assessed</t>
        </is>
      </c>
      <c r="M260" s="40" t="n"/>
      <c r="N260" s="40" t="n"/>
      <c r="O260" s="42" t="inlineStr">
        <is>
          <t>Medium</t>
        </is>
      </c>
      <c r="P260" s="43">
        <f>IF(H260="N/A","N/A",INDEX(CRIT_MATRIX,MATCH(O260,CRIT_MATRIX_ROWS,0),MATCH(APP_RISK_TIER,CRIT_MATRIX_COLS,0)))</f>
        <v/>
      </c>
    </row>
    <row r="261" ht="39.75" customHeight="1" s="19">
      <c r="A261" s="39" t="inlineStr">
        <is>
          <t>V12.3.1</t>
        </is>
      </c>
      <c r="B261" s="40" t="inlineStr">
        <is>
          <t>V12 - Secure Communication</t>
        </is>
      </c>
      <c r="C261" s="40" t="inlineStr">
        <is>
          <t>V12.3 - General Service to Service Communication Security</t>
        </is>
      </c>
      <c r="D261" s="39"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39" t="inlineStr">
        <is>
          <t>TRUE</t>
        </is>
      </c>
      <c r="H261" s="41">
        <f>IF(AND(TRUE(),D261&lt;=TARGET_LEVEL_NUM),"Applicable","N/A")</f>
        <v/>
      </c>
      <c r="I261" s="40" t="inlineStr">
        <is>
          <t>Configuration scanner / DAST</t>
        </is>
      </c>
      <c r="J261" s="40" t="inlineStr">
        <is>
          <t>Deterministic, continuous</t>
        </is>
      </c>
      <c r="K261" s="39" t="inlineStr">
        <is>
          <t>Pipeline</t>
        </is>
      </c>
      <c r="L261" s="39" t="inlineStr">
        <is>
          <t>Not assessed</t>
        </is>
      </c>
      <c r="M261" s="40" t="n"/>
      <c r="N261" s="40" t="n"/>
      <c r="O261" s="42" t="inlineStr">
        <is>
          <t>Medium</t>
        </is>
      </c>
      <c r="P261" s="43">
        <f>IF(H261="N/A","N/A",INDEX(CRIT_MATRIX,MATCH(O261,CRIT_MATRIX_ROWS,0),MATCH(APP_RISK_TIER,CRIT_MATRIX_COLS,0)))</f>
        <v/>
      </c>
    </row>
    <row r="262" ht="39.75" customHeight="1" s="19">
      <c r="A262" s="39" t="inlineStr">
        <is>
          <t>V12.3.2</t>
        </is>
      </c>
      <c r="B262" s="40" t="inlineStr">
        <is>
          <t>V12 - Secure Communication</t>
        </is>
      </c>
      <c r="C262" s="40" t="inlineStr">
        <is>
          <t>V12.3 - General Service to Service Communication Security</t>
        </is>
      </c>
      <c r="D262" s="39" t="n">
        <v>2</v>
      </c>
      <c r="E262" s="40" t="inlineStr">
        <is>
          <t>Verify that TLS clients validate certificates received before communicating with a TLS server.</t>
        </is>
      </c>
      <c r="F262" s="40" t="inlineStr">
        <is>
          <t>Always</t>
        </is>
      </c>
      <c r="G262" s="39" t="inlineStr">
        <is>
          <t>TRUE</t>
        </is>
      </c>
      <c r="H262" s="41">
        <f>IF(AND(TRUE(),D262&lt;=TARGET_LEVEL_NUM),"Applicable","N/A")</f>
        <v/>
      </c>
      <c r="I262" s="40" t="inlineStr">
        <is>
          <t>Configuration scanner / DAST</t>
        </is>
      </c>
      <c r="J262" s="40" t="inlineStr">
        <is>
          <t>Deterministic, continuous</t>
        </is>
      </c>
      <c r="K262" s="39" t="inlineStr">
        <is>
          <t>Pipeline</t>
        </is>
      </c>
      <c r="L262" s="39" t="inlineStr">
        <is>
          <t>Not assessed</t>
        </is>
      </c>
      <c r="M262" s="40" t="n"/>
      <c r="N262" s="40" t="n"/>
      <c r="O262" s="42" t="inlineStr">
        <is>
          <t>Medium</t>
        </is>
      </c>
      <c r="P262" s="43">
        <f>IF(H262="N/A","N/A",INDEX(CRIT_MATRIX,MATCH(O262,CRIT_MATRIX_ROWS,0),MATCH(APP_RISK_TIER,CRIT_MATRIX_COLS,0)))</f>
        <v/>
      </c>
    </row>
    <row r="263" ht="39.75" customHeight="1" s="19">
      <c r="A263" s="39" t="inlineStr">
        <is>
          <t>V12.3.3</t>
        </is>
      </c>
      <c r="B263" s="40" t="inlineStr">
        <is>
          <t>V12 - Secure Communication</t>
        </is>
      </c>
      <c r="C263" s="40" t="inlineStr">
        <is>
          <t>V12.3 - General Service to Service Communication Security</t>
        </is>
      </c>
      <c r="D263" s="39"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39" t="inlineStr">
        <is>
          <t>TRUE</t>
        </is>
      </c>
      <c r="H263" s="41">
        <f>IF(AND(TRUE(),D263&lt;=TARGET_LEVEL_NUM),"Applicable","N/A")</f>
        <v/>
      </c>
      <c r="I263" s="40" t="inlineStr">
        <is>
          <t>Configuration scanner / DAST</t>
        </is>
      </c>
      <c r="J263" s="40" t="inlineStr">
        <is>
          <t>Deterministic, continuous</t>
        </is>
      </c>
      <c r="K263" s="39" t="inlineStr">
        <is>
          <t>Pipeline</t>
        </is>
      </c>
      <c r="L263" s="39" t="inlineStr">
        <is>
          <t>Not assessed</t>
        </is>
      </c>
      <c r="M263" s="40" t="n"/>
      <c r="N263" s="40" t="n"/>
      <c r="O263" s="42" t="inlineStr">
        <is>
          <t>Medium</t>
        </is>
      </c>
      <c r="P263" s="43">
        <f>IF(H263="N/A","N/A",INDEX(CRIT_MATRIX,MATCH(O263,CRIT_MATRIX_ROWS,0),MATCH(APP_RISK_TIER,CRIT_MATRIX_COLS,0)))</f>
        <v/>
      </c>
    </row>
    <row r="264" ht="39.75" customHeight="1" s="19">
      <c r="A264" s="39" t="inlineStr">
        <is>
          <t>V12.3.4</t>
        </is>
      </c>
      <c r="B264" s="40" t="inlineStr">
        <is>
          <t>V12 - Secure Communication</t>
        </is>
      </c>
      <c r="C264" s="40" t="inlineStr">
        <is>
          <t>V12.3 - General Service to Service Communication Security</t>
        </is>
      </c>
      <c r="D264" s="39"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39" t="inlineStr">
        <is>
          <t>TRUE</t>
        </is>
      </c>
      <c r="H264" s="41">
        <f>IF(AND(TRUE(),D264&lt;=TARGET_LEVEL_NUM),"Applicable","N/A")</f>
        <v/>
      </c>
      <c r="I264" s="40" t="inlineStr">
        <is>
          <t>Configuration scanner / DAST</t>
        </is>
      </c>
      <c r="J264" s="40" t="inlineStr">
        <is>
          <t>Deterministic, continuous</t>
        </is>
      </c>
      <c r="K264" s="39" t="inlineStr">
        <is>
          <t>Pipeline</t>
        </is>
      </c>
      <c r="L264" s="39" t="inlineStr">
        <is>
          <t>Not assessed</t>
        </is>
      </c>
      <c r="M264" s="40" t="n"/>
      <c r="N264" s="40" t="n"/>
      <c r="O264" s="42" t="inlineStr">
        <is>
          <t>Medium</t>
        </is>
      </c>
      <c r="P264" s="43">
        <f>IF(H264="N/A","N/A",INDEX(CRIT_MATRIX,MATCH(O264,CRIT_MATRIX_ROWS,0),MATCH(APP_RISK_TIER,CRIT_MATRIX_COLS,0)))</f>
        <v/>
      </c>
    </row>
    <row r="265" ht="39.75" customHeight="1" s="19">
      <c r="A265" s="39" t="inlineStr">
        <is>
          <t>V12.3.5</t>
        </is>
      </c>
      <c r="B265" s="40" t="inlineStr">
        <is>
          <t>V12 - Secure Communication</t>
        </is>
      </c>
      <c r="C265" s="40" t="inlineStr">
        <is>
          <t>V12.3 - General Service to Service Communication Security</t>
        </is>
      </c>
      <c r="D265" s="39"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39" t="inlineStr">
        <is>
          <t>TRUE</t>
        </is>
      </c>
      <c r="H265" s="41">
        <f>IF(AND(TRUE(),D265&lt;=TARGET_LEVEL_NUM),"Applicable","N/A")</f>
        <v/>
      </c>
      <c r="I265" s="40" t="inlineStr">
        <is>
          <t>Configuration scanner / DAST</t>
        </is>
      </c>
      <c r="J265" s="40" t="inlineStr">
        <is>
          <t>Deterministic, continuous</t>
        </is>
      </c>
      <c r="K265" s="39" t="inlineStr">
        <is>
          <t>Pipeline</t>
        </is>
      </c>
      <c r="L265" s="39" t="inlineStr">
        <is>
          <t>Not assessed</t>
        </is>
      </c>
      <c r="M265" s="40" t="n"/>
      <c r="N265" s="40" t="n"/>
      <c r="O265" s="42" t="inlineStr">
        <is>
          <t>Medium</t>
        </is>
      </c>
      <c r="P265" s="43">
        <f>IF(H265="N/A","N/A",INDEX(CRIT_MATRIX,MATCH(O265,CRIT_MATRIX_ROWS,0),MATCH(APP_RISK_TIER,CRIT_MATRIX_COLS,0)))</f>
        <v/>
      </c>
    </row>
    <row r="266" ht="39.75" customHeight="1" s="19">
      <c r="A266" s="39" t="inlineStr">
        <is>
          <t>V13.1.1</t>
        </is>
      </c>
      <c r="B266" s="40" t="inlineStr">
        <is>
          <t>V13 - Configuration</t>
        </is>
      </c>
      <c r="C266" s="40" t="inlineStr">
        <is>
          <t>V13.1 - Configuration Documentation</t>
        </is>
      </c>
      <c r="D266" s="39"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39" t="inlineStr">
        <is>
          <t>TRUE</t>
        </is>
      </c>
      <c r="H266" s="41">
        <f>IF(AND(TRUE(),D266&lt;=TARGET_LEVEL_NUM),"Applicable","N/A")</f>
        <v/>
      </c>
      <c r="I266" s="40" t="inlineStr">
        <is>
          <t>Architecture / documentation review</t>
        </is>
      </c>
      <c r="J266" s="40" t="inlineStr">
        <is>
          <t>Sampled, periodic</t>
        </is>
      </c>
      <c r="K266" s="39" t="inlineStr">
        <is>
          <t>Design/Governance</t>
        </is>
      </c>
      <c r="L266" s="39" t="inlineStr">
        <is>
          <t>Not assessed</t>
        </is>
      </c>
      <c r="M266" s="40" t="n"/>
      <c r="N266" s="40" t="n"/>
      <c r="O266" s="42" t="inlineStr">
        <is>
          <t>Low</t>
        </is>
      </c>
      <c r="P266" s="43">
        <f>IF(H266="N/A","N/A",INDEX(CRIT_MATRIX,MATCH(O266,CRIT_MATRIX_ROWS,0),MATCH(APP_RISK_TIER,CRIT_MATRIX_COLS,0)))</f>
        <v/>
      </c>
    </row>
    <row r="267" ht="39.75" customHeight="1" s="19">
      <c r="A267" s="39" t="inlineStr">
        <is>
          <t>V13.1.2</t>
        </is>
      </c>
      <c r="B267" s="40" t="inlineStr">
        <is>
          <t>V13 - Configuration</t>
        </is>
      </c>
      <c r="C267" s="40" t="inlineStr">
        <is>
          <t>V13.1 - Configuration Documentation</t>
        </is>
      </c>
      <c r="D267" s="39"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39" t="inlineStr">
        <is>
          <t>TRUE</t>
        </is>
      </c>
      <c r="H267" s="41">
        <f>IF(AND(TRUE(),D267&lt;=TARGET_LEVEL_NUM),"Applicable","N/A")</f>
        <v/>
      </c>
      <c r="I267" s="40" t="inlineStr">
        <is>
          <t>Architecture / documentation review</t>
        </is>
      </c>
      <c r="J267" s="40" t="inlineStr">
        <is>
          <t>Sampled, periodic</t>
        </is>
      </c>
      <c r="K267" s="39" t="inlineStr">
        <is>
          <t>Design/Governance</t>
        </is>
      </c>
      <c r="L267" s="39" t="inlineStr">
        <is>
          <t>Not assessed</t>
        </is>
      </c>
      <c r="M267" s="40" t="n"/>
      <c r="N267" s="40" t="n"/>
      <c r="O267" s="42" t="inlineStr">
        <is>
          <t>Low</t>
        </is>
      </c>
      <c r="P267" s="43">
        <f>IF(H267="N/A","N/A",INDEX(CRIT_MATRIX,MATCH(O267,CRIT_MATRIX_ROWS,0),MATCH(APP_RISK_TIER,CRIT_MATRIX_COLS,0)))</f>
        <v/>
      </c>
    </row>
    <row r="268" ht="39.75" customHeight="1" s="19">
      <c r="A268" s="39" t="inlineStr">
        <is>
          <t>V13.1.3</t>
        </is>
      </c>
      <c r="B268" s="40" t="inlineStr">
        <is>
          <t>V13 - Configuration</t>
        </is>
      </c>
      <c r="C268" s="40" t="inlineStr">
        <is>
          <t>V13.1 - Configuration Documentation</t>
        </is>
      </c>
      <c r="D268" s="39"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39" t="inlineStr">
        <is>
          <t>TRUE</t>
        </is>
      </c>
      <c r="H268" s="41">
        <f>IF(AND(TRUE(),D268&lt;=TARGET_LEVEL_NUM),"Applicable","N/A")</f>
        <v/>
      </c>
      <c r="I268" s="40" t="inlineStr">
        <is>
          <t>Architecture / documentation review</t>
        </is>
      </c>
      <c r="J268" s="40" t="inlineStr">
        <is>
          <t>Sampled, periodic</t>
        </is>
      </c>
      <c r="K268" s="39" t="inlineStr">
        <is>
          <t>Design/Governance</t>
        </is>
      </c>
      <c r="L268" s="39" t="inlineStr">
        <is>
          <t>Not assessed</t>
        </is>
      </c>
      <c r="M268" s="40" t="n"/>
      <c r="N268" s="40" t="n"/>
      <c r="O268" s="42" t="inlineStr">
        <is>
          <t>Low</t>
        </is>
      </c>
      <c r="P268" s="43">
        <f>IF(H268="N/A","N/A",INDEX(CRIT_MATRIX,MATCH(O268,CRIT_MATRIX_ROWS,0),MATCH(APP_RISK_TIER,CRIT_MATRIX_COLS,0)))</f>
        <v/>
      </c>
    </row>
    <row r="269" ht="39.75" customHeight="1" s="19">
      <c r="A269" s="39" t="inlineStr">
        <is>
          <t>V13.1.4</t>
        </is>
      </c>
      <c r="B269" s="40" t="inlineStr">
        <is>
          <t>V13 - Configuration</t>
        </is>
      </c>
      <c r="C269" s="40" t="inlineStr">
        <is>
          <t>V13.1 - Configuration Documentation</t>
        </is>
      </c>
      <c r="D269" s="39"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39" t="inlineStr">
        <is>
          <t>TRUE</t>
        </is>
      </c>
      <c r="H269" s="41">
        <f>IF(AND(TRUE(),D269&lt;=TARGET_LEVEL_NUM),"Applicable","N/A")</f>
        <v/>
      </c>
      <c r="I269" s="40" t="inlineStr">
        <is>
          <t>Architecture / documentation review</t>
        </is>
      </c>
      <c r="J269" s="40" t="inlineStr">
        <is>
          <t>Sampled, periodic</t>
        </is>
      </c>
      <c r="K269" s="39" t="inlineStr">
        <is>
          <t>Design/Governance</t>
        </is>
      </c>
      <c r="L269" s="39" t="inlineStr">
        <is>
          <t>Not assessed</t>
        </is>
      </c>
      <c r="M269" s="40" t="n"/>
      <c r="N269" s="40" t="n"/>
      <c r="O269" s="42" t="inlineStr">
        <is>
          <t>Low</t>
        </is>
      </c>
      <c r="P269" s="43">
        <f>IF(H269="N/A","N/A",INDEX(CRIT_MATRIX,MATCH(O269,CRIT_MATRIX_ROWS,0),MATCH(APP_RISK_TIER,CRIT_MATRIX_COLS,0)))</f>
        <v/>
      </c>
    </row>
    <row r="270" ht="39.75" customHeight="1" s="19">
      <c r="A270" s="39" t="inlineStr">
        <is>
          <t>V13.2.1</t>
        </is>
      </c>
      <c r="B270" s="40" t="inlineStr">
        <is>
          <t>V13 - Configuration</t>
        </is>
      </c>
      <c r="C270" s="40" t="inlineStr">
        <is>
          <t>V13.2 - Backend Communication Configuration</t>
        </is>
      </c>
      <c r="D270" s="39"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39" t="inlineStr">
        <is>
          <t>TRUE</t>
        </is>
      </c>
      <c r="H270" s="41">
        <f>IF(AND(TRUE(),D270&lt;=TARGET_LEVEL_NUM),"Applicable","N/A")</f>
        <v/>
      </c>
      <c r="I270" s="40" t="inlineStr">
        <is>
          <t>IaC scanning + configuration review</t>
        </is>
      </c>
      <c r="J270" s="40" t="inlineStr">
        <is>
          <t>Deterministic, continuous</t>
        </is>
      </c>
      <c r="K270" s="39" t="inlineStr">
        <is>
          <t>Pipeline</t>
        </is>
      </c>
      <c r="L270" s="39" t="inlineStr">
        <is>
          <t>Not assessed</t>
        </is>
      </c>
      <c r="M270" s="40" t="n"/>
      <c r="N270" s="40" t="n"/>
      <c r="O270" s="42" t="inlineStr">
        <is>
          <t>Low</t>
        </is>
      </c>
      <c r="P270" s="43">
        <f>IF(H270="N/A","N/A",INDEX(CRIT_MATRIX,MATCH(O270,CRIT_MATRIX_ROWS,0),MATCH(APP_RISK_TIER,CRIT_MATRIX_COLS,0)))</f>
        <v/>
      </c>
    </row>
    <row r="271" ht="39.75" customHeight="1" s="19">
      <c r="A271" s="39" t="inlineStr">
        <is>
          <t>V13.2.2</t>
        </is>
      </c>
      <c r="B271" s="40" t="inlineStr">
        <is>
          <t>V13 - Configuration</t>
        </is>
      </c>
      <c r="C271" s="40" t="inlineStr">
        <is>
          <t>V13.2 - Backend Communication Configuration</t>
        </is>
      </c>
      <c r="D271" s="39"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39" t="inlineStr">
        <is>
          <t>TRUE</t>
        </is>
      </c>
      <c r="H271" s="41">
        <f>IF(AND(TRUE(),D271&lt;=TARGET_LEVEL_NUM),"Applicable","N/A")</f>
        <v/>
      </c>
      <c r="I271" s="40" t="inlineStr">
        <is>
          <t>IaC scanning + configuration review</t>
        </is>
      </c>
      <c r="J271" s="40" t="inlineStr">
        <is>
          <t>Deterministic, continuous</t>
        </is>
      </c>
      <c r="K271" s="39" t="inlineStr">
        <is>
          <t>Pipeline</t>
        </is>
      </c>
      <c r="L271" s="39" t="inlineStr">
        <is>
          <t>Not assessed</t>
        </is>
      </c>
      <c r="M271" s="40" t="n"/>
      <c r="N271" s="40" t="n"/>
      <c r="O271" s="42" t="inlineStr">
        <is>
          <t>Low</t>
        </is>
      </c>
      <c r="P271" s="43">
        <f>IF(H271="N/A","N/A",INDEX(CRIT_MATRIX,MATCH(O271,CRIT_MATRIX_ROWS,0),MATCH(APP_RISK_TIER,CRIT_MATRIX_COLS,0)))</f>
        <v/>
      </c>
    </row>
    <row r="272" ht="39.75" customHeight="1" s="19">
      <c r="A272" s="39" t="inlineStr">
        <is>
          <t>V13.2.3</t>
        </is>
      </c>
      <c r="B272" s="40" t="inlineStr">
        <is>
          <t>V13 - Configuration</t>
        </is>
      </c>
      <c r="C272" s="40" t="inlineStr">
        <is>
          <t>V13.2 - Backend Communication Configuration</t>
        </is>
      </c>
      <c r="D272" s="39" t="n">
        <v>2</v>
      </c>
      <c r="E272" s="40" t="inlineStr">
        <is>
          <t>Verify that if a credential has to be used for service authentication, the credential being used by the consumer is not a default credential (e.g., root/root or admin/admin).</t>
        </is>
      </c>
      <c r="F272" s="40" t="inlineStr">
        <is>
          <t>Always</t>
        </is>
      </c>
      <c r="G272" s="39" t="inlineStr">
        <is>
          <t>TRUE</t>
        </is>
      </c>
      <c r="H272" s="41">
        <f>IF(AND(TRUE(),D272&lt;=TARGET_LEVEL_NUM),"Applicable","N/A")</f>
        <v/>
      </c>
      <c r="I272" s="40" t="inlineStr">
        <is>
          <t>IaC scanning + configuration review</t>
        </is>
      </c>
      <c r="J272" s="40" t="inlineStr">
        <is>
          <t>Deterministic, continuous</t>
        </is>
      </c>
      <c r="K272" s="39" t="inlineStr">
        <is>
          <t>Pipeline</t>
        </is>
      </c>
      <c r="L272" s="39" t="inlineStr">
        <is>
          <t>Not assessed</t>
        </is>
      </c>
      <c r="M272" s="40" t="n"/>
      <c r="N272" s="40" t="n"/>
      <c r="O272" s="42" t="inlineStr">
        <is>
          <t>Low</t>
        </is>
      </c>
      <c r="P272" s="43">
        <f>IF(H272="N/A","N/A",INDEX(CRIT_MATRIX,MATCH(O272,CRIT_MATRIX_ROWS,0),MATCH(APP_RISK_TIER,CRIT_MATRIX_COLS,0)))</f>
        <v/>
      </c>
    </row>
    <row r="273" ht="39.75" customHeight="1" s="19">
      <c r="A273" s="39" t="inlineStr">
        <is>
          <t>V13.2.4</t>
        </is>
      </c>
      <c r="B273" s="40" t="inlineStr">
        <is>
          <t>V13 - Configuration</t>
        </is>
      </c>
      <c r="C273" s="40" t="inlineStr">
        <is>
          <t>V13.2 - Backend Communication Configuration</t>
        </is>
      </c>
      <c r="D273" s="39"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39" t="inlineStr">
        <is>
          <t>TRUE</t>
        </is>
      </c>
      <c r="H273" s="41">
        <f>IF(AND(TRUE(),D273&lt;=TARGET_LEVEL_NUM),"Applicable","N/A")</f>
        <v/>
      </c>
      <c r="I273" s="40" t="inlineStr">
        <is>
          <t>IaC scanning + configuration review</t>
        </is>
      </c>
      <c r="J273" s="40" t="inlineStr">
        <is>
          <t>Deterministic, continuous</t>
        </is>
      </c>
      <c r="K273" s="39" t="inlineStr">
        <is>
          <t>Pipeline</t>
        </is>
      </c>
      <c r="L273" s="39" t="inlineStr">
        <is>
          <t>Not assessed</t>
        </is>
      </c>
      <c r="M273" s="40" t="n"/>
      <c r="N273" s="40" t="n"/>
      <c r="O273" s="42" t="inlineStr">
        <is>
          <t>Low</t>
        </is>
      </c>
      <c r="P273" s="43">
        <f>IF(H273="N/A","N/A",INDEX(CRIT_MATRIX,MATCH(O273,CRIT_MATRIX_ROWS,0),MATCH(APP_RISK_TIER,CRIT_MATRIX_COLS,0)))</f>
        <v/>
      </c>
    </row>
    <row r="274" ht="39.75" customHeight="1" s="19">
      <c r="A274" s="39" t="inlineStr">
        <is>
          <t>V13.2.5</t>
        </is>
      </c>
      <c r="B274" s="40" t="inlineStr">
        <is>
          <t>V13 - Configuration</t>
        </is>
      </c>
      <c r="C274" s="40" t="inlineStr">
        <is>
          <t>V13.2 - Backend Communication Configuration</t>
        </is>
      </c>
      <c r="D274" s="39" t="n">
        <v>2</v>
      </c>
      <c r="E274" s="40" t="inlineStr">
        <is>
          <t>Verify that the web or application server is configured with an allowlist of resources or systems to which the server can send requests or load data or files from.</t>
        </is>
      </c>
      <c r="F274" s="40" t="inlineStr">
        <is>
          <t>Always</t>
        </is>
      </c>
      <c r="G274" s="39" t="inlineStr">
        <is>
          <t>TRUE</t>
        </is>
      </c>
      <c r="H274" s="41">
        <f>IF(AND(TRUE(),D274&lt;=TARGET_LEVEL_NUM),"Applicable","N/A")</f>
        <v/>
      </c>
      <c r="I274" s="40" t="inlineStr">
        <is>
          <t>IaC scanning + configuration review</t>
        </is>
      </c>
      <c r="J274" s="40" t="inlineStr">
        <is>
          <t>Deterministic, continuous</t>
        </is>
      </c>
      <c r="K274" s="39" t="inlineStr">
        <is>
          <t>Pipeline</t>
        </is>
      </c>
      <c r="L274" s="39" t="inlineStr">
        <is>
          <t>Not assessed</t>
        </is>
      </c>
      <c r="M274" s="40" t="n"/>
      <c r="N274" s="40" t="n"/>
      <c r="O274" s="42" t="inlineStr">
        <is>
          <t>Low</t>
        </is>
      </c>
      <c r="P274" s="43">
        <f>IF(H274="N/A","N/A",INDEX(CRIT_MATRIX,MATCH(O274,CRIT_MATRIX_ROWS,0),MATCH(APP_RISK_TIER,CRIT_MATRIX_COLS,0)))</f>
        <v/>
      </c>
    </row>
    <row r="275" ht="39.75" customHeight="1" s="19">
      <c r="A275" s="39" t="inlineStr">
        <is>
          <t>V13.2.6</t>
        </is>
      </c>
      <c r="B275" s="40" t="inlineStr">
        <is>
          <t>V13 - Configuration</t>
        </is>
      </c>
      <c r="C275" s="40" t="inlineStr">
        <is>
          <t>V13.2 - Backend Communication Configuration</t>
        </is>
      </c>
      <c r="D275" s="39"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39" t="inlineStr">
        <is>
          <t>TRUE</t>
        </is>
      </c>
      <c r="H275" s="41">
        <f>IF(AND(TRUE(),D275&lt;=TARGET_LEVEL_NUM),"Applicable","N/A")</f>
        <v/>
      </c>
      <c r="I275" s="40" t="inlineStr">
        <is>
          <t>IaC scanning + configuration review</t>
        </is>
      </c>
      <c r="J275" s="40" t="inlineStr">
        <is>
          <t>Deterministic, continuous</t>
        </is>
      </c>
      <c r="K275" s="39" t="inlineStr">
        <is>
          <t>Pipeline</t>
        </is>
      </c>
      <c r="L275" s="39" t="inlineStr">
        <is>
          <t>Not assessed</t>
        </is>
      </c>
      <c r="M275" s="40" t="n"/>
      <c r="N275" s="40" t="n"/>
      <c r="O275" s="42" t="inlineStr">
        <is>
          <t>Low</t>
        </is>
      </c>
      <c r="P275" s="43">
        <f>IF(H275="N/A","N/A",INDEX(CRIT_MATRIX,MATCH(O275,CRIT_MATRIX_ROWS,0),MATCH(APP_RISK_TIER,CRIT_MATRIX_COLS,0)))</f>
        <v/>
      </c>
    </row>
    <row r="276" ht="39.75" customHeight="1" s="19">
      <c r="A276" s="39" t="inlineStr">
        <is>
          <t>V13.3.1</t>
        </is>
      </c>
      <c r="B276" s="40" t="inlineStr">
        <is>
          <t>V13 - Configuration</t>
        </is>
      </c>
      <c r="C276" s="40" t="inlineStr">
        <is>
          <t>V13.3 - Secret Management</t>
        </is>
      </c>
      <c r="D276" s="39"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39" t="inlineStr">
        <is>
          <t>TRUE</t>
        </is>
      </c>
      <c r="H276" s="41">
        <f>IF(AND(TRUE(),D276&lt;=TARGET_LEVEL_NUM),"Applicable","N/A")</f>
        <v/>
      </c>
      <c r="I276" s="40" t="inlineStr">
        <is>
          <t>IaC scanning + configuration review</t>
        </is>
      </c>
      <c r="J276" s="40" t="inlineStr">
        <is>
          <t>Deterministic, continuous</t>
        </is>
      </c>
      <c r="K276" s="39" t="inlineStr">
        <is>
          <t>Pipeline</t>
        </is>
      </c>
      <c r="L276" s="39" t="inlineStr">
        <is>
          <t>Not assessed</t>
        </is>
      </c>
      <c r="M276" s="40" t="n"/>
      <c r="N276" s="40" t="n"/>
      <c r="O276" s="42" t="inlineStr">
        <is>
          <t>Low</t>
        </is>
      </c>
      <c r="P276" s="43">
        <f>IF(H276="N/A","N/A",INDEX(CRIT_MATRIX,MATCH(O276,CRIT_MATRIX_ROWS,0),MATCH(APP_RISK_TIER,CRIT_MATRIX_COLS,0)))</f>
        <v/>
      </c>
    </row>
    <row r="277" ht="39.75" customHeight="1" s="19">
      <c r="A277" s="39" t="inlineStr">
        <is>
          <t>V13.3.2</t>
        </is>
      </c>
      <c r="B277" s="40" t="inlineStr">
        <is>
          <t>V13 - Configuration</t>
        </is>
      </c>
      <c r="C277" s="40" t="inlineStr">
        <is>
          <t>V13.3 - Secret Management</t>
        </is>
      </c>
      <c r="D277" s="39" t="n">
        <v>2</v>
      </c>
      <c r="E277" s="40" t="inlineStr">
        <is>
          <t>Verify that access to secret assets adheres to the principle of least privilege.</t>
        </is>
      </c>
      <c r="F277" s="40" t="inlineStr">
        <is>
          <t>Always</t>
        </is>
      </c>
      <c r="G277" s="39" t="inlineStr">
        <is>
          <t>TRUE</t>
        </is>
      </c>
      <c r="H277" s="41">
        <f>IF(AND(TRUE(),D277&lt;=TARGET_LEVEL_NUM),"Applicable","N/A")</f>
        <v/>
      </c>
      <c r="I277" s="40" t="inlineStr">
        <is>
          <t>IaC scanning + configuration review</t>
        </is>
      </c>
      <c r="J277" s="40" t="inlineStr">
        <is>
          <t>Deterministic, continuous</t>
        </is>
      </c>
      <c r="K277" s="39" t="inlineStr">
        <is>
          <t>Pipeline</t>
        </is>
      </c>
      <c r="L277" s="39" t="inlineStr">
        <is>
          <t>Not assessed</t>
        </is>
      </c>
      <c r="M277" s="40" t="n"/>
      <c r="N277" s="40" t="n"/>
      <c r="O277" s="42" t="inlineStr">
        <is>
          <t>Low</t>
        </is>
      </c>
      <c r="P277" s="43">
        <f>IF(H277="N/A","N/A",INDEX(CRIT_MATRIX,MATCH(O277,CRIT_MATRIX_ROWS,0),MATCH(APP_RISK_TIER,CRIT_MATRIX_COLS,0)))</f>
        <v/>
      </c>
    </row>
    <row r="278" ht="39.75" customHeight="1" s="19">
      <c r="A278" s="39" t="inlineStr">
        <is>
          <t>V13.3.3</t>
        </is>
      </c>
      <c r="B278" s="40" t="inlineStr">
        <is>
          <t>V13 - Configuration</t>
        </is>
      </c>
      <c r="C278" s="40" t="inlineStr">
        <is>
          <t>V13.3 - Secret Management</t>
        </is>
      </c>
      <c r="D278" s="39"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39" t="inlineStr">
        <is>
          <t>TRUE</t>
        </is>
      </c>
      <c r="H278" s="41">
        <f>IF(AND(TRUE(),D278&lt;=TARGET_LEVEL_NUM),"Applicable","N/A")</f>
        <v/>
      </c>
      <c r="I278" s="40" t="inlineStr">
        <is>
          <t>IaC scanning + configuration review</t>
        </is>
      </c>
      <c r="J278" s="40" t="inlineStr">
        <is>
          <t>Deterministic, continuous</t>
        </is>
      </c>
      <c r="K278" s="39" t="inlineStr">
        <is>
          <t>Pipeline</t>
        </is>
      </c>
      <c r="L278" s="39" t="inlineStr">
        <is>
          <t>Not assessed</t>
        </is>
      </c>
      <c r="M278" s="40" t="n"/>
      <c r="N278" s="40" t="n"/>
      <c r="O278" s="42" t="inlineStr">
        <is>
          <t>Low</t>
        </is>
      </c>
      <c r="P278" s="43">
        <f>IF(H278="N/A","N/A",INDEX(CRIT_MATRIX,MATCH(O278,CRIT_MATRIX_ROWS,0),MATCH(APP_RISK_TIER,CRIT_MATRIX_COLS,0)))</f>
        <v/>
      </c>
    </row>
    <row r="279" ht="39.75" customHeight="1" s="19">
      <c r="A279" s="39" t="inlineStr">
        <is>
          <t>V13.3.4</t>
        </is>
      </c>
      <c r="B279" s="40" t="inlineStr">
        <is>
          <t>V13 - Configuration</t>
        </is>
      </c>
      <c r="C279" s="40" t="inlineStr">
        <is>
          <t>V13.3 - Secret Management</t>
        </is>
      </c>
      <c r="D279" s="39" t="n">
        <v>3</v>
      </c>
      <c r="E279" s="40" t="inlineStr">
        <is>
          <t>Verify that secrets are configured to expire and be rotated based on the application's documentation.</t>
        </is>
      </c>
      <c r="F279" s="40" t="inlineStr">
        <is>
          <t>Always</t>
        </is>
      </c>
      <c r="G279" s="39" t="inlineStr">
        <is>
          <t>TRUE</t>
        </is>
      </c>
      <c r="H279" s="41">
        <f>IF(AND(TRUE(),D279&lt;=TARGET_LEVEL_NUM),"Applicable","N/A")</f>
        <v/>
      </c>
      <c r="I279" s="40" t="inlineStr">
        <is>
          <t>IaC scanning + configuration review</t>
        </is>
      </c>
      <c r="J279" s="40" t="inlineStr">
        <is>
          <t>Deterministic, continuous</t>
        </is>
      </c>
      <c r="K279" s="39" t="inlineStr">
        <is>
          <t>Pipeline</t>
        </is>
      </c>
      <c r="L279" s="39" t="inlineStr">
        <is>
          <t>Not assessed</t>
        </is>
      </c>
      <c r="M279" s="40" t="n"/>
      <c r="N279" s="40" t="n"/>
      <c r="O279" s="42" t="inlineStr">
        <is>
          <t>Low</t>
        </is>
      </c>
      <c r="P279" s="43">
        <f>IF(H279="N/A","N/A",INDEX(CRIT_MATRIX,MATCH(O279,CRIT_MATRIX_ROWS,0),MATCH(APP_RISK_TIER,CRIT_MATRIX_COLS,0)))</f>
        <v/>
      </c>
    </row>
    <row r="280" ht="39.75" customHeight="1" s="19">
      <c r="A280" s="39" t="inlineStr">
        <is>
          <t>V13.4.1</t>
        </is>
      </c>
      <c r="B280" s="40" t="inlineStr">
        <is>
          <t>V13 - Configuration</t>
        </is>
      </c>
      <c r="C280" s="40" t="inlineStr">
        <is>
          <t>V13.4 - Unintended Information Leakage</t>
        </is>
      </c>
      <c r="D280" s="39"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39" t="inlineStr">
        <is>
          <t>TRUE</t>
        </is>
      </c>
      <c r="H280" s="41">
        <f>IF(AND(TRUE(),D280&lt;=TARGET_LEVEL_NUM),"Applicable","N/A")</f>
        <v/>
      </c>
      <c r="I280" s="40" t="inlineStr">
        <is>
          <t>IaC scanning + configuration review</t>
        </is>
      </c>
      <c r="J280" s="40" t="inlineStr">
        <is>
          <t>Deterministic, continuous</t>
        </is>
      </c>
      <c r="K280" s="39" t="inlineStr">
        <is>
          <t>Pipeline</t>
        </is>
      </c>
      <c r="L280" s="39" t="inlineStr">
        <is>
          <t>Not assessed</t>
        </is>
      </c>
      <c r="M280" s="40" t="n"/>
      <c r="N280" s="40" t="n"/>
      <c r="O280" s="42" t="inlineStr">
        <is>
          <t>Low</t>
        </is>
      </c>
      <c r="P280" s="43">
        <f>IF(H280="N/A","N/A",INDEX(CRIT_MATRIX,MATCH(O280,CRIT_MATRIX_ROWS,0),MATCH(APP_RISK_TIER,CRIT_MATRIX_COLS,0)))</f>
        <v/>
      </c>
    </row>
    <row r="281" ht="39.75" customHeight="1" s="19">
      <c r="A281" s="39" t="inlineStr">
        <is>
          <t>V13.4.2</t>
        </is>
      </c>
      <c r="B281" s="40" t="inlineStr">
        <is>
          <t>V13 - Configuration</t>
        </is>
      </c>
      <c r="C281" s="40" t="inlineStr">
        <is>
          <t>V13.4 - Unintended Information Leakage</t>
        </is>
      </c>
      <c r="D281" s="39" t="n">
        <v>2</v>
      </c>
      <c r="E281" s="40" t="inlineStr">
        <is>
          <t>Verify that debug modes are disabled for all components in production environments to prevent exposure of debugging features and information leakage.</t>
        </is>
      </c>
      <c r="F281" s="40" t="inlineStr">
        <is>
          <t>Always</t>
        </is>
      </c>
      <c r="G281" s="39" t="inlineStr">
        <is>
          <t>TRUE</t>
        </is>
      </c>
      <c r="H281" s="41">
        <f>IF(AND(TRUE(),D281&lt;=TARGET_LEVEL_NUM),"Applicable","N/A")</f>
        <v/>
      </c>
      <c r="I281" s="40" t="inlineStr">
        <is>
          <t>IaC scanning + configuration review</t>
        </is>
      </c>
      <c r="J281" s="40" t="inlineStr">
        <is>
          <t>Deterministic, continuous</t>
        </is>
      </c>
      <c r="K281" s="39" t="inlineStr">
        <is>
          <t>Pipeline</t>
        </is>
      </c>
      <c r="L281" s="39" t="inlineStr">
        <is>
          <t>Not assessed</t>
        </is>
      </c>
      <c r="M281" s="40" t="n"/>
      <c r="N281" s="40" t="n"/>
      <c r="O281" s="42" t="inlineStr">
        <is>
          <t>Low</t>
        </is>
      </c>
      <c r="P281" s="43">
        <f>IF(H281="N/A","N/A",INDEX(CRIT_MATRIX,MATCH(O281,CRIT_MATRIX_ROWS,0),MATCH(APP_RISK_TIER,CRIT_MATRIX_COLS,0)))</f>
        <v/>
      </c>
    </row>
    <row r="282" ht="39.75" customHeight="1" s="19">
      <c r="A282" s="39" t="inlineStr">
        <is>
          <t>V13.4.3</t>
        </is>
      </c>
      <c r="B282" s="40" t="inlineStr">
        <is>
          <t>V13 - Configuration</t>
        </is>
      </c>
      <c r="C282" s="40" t="inlineStr">
        <is>
          <t>V13.4 - Unintended Information Leakage</t>
        </is>
      </c>
      <c r="D282" s="39" t="n">
        <v>2</v>
      </c>
      <c r="E282" s="40" t="inlineStr">
        <is>
          <t>Verify that web servers do not expose directory listings to clients unless explicitly intended.</t>
        </is>
      </c>
      <c r="F282" s="40" t="inlineStr">
        <is>
          <t>Always</t>
        </is>
      </c>
      <c r="G282" s="39" t="inlineStr">
        <is>
          <t>TRUE</t>
        </is>
      </c>
      <c r="H282" s="41">
        <f>IF(AND(TRUE(),D282&lt;=TARGET_LEVEL_NUM),"Applicable","N/A")</f>
        <v/>
      </c>
      <c r="I282" s="40" t="inlineStr">
        <is>
          <t>IaC scanning + configuration review</t>
        </is>
      </c>
      <c r="J282" s="40" t="inlineStr">
        <is>
          <t>Deterministic, continuous</t>
        </is>
      </c>
      <c r="K282" s="39" t="inlineStr">
        <is>
          <t>Pipeline</t>
        </is>
      </c>
      <c r="L282" s="39" t="inlineStr">
        <is>
          <t>Not assessed</t>
        </is>
      </c>
      <c r="M282" s="40" t="n"/>
      <c r="N282" s="40" t="n"/>
      <c r="O282" s="42" t="inlineStr">
        <is>
          <t>Low</t>
        </is>
      </c>
      <c r="P282" s="43">
        <f>IF(H282="N/A","N/A",INDEX(CRIT_MATRIX,MATCH(O282,CRIT_MATRIX_ROWS,0),MATCH(APP_RISK_TIER,CRIT_MATRIX_COLS,0)))</f>
        <v/>
      </c>
    </row>
    <row r="283" ht="39.75" customHeight="1" s="19">
      <c r="A283" s="39" t="inlineStr">
        <is>
          <t>V13.4.4</t>
        </is>
      </c>
      <c r="B283" s="40" t="inlineStr">
        <is>
          <t>V13 - Configuration</t>
        </is>
      </c>
      <c r="C283" s="40" t="inlineStr">
        <is>
          <t>V13.4 - Unintended Information Leakage</t>
        </is>
      </c>
      <c r="D283" s="39" t="n">
        <v>2</v>
      </c>
      <c r="E283" s="40" t="inlineStr">
        <is>
          <t>Verify that using the HTTP TRACE method is not supported in production environments, to avoid potential information leakage.</t>
        </is>
      </c>
      <c r="F283" s="40" t="inlineStr">
        <is>
          <t>Always</t>
        </is>
      </c>
      <c r="G283" s="39" t="inlineStr">
        <is>
          <t>TRUE</t>
        </is>
      </c>
      <c r="H283" s="41">
        <f>IF(AND(TRUE(),D283&lt;=TARGET_LEVEL_NUM),"Applicable","N/A")</f>
        <v/>
      </c>
      <c r="I283" s="40" t="inlineStr">
        <is>
          <t>IaC scanning + configuration review</t>
        </is>
      </c>
      <c r="J283" s="40" t="inlineStr">
        <is>
          <t>Deterministic, continuous</t>
        </is>
      </c>
      <c r="K283" s="39" t="inlineStr">
        <is>
          <t>Pipeline</t>
        </is>
      </c>
      <c r="L283" s="39" t="inlineStr">
        <is>
          <t>Not assessed</t>
        </is>
      </c>
      <c r="M283" s="40" t="n"/>
      <c r="N283" s="40" t="n"/>
      <c r="O283" s="42" t="inlineStr">
        <is>
          <t>Low</t>
        </is>
      </c>
      <c r="P283" s="43">
        <f>IF(H283="N/A","N/A",INDEX(CRIT_MATRIX,MATCH(O283,CRIT_MATRIX_ROWS,0),MATCH(APP_RISK_TIER,CRIT_MATRIX_COLS,0)))</f>
        <v/>
      </c>
    </row>
    <row r="284" ht="39.75" customHeight="1" s="19">
      <c r="A284" s="39" t="inlineStr">
        <is>
          <t>V13.4.5</t>
        </is>
      </c>
      <c r="B284" s="40" t="inlineStr">
        <is>
          <t>V13 - Configuration</t>
        </is>
      </c>
      <c r="C284" s="40" t="inlineStr">
        <is>
          <t>V13.4 - Unintended Information Leakage</t>
        </is>
      </c>
      <c r="D284" s="39" t="n">
        <v>2</v>
      </c>
      <c r="E284" s="40" t="inlineStr">
        <is>
          <t>Verify that documentation (such as for internal APIs) and monitoring endpoints are not exposed unless explicitly intended.</t>
        </is>
      </c>
      <c r="F284" s="40" t="inlineStr">
        <is>
          <t>Always</t>
        </is>
      </c>
      <c r="G284" s="39" t="inlineStr">
        <is>
          <t>TRUE</t>
        </is>
      </c>
      <c r="H284" s="41">
        <f>IF(AND(TRUE(),D284&lt;=TARGET_LEVEL_NUM),"Applicable","N/A")</f>
        <v/>
      </c>
      <c r="I284" s="40" t="inlineStr">
        <is>
          <t>IaC scanning + configuration review</t>
        </is>
      </c>
      <c r="J284" s="40" t="inlineStr">
        <is>
          <t>Deterministic, continuous</t>
        </is>
      </c>
      <c r="K284" s="39" t="inlineStr">
        <is>
          <t>Pipeline</t>
        </is>
      </c>
      <c r="L284" s="39" t="inlineStr">
        <is>
          <t>Not assessed</t>
        </is>
      </c>
      <c r="M284" s="40" t="n"/>
      <c r="N284" s="40" t="n"/>
      <c r="O284" s="42" t="inlineStr">
        <is>
          <t>Low</t>
        </is>
      </c>
      <c r="P284" s="43">
        <f>IF(H284="N/A","N/A",INDEX(CRIT_MATRIX,MATCH(O284,CRIT_MATRIX_ROWS,0),MATCH(APP_RISK_TIER,CRIT_MATRIX_COLS,0)))</f>
        <v/>
      </c>
    </row>
    <row r="285" ht="39.75" customHeight="1" s="19">
      <c r="A285" s="39" t="inlineStr">
        <is>
          <t>V13.4.6</t>
        </is>
      </c>
      <c r="B285" s="40" t="inlineStr">
        <is>
          <t>V13 - Configuration</t>
        </is>
      </c>
      <c r="C285" s="40" t="inlineStr">
        <is>
          <t>V13.4 - Unintended Information Leakage</t>
        </is>
      </c>
      <c r="D285" s="39" t="n">
        <v>3</v>
      </c>
      <c r="E285" s="40" t="inlineStr">
        <is>
          <t>Verify that the application does not expose detailed version information of backend components.</t>
        </is>
      </c>
      <c r="F285" s="40" t="inlineStr">
        <is>
          <t>Always</t>
        </is>
      </c>
      <c r="G285" s="39" t="inlineStr">
        <is>
          <t>TRUE</t>
        </is>
      </c>
      <c r="H285" s="41">
        <f>IF(AND(TRUE(),D285&lt;=TARGET_LEVEL_NUM),"Applicable","N/A")</f>
        <v/>
      </c>
      <c r="I285" s="40" t="inlineStr">
        <is>
          <t>IaC scanning + configuration review</t>
        </is>
      </c>
      <c r="J285" s="40" t="inlineStr">
        <is>
          <t>Deterministic, continuous</t>
        </is>
      </c>
      <c r="K285" s="39" t="inlineStr">
        <is>
          <t>Pipeline</t>
        </is>
      </c>
      <c r="L285" s="39" t="inlineStr">
        <is>
          <t>Not assessed</t>
        </is>
      </c>
      <c r="M285" s="40" t="n"/>
      <c r="N285" s="40" t="n"/>
      <c r="O285" s="42" t="inlineStr">
        <is>
          <t>Low</t>
        </is>
      </c>
      <c r="P285" s="43">
        <f>IF(H285="N/A","N/A",INDEX(CRIT_MATRIX,MATCH(O285,CRIT_MATRIX_ROWS,0),MATCH(APP_RISK_TIER,CRIT_MATRIX_COLS,0)))</f>
        <v/>
      </c>
    </row>
    <row r="286" ht="39.75" customHeight="1" s="19">
      <c r="A286" s="39" t="inlineStr">
        <is>
          <t>V13.4.7</t>
        </is>
      </c>
      <c r="B286" s="40" t="inlineStr">
        <is>
          <t>V13 - Configuration</t>
        </is>
      </c>
      <c r="C286" s="40" t="inlineStr">
        <is>
          <t>V13.4 - Unintended Information Leakage</t>
        </is>
      </c>
      <c r="D286" s="39" t="n">
        <v>3</v>
      </c>
      <c r="E286" s="40" t="inlineStr">
        <is>
          <t>Verify that the web tier is configured to only serve files with specific file extensions to prevent unintentional information, configuration, and source code leakage.</t>
        </is>
      </c>
      <c r="F286" s="40" t="inlineStr">
        <is>
          <t>Always</t>
        </is>
      </c>
      <c r="G286" s="39" t="inlineStr">
        <is>
          <t>TRUE</t>
        </is>
      </c>
      <c r="H286" s="41">
        <f>IF(AND(TRUE(),D286&lt;=TARGET_LEVEL_NUM),"Applicable","N/A")</f>
        <v/>
      </c>
      <c r="I286" s="40" t="inlineStr">
        <is>
          <t>IaC scanning + configuration review</t>
        </is>
      </c>
      <c r="J286" s="40" t="inlineStr">
        <is>
          <t>Deterministic, continuous</t>
        </is>
      </c>
      <c r="K286" s="39" t="inlineStr">
        <is>
          <t>Pipeline</t>
        </is>
      </c>
      <c r="L286" s="39" t="inlineStr">
        <is>
          <t>Not assessed</t>
        </is>
      </c>
      <c r="M286" s="40" t="n"/>
      <c r="N286" s="40" t="n"/>
      <c r="O286" s="42" t="inlineStr">
        <is>
          <t>Low</t>
        </is>
      </c>
      <c r="P286" s="43">
        <f>IF(H286="N/A","N/A",INDEX(CRIT_MATRIX,MATCH(O286,CRIT_MATRIX_ROWS,0),MATCH(APP_RISK_TIER,CRIT_MATRIX_COLS,0)))</f>
        <v/>
      </c>
    </row>
    <row r="287" ht="39.75" customHeight="1" s="19">
      <c r="A287" s="39" t="inlineStr">
        <is>
          <t>V14.1.1</t>
        </is>
      </c>
      <c r="B287" s="40" t="inlineStr">
        <is>
          <t>V14 - Data Protection</t>
        </is>
      </c>
      <c r="C287" s="40" t="inlineStr">
        <is>
          <t>V14.1 - Data Protection Documentation</t>
        </is>
      </c>
      <c r="D287" s="39"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39" t="inlineStr">
        <is>
          <t>OR(DATA_SENSITIVITY="Confidential",DATA_SENSITIVITY="Regulated")</t>
        </is>
      </c>
      <c r="H287" s="41">
        <f>IF(AND(OR(DATA_SENSITIVITY="Confidential",DATA_SENSITIVITY="Regulated"),D287&lt;=TARGET_LEVEL_NUM),"Applicable","N/A")</f>
        <v/>
      </c>
      <c r="I287" s="40" t="inlineStr">
        <is>
          <t>Architecture / documentation review</t>
        </is>
      </c>
      <c r="J287" s="40" t="inlineStr">
        <is>
          <t>Sampled, periodic</t>
        </is>
      </c>
      <c r="K287" s="39" t="inlineStr">
        <is>
          <t>Design/Governance</t>
        </is>
      </c>
      <c r="L287" s="39" t="inlineStr">
        <is>
          <t>Not assessed</t>
        </is>
      </c>
      <c r="M287" s="40" t="n"/>
      <c r="N287" s="40" t="n"/>
      <c r="O287" s="42" t="inlineStr">
        <is>
          <t>High</t>
        </is>
      </c>
      <c r="P287" s="43">
        <f>IF(H287="N/A","N/A",INDEX(CRIT_MATRIX,MATCH(O287,CRIT_MATRIX_ROWS,0),MATCH(APP_RISK_TIER,CRIT_MATRIX_COLS,0)))</f>
        <v/>
      </c>
    </row>
    <row r="288" ht="39.75" customHeight="1" s="19">
      <c r="A288" s="39" t="inlineStr">
        <is>
          <t>V14.1.2</t>
        </is>
      </c>
      <c r="B288" s="40" t="inlineStr">
        <is>
          <t>V14 - Data Protection</t>
        </is>
      </c>
      <c r="C288" s="40" t="inlineStr">
        <is>
          <t>V14.1 - Data Protection Documentation</t>
        </is>
      </c>
      <c r="D288" s="39"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39" t="inlineStr">
        <is>
          <t>OR(DATA_SENSITIVITY="Confidential",DATA_SENSITIVITY="Regulated")</t>
        </is>
      </c>
      <c r="H288" s="41">
        <f>IF(AND(OR(DATA_SENSITIVITY="Confidential",DATA_SENSITIVITY="Regulated"),D288&lt;=TARGET_LEVEL_NUM),"Applicable","N/A")</f>
        <v/>
      </c>
      <c r="I288" s="40" t="inlineStr">
        <is>
          <t>Architecture / documentation review</t>
        </is>
      </c>
      <c r="J288" s="40" t="inlineStr">
        <is>
          <t>Sampled, periodic</t>
        </is>
      </c>
      <c r="K288" s="39" t="inlineStr">
        <is>
          <t>Design/Governance</t>
        </is>
      </c>
      <c r="L288" s="39" t="inlineStr">
        <is>
          <t>Not assessed</t>
        </is>
      </c>
      <c r="M288" s="40" t="n"/>
      <c r="N288" s="40" t="n"/>
      <c r="O288" s="42" t="inlineStr">
        <is>
          <t>High</t>
        </is>
      </c>
      <c r="P288" s="43">
        <f>IF(H288="N/A","N/A",INDEX(CRIT_MATRIX,MATCH(O288,CRIT_MATRIX_ROWS,0),MATCH(APP_RISK_TIER,CRIT_MATRIX_COLS,0)))</f>
        <v/>
      </c>
    </row>
    <row r="289" ht="39.75" customHeight="1" s="19">
      <c r="A289" s="39" t="inlineStr">
        <is>
          <t>V14.2.1</t>
        </is>
      </c>
      <c r="B289" s="40" t="inlineStr">
        <is>
          <t>V14 - Data Protection</t>
        </is>
      </c>
      <c r="C289" s="40" t="inlineStr">
        <is>
          <t>V14.2 - General Data Protection</t>
        </is>
      </c>
      <c r="D289" s="39"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39" t="inlineStr">
        <is>
          <t>OR(DATA_SENSITIVITY="Confidential",DATA_SENSITIVITY="Regulated")</t>
        </is>
      </c>
      <c r="H289" s="41">
        <f>IF(AND(OR(DATA_SENSITIVITY="Confidential",DATA_SENSITIVITY="Regulated"),D289&lt;=TARGET_LEVEL_NUM),"Applicable","N/A")</f>
        <v/>
      </c>
      <c r="I289" s="40" t="inlineStr">
        <is>
          <t>SAST + architecture review</t>
        </is>
      </c>
      <c r="J289" s="40" t="inlineStr">
        <is>
          <t>Mixed</t>
        </is>
      </c>
      <c r="K289" s="39" t="inlineStr">
        <is>
          <t>Design/Pipeline</t>
        </is>
      </c>
      <c r="L289" s="39" t="inlineStr">
        <is>
          <t>Not assessed</t>
        </is>
      </c>
      <c r="M289" s="40" t="n"/>
      <c r="N289" s="40" t="n"/>
      <c r="O289" s="42" t="inlineStr">
        <is>
          <t>High</t>
        </is>
      </c>
      <c r="P289" s="43">
        <f>IF(H289="N/A","N/A",INDEX(CRIT_MATRIX,MATCH(O289,CRIT_MATRIX_ROWS,0),MATCH(APP_RISK_TIER,CRIT_MATRIX_COLS,0)))</f>
        <v/>
      </c>
    </row>
    <row r="290" ht="39.75" customHeight="1" s="19">
      <c r="A290" s="39" t="inlineStr">
        <is>
          <t>V14.2.2</t>
        </is>
      </c>
      <c r="B290" s="40" t="inlineStr">
        <is>
          <t>V14 - Data Protection</t>
        </is>
      </c>
      <c r="C290" s="40" t="inlineStr">
        <is>
          <t>V14.2 - General Data Protection</t>
        </is>
      </c>
      <c r="D290" s="39"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39" t="inlineStr">
        <is>
          <t>OR(DATA_SENSITIVITY="Confidential",DATA_SENSITIVITY="Regulated")</t>
        </is>
      </c>
      <c r="H290" s="41">
        <f>IF(AND(OR(DATA_SENSITIVITY="Confidential",DATA_SENSITIVITY="Regulated"),D290&lt;=TARGET_LEVEL_NUM),"Applicable","N/A")</f>
        <v/>
      </c>
      <c r="I290" s="40" t="inlineStr">
        <is>
          <t>SAST + architecture review</t>
        </is>
      </c>
      <c r="J290" s="40" t="inlineStr">
        <is>
          <t>Mixed</t>
        </is>
      </c>
      <c r="K290" s="39" t="inlineStr">
        <is>
          <t>Design/Pipeline</t>
        </is>
      </c>
      <c r="L290" s="39" t="inlineStr">
        <is>
          <t>Not assessed</t>
        </is>
      </c>
      <c r="M290" s="40" t="n"/>
      <c r="N290" s="40" t="n"/>
      <c r="O290" s="42" t="inlineStr">
        <is>
          <t>High</t>
        </is>
      </c>
      <c r="P290" s="43">
        <f>IF(H290="N/A","N/A",INDEX(CRIT_MATRIX,MATCH(O290,CRIT_MATRIX_ROWS,0),MATCH(APP_RISK_TIER,CRIT_MATRIX_COLS,0)))</f>
        <v/>
      </c>
    </row>
    <row r="291" ht="39.75" customHeight="1" s="19">
      <c r="A291" s="39" t="inlineStr">
        <is>
          <t>V14.2.3</t>
        </is>
      </c>
      <c r="B291" s="40" t="inlineStr">
        <is>
          <t>V14 - Data Protection</t>
        </is>
      </c>
      <c r="C291" s="40" t="inlineStr">
        <is>
          <t>V14.2 - General Data Protection</t>
        </is>
      </c>
      <c r="D291" s="39" t="n">
        <v>2</v>
      </c>
      <c r="E291" s="40" t="inlineStr">
        <is>
          <t>Verify that defined sensitive data is not sent to untrusted parties (e.g., user trackers) to prevent unwanted collection of data outside of the application's control.</t>
        </is>
      </c>
      <c r="F291" s="40" t="inlineStr">
        <is>
          <t>If processes sensitive data</t>
        </is>
      </c>
      <c r="G291" s="39" t="inlineStr">
        <is>
          <t>OR(DATA_SENSITIVITY="Confidential",DATA_SENSITIVITY="Regulated")</t>
        </is>
      </c>
      <c r="H291" s="41">
        <f>IF(AND(OR(DATA_SENSITIVITY="Confidential",DATA_SENSITIVITY="Regulated"),D291&lt;=TARGET_LEVEL_NUM),"Applicable","N/A")</f>
        <v/>
      </c>
      <c r="I291" s="40" t="inlineStr">
        <is>
          <t>SAST + architecture review</t>
        </is>
      </c>
      <c r="J291" s="40" t="inlineStr">
        <is>
          <t>Mixed</t>
        </is>
      </c>
      <c r="K291" s="39" t="inlineStr">
        <is>
          <t>Design/Pipeline</t>
        </is>
      </c>
      <c r="L291" s="39" t="inlineStr">
        <is>
          <t>Not assessed</t>
        </is>
      </c>
      <c r="M291" s="40" t="n"/>
      <c r="N291" s="40" t="n"/>
      <c r="O291" s="42" t="inlineStr">
        <is>
          <t>High</t>
        </is>
      </c>
      <c r="P291" s="43">
        <f>IF(H291="N/A","N/A",INDEX(CRIT_MATRIX,MATCH(O291,CRIT_MATRIX_ROWS,0),MATCH(APP_RISK_TIER,CRIT_MATRIX_COLS,0)))</f>
        <v/>
      </c>
    </row>
    <row r="292" ht="39.75" customHeight="1" s="19">
      <c r="A292" s="39" t="inlineStr">
        <is>
          <t>V14.2.4</t>
        </is>
      </c>
      <c r="B292" s="40" t="inlineStr">
        <is>
          <t>V14 - Data Protection</t>
        </is>
      </c>
      <c r="C292" s="40" t="inlineStr">
        <is>
          <t>V14.2 - General Data Protection</t>
        </is>
      </c>
      <c r="D292" s="39"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39" t="inlineStr">
        <is>
          <t>OR(DATA_SENSITIVITY="Confidential",DATA_SENSITIVITY="Regulated")</t>
        </is>
      </c>
      <c r="H292" s="41">
        <f>IF(AND(OR(DATA_SENSITIVITY="Confidential",DATA_SENSITIVITY="Regulated"),D292&lt;=TARGET_LEVEL_NUM),"Applicable","N/A")</f>
        <v/>
      </c>
      <c r="I292" s="40" t="inlineStr">
        <is>
          <t>SAST + architecture review</t>
        </is>
      </c>
      <c r="J292" s="40" t="inlineStr">
        <is>
          <t>Mixed</t>
        </is>
      </c>
      <c r="K292" s="39" t="inlineStr">
        <is>
          <t>Design/Pipeline</t>
        </is>
      </c>
      <c r="L292" s="39" t="inlineStr">
        <is>
          <t>Not assessed</t>
        </is>
      </c>
      <c r="M292" s="40" t="n"/>
      <c r="N292" s="40" t="n"/>
      <c r="O292" s="42" t="inlineStr">
        <is>
          <t>High</t>
        </is>
      </c>
      <c r="P292" s="43">
        <f>IF(H292="N/A","N/A",INDEX(CRIT_MATRIX,MATCH(O292,CRIT_MATRIX_ROWS,0),MATCH(APP_RISK_TIER,CRIT_MATRIX_COLS,0)))</f>
        <v/>
      </c>
    </row>
    <row r="293" ht="39.75" customHeight="1" s="19">
      <c r="A293" s="39" t="inlineStr">
        <is>
          <t>V14.2.5</t>
        </is>
      </c>
      <c r="B293" s="40" t="inlineStr">
        <is>
          <t>V14 - Data Protection</t>
        </is>
      </c>
      <c r="C293" s="40" t="inlineStr">
        <is>
          <t>V14.2 - General Data Protection</t>
        </is>
      </c>
      <c r="D293" s="39"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39" t="inlineStr">
        <is>
          <t>OR(DATA_SENSITIVITY="Confidential",DATA_SENSITIVITY="Regulated")</t>
        </is>
      </c>
      <c r="H293" s="41">
        <f>IF(AND(OR(DATA_SENSITIVITY="Confidential",DATA_SENSITIVITY="Regulated"),D293&lt;=TARGET_LEVEL_NUM),"Applicable","N/A")</f>
        <v/>
      </c>
      <c r="I293" s="40" t="inlineStr">
        <is>
          <t>SAST + architecture review</t>
        </is>
      </c>
      <c r="J293" s="40" t="inlineStr">
        <is>
          <t>Mixed</t>
        </is>
      </c>
      <c r="K293" s="39" t="inlineStr">
        <is>
          <t>Design/Pipeline</t>
        </is>
      </c>
      <c r="L293" s="39" t="inlineStr">
        <is>
          <t>Not assessed</t>
        </is>
      </c>
      <c r="M293" s="40" t="n"/>
      <c r="N293" s="40" t="n"/>
      <c r="O293" s="42" t="inlineStr">
        <is>
          <t>High</t>
        </is>
      </c>
      <c r="P293" s="43">
        <f>IF(H293="N/A","N/A",INDEX(CRIT_MATRIX,MATCH(O293,CRIT_MATRIX_ROWS,0),MATCH(APP_RISK_TIER,CRIT_MATRIX_COLS,0)))</f>
        <v/>
      </c>
    </row>
    <row r="294" ht="39.75" customHeight="1" s="19">
      <c r="A294" s="39" t="inlineStr">
        <is>
          <t>V14.2.6</t>
        </is>
      </c>
      <c r="B294" s="40" t="inlineStr">
        <is>
          <t>V14 - Data Protection</t>
        </is>
      </c>
      <c r="C294" s="40" t="inlineStr">
        <is>
          <t>V14.2 - General Data Protection</t>
        </is>
      </c>
      <c r="D294" s="39"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39" t="inlineStr">
        <is>
          <t>OR(DATA_SENSITIVITY="Confidential",DATA_SENSITIVITY="Regulated")</t>
        </is>
      </c>
      <c r="H294" s="41">
        <f>IF(AND(OR(DATA_SENSITIVITY="Confidential",DATA_SENSITIVITY="Regulated"),D294&lt;=TARGET_LEVEL_NUM),"Applicable","N/A")</f>
        <v/>
      </c>
      <c r="I294" s="40" t="inlineStr">
        <is>
          <t>SAST + architecture review</t>
        </is>
      </c>
      <c r="J294" s="40" t="inlineStr">
        <is>
          <t>Mixed</t>
        </is>
      </c>
      <c r="K294" s="39" t="inlineStr">
        <is>
          <t>Design/Pipeline</t>
        </is>
      </c>
      <c r="L294" s="39" t="inlineStr">
        <is>
          <t>Not assessed</t>
        </is>
      </c>
      <c r="M294" s="40" t="n"/>
      <c r="N294" s="40" t="n"/>
      <c r="O294" s="42" t="inlineStr">
        <is>
          <t>High</t>
        </is>
      </c>
      <c r="P294" s="43">
        <f>IF(H294="N/A","N/A",INDEX(CRIT_MATRIX,MATCH(O294,CRIT_MATRIX_ROWS,0),MATCH(APP_RISK_TIER,CRIT_MATRIX_COLS,0)))</f>
        <v/>
      </c>
    </row>
    <row r="295" ht="39.75" customHeight="1" s="19">
      <c r="A295" s="39" t="inlineStr">
        <is>
          <t>V14.2.7</t>
        </is>
      </c>
      <c r="B295" s="40" t="inlineStr">
        <is>
          <t>V14 - Data Protection</t>
        </is>
      </c>
      <c r="C295" s="40" t="inlineStr">
        <is>
          <t>V14.2 - General Data Protection</t>
        </is>
      </c>
      <c r="D295" s="39"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39" t="inlineStr">
        <is>
          <t>OR(DATA_SENSITIVITY="Confidential",DATA_SENSITIVITY="Regulated")</t>
        </is>
      </c>
      <c r="H295" s="41">
        <f>IF(AND(OR(DATA_SENSITIVITY="Confidential",DATA_SENSITIVITY="Regulated"),D295&lt;=TARGET_LEVEL_NUM),"Applicable","N/A")</f>
        <v/>
      </c>
      <c r="I295" s="40" t="inlineStr">
        <is>
          <t>SAST + architecture review</t>
        </is>
      </c>
      <c r="J295" s="40" t="inlineStr">
        <is>
          <t>Mixed</t>
        </is>
      </c>
      <c r="K295" s="39" t="inlineStr">
        <is>
          <t>Design/Pipeline</t>
        </is>
      </c>
      <c r="L295" s="39" t="inlineStr">
        <is>
          <t>Not assessed</t>
        </is>
      </c>
      <c r="M295" s="40" t="n"/>
      <c r="N295" s="40" t="n"/>
      <c r="O295" s="42" t="inlineStr">
        <is>
          <t>High</t>
        </is>
      </c>
      <c r="P295" s="43">
        <f>IF(H295="N/A","N/A",INDEX(CRIT_MATRIX,MATCH(O295,CRIT_MATRIX_ROWS,0),MATCH(APP_RISK_TIER,CRIT_MATRIX_COLS,0)))</f>
        <v/>
      </c>
    </row>
    <row r="296" ht="39.75" customHeight="1" s="19">
      <c r="A296" s="39" t="inlineStr">
        <is>
          <t>V14.2.8</t>
        </is>
      </c>
      <c r="B296" s="40" t="inlineStr">
        <is>
          <t>V14 - Data Protection</t>
        </is>
      </c>
      <c r="C296" s="40" t="inlineStr">
        <is>
          <t>V14.2 - General Data Protection</t>
        </is>
      </c>
      <c r="D296" s="39" t="n">
        <v>3</v>
      </c>
      <c r="E296" s="40" t="inlineStr">
        <is>
          <t>Verify that sensitive information is removed from the metadata of user-submitted files unless storage is consented to by the user.</t>
        </is>
      </c>
      <c r="F296" s="40" t="inlineStr">
        <is>
          <t>If processes sensitive data</t>
        </is>
      </c>
      <c r="G296" s="39" t="inlineStr">
        <is>
          <t>OR(DATA_SENSITIVITY="Confidential",DATA_SENSITIVITY="Regulated")</t>
        </is>
      </c>
      <c r="H296" s="41">
        <f>IF(AND(OR(DATA_SENSITIVITY="Confidential",DATA_SENSITIVITY="Regulated"),D296&lt;=TARGET_LEVEL_NUM),"Applicable","N/A")</f>
        <v/>
      </c>
      <c r="I296" s="40" t="inlineStr">
        <is>
          <t>SAST + architecture review</t>
        </is>
      </c>
      <c r="J296" s="40" t="inlineStr">
        <is>
          <t>Mixed</t>
        </is>
      </c>
      <c r="K296" s="39" t="inlineStr">
        <is>
          <t>Design/Pipeline</t>
        </is>
      </c>
      <c r="L296" s="39" t="inlineStr">
        <is>
          <t>Not assessed</t>
        </is>
      </c>
      <c r="M296" s="40" t="n"/>
      <c r="N296" s="40" t="n"/>
      <c r="O296" s="42" t="inlineStr">
        <is>
          <t>High</t>
        </is>
      </c>
      <c r="P296" s="43">
        <f>IF(H296="N/A","N/A",INDEX(CRIT_MATRIX,MATCH(O296,CRIT_MATRIX_ROWS,0),MATCH(APP_RISK_TIER,CRIT_MATRIX_COLS,0)))</f>
        <v/>
      </c>
    </row>
    <row r="297" ht="39.75" customHeight="1" s="19">
      <c r="A297" s="39" t="inlineStr">
        <is>
          <t>V14.3.1</t>
        </is>
      </c>
      <c r="B297" s="40" t="inlineStr">
        <is>
          <t>V14 - Data Protection</t>
        </is>
      </c>
      <c r="C297" s="40" t="inlineStr">
        <is>
          <t>V14.3 - Client-side Data Protection</t>
        </is>
      </c>
      <c r="D297" s="39"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39" t="inlineStr">
        <is>
          <t>OR(DATA_SENSITIVITY="Confidential",DATA_SENSITIVITY="Regulated")</t>
        </is>
      </c>
      <c r="H297" s="41">
        <f>IF(AND(OR(DATA_SENSITIVITY="Confidential",DATA_SENSITIVITY="Regulated"),D297&lt;=TARGET_LEVEL_NUM),"Applicable","N/A")</f>
        <v/>
      </c>
      <c r="I297" s="40" t="inlineStr">
        <is>
          <t>SAST + architecture review</t>
        </is>
      </c>
      <c r="J297" s="40" t="inlineStr">
        <is>
          <t>Mixed</t>
        </is>
      </c>
      <c r="K297" s="39" t="inlineStr">
        <is>
          <t>Design/Pipeline</t>
        </is>
      </c>
      <c r="L297" s="39" t="inlineStr">
        <is>
          <t>Not assessed</t>
        </is>
      </c>
      <c r="M297" s="40" t="n"/>
      <c r="N297" s="40" t="n"/>
      <c r="O297" s="42" t="inlineStr">
        <is>
          <t>High</t>
        </is>
      </c>
      <c r="P297" s="43">
        <f>IF(H297="N/A","N/A",INDEX(CRIT_MATRIX,MATCH(O297,CRIT_MATRIX_ROWS,0),MATCH(APP_RISK_TIER,CRIT_MATRIX_COLS,0)))</f>
        <v/>
      </c>
    </row>
    <row r="298" ht="39.75" customHeight="1" s="19">
      <c r="A298" s="39" t="inlineStr">
        <is>
          <t>V14.3.2</t>
        </is>
      </c>
      <c r="B298" s="40" t="inlineStr">
        <is>
          <t>V14 - Data Protection</t>
        </is>
      </c>
      <c r="C298" s="40" t="inlineStr">
        <is>
          <t>V14.3 - Client-side Data Protection</t>
        </is>
      </c>
      <c r="D298" s="39" t="n">
        <v>2</v>
      </c>
      <c r="E298" s="40" t="inlineStr">
        <is>
          <t>Verify that the application sets sufficient anti-caching HTTP response header fields (i.e., Cache-Control: no-store) so that sensitive data is not cached in browsers.</t>
        </is>
      </c>
      <c r="F298" s="40" t="inlineStr">
        <is>
          <t>If processes sensitive data</t>
        </is>
      </c>
      <c r="G298" s="39" t="inlineStr">
        <is>
          <t>OR(DATA_SENSITIVITY="Confidential",DATA_SENSITIVITY="Regulated")</t>
        </is>
      </c>
      <c r="H298" s="41">
        <f>IF(AND(OR(DATA_SENSITIVITY="Confidential",DATA_SENSITIVITY="Regulated"),D298&lt;=TARGET_LEVEL_NUM),"Applicable","N/A")</f>
        <v/>
      </c>
      <c r="I298" s="40" t="inlineStr">
        <is>
          <t>SAST + architecture review</t>
        </is>
      </c>
      <c r="J298" s="40" t="inlineStr">
        <is>
          <t>Mixed</t>
        </is>
      </c>
      <c r="K298" s="39" t="inlineStr">
        <is>
          <t>Design/Pipeline</t>
        </is>
      </c>
      <c r="L298" s="39" t="inlineStr">
        <is>
          <t>Not assessed</t>
        </is>
      </c>
      <c r="M298" s="40" t="n"/>
      <c r="N298" s="40" t="n"/>
      <c r="O298" s="42" t="inlineStr">
        <is>
          <t>High</t>
        </is>
      </c>
      <c r="P298" s="43">
        <f>IF(H298="N/A","N/A",INDEX(CRIT_MATRIX,MATCH(O298,CRIT_MATRIX_ROWS,0),MATCH(APP_RISK_TIER,CRIT_MATRIX_COLS,0)))</f>
        <v/>
      </c>
    </row>
    <row r="299" ht="39.75" customHeight="1" s="19">
      <c r="A299" s="39" t="inlineStr">
        <is>
          <t>V14.3.3</t>
        </is>
      </c>
      <c r="B299" s="40" t="inlineStr">
        <is>
          <t>V14 - Data Protection</t>
        </is>
      </c>
      <c r="C299" s="40" t="inlineStr">
        <is>
          <t>V14.3 - Client-side Data Protection</t>
        </is>
      </c>
      <c r="D299" s="39"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39" t="inlineStr">
        <is>
          <t>OR(DATA_SENSITIVITY="Confidential",DATA_SENSITIVITY="Regulated")</t>
        </is>
      </c>
      <c r="H299" s="41">
        <f>IF(AND(OR(DATA_SENSITIVITY="Confidential",DATA_SENSITIVITY="Regulated"),D299&lt;=TARGET_LEVEL_NUM),"Applicable","N/A")</f>
        <v/>
      </c>
      <c r="I299" s="40" t="inlineStr">
        <is>
          <t>SAST + architecture review</t>
        </is>
      </c>
      <c r="J299" s="40" t="inlineStr">
        <is>
          <t>Mixed</t>
        </is>
      </c>
      <c r="K299" s="39" t="inlineStr">
        <is>
          <t>Design/Pipeline</t>
        </is>
      </c>
      <c r="L299" s="39" t="inlineStr">
        <is>
          <t>Not assessed</t>
        </is>
      </c>
      <c r="M299" s="40" t="n"/>
      <c r="N299" s="40" t="n"/>
      <c r="O299" s="42" t="inlineStr">
        <is>
          <t>High</t>
        </is>
      </c>
      <c r="P299" s="43">
        <f>IF(H299="N/A","N/A",INDEX(CRIT_MATRIX,MATCH(O299,CRIT_MATRIX_ROWS,0),MATCH(APP_RISK_TIER,CRIT_MATRIX_COLS,0)))</f>
        <v/>
      </c>
    </row>
    <row r="300" ht="39.75" customHeight="1" s="19">
      <c r="A300" s="39" t="inlineStr">
        <is>
          <t>V15.1.1</t>
        </is>
      </c>
      <c r="B300" s="40" t="inlineStr">
        <is>
          <t>V15 - Secure Coding and Architecture</t>
        </is>
      </c>
      <c r="C300" s="40" t="inlineStr">
        <is>
          <t>V15.1 - Secure Coding and Architecture Documentation</t>
        </is>
      </c>
      <c r="D300" s="39"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39" t="inlineStr">
        <is>
          <t>TRUE</t>
        </is>
      </c>
      <c r="H300" s="41">
        <f>IF(AND(TRUE(),D300&lt;=TARGET_LEVEL_NUM),"Applicable","N/A")</f>
        <v/>
      </c>
      <c r="I300" s="40" t="inlineStr">
        <is>
          <t>Architecture / documentation review</t>
        </is>
      </c>
      <c r="J300" s="40" t="inlineStr">
        <is>
          <t>Sampled, periodic</t>
        </is>
      </c>
      <c r="K300" s="39" t="inlineStr">
        <is>
          <t>Design/Governance</t>
        </is>
      </c>
      <c r="L300" s="39" t="inlineStr">
        <is>
          <t>Not assessed</t>
        </is>
      </c>
      <c r="M300" s="40" t="n"/>
      <c r="N300" s="40" t="n"/>
      <c r="O300" s="42" t="inlineStr">
        <is>
          <t>Medium</t>
        </is>
      </c>
      <c r="P300" s="43">
        <f>IF(H300="N/A","N/A",INDEX(CRIT_MATRIX,MATCH(O300,CRIT_MATRIX_ROWS,0),MATCH(APP_RISK_TIER,CRIT_MATRIX_COLS,0)))</f>
        <v/>
      </c>
    </row>
    <row r="301" ht="39.75" customHeight="1" s="19">
      <c r="A301" s="39" t="inlineStr">
        <is>
          <t>V15.1.2</t>
        </is>
      </c>
      <c r="B301" s="40" t="inlineStr">
        <is>
          <t>V15 - Secure Coding and Architecture</t>
        </is>
      </c>
      <c r="C301" s="40" t="inlineStr">
        <is>
          <t>V15.1 - Secure Coding and Architecture Documentation</t>
        </is>
      </c>
      <c r="D301" s="39"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39" t="inlineStr">
        <is>
          <t>TRUE</t>
        </is>
      </c>
      <c r="H301" s="41">
        <f>IF(AND(TRUE(),D301&lt;=TARGET_LEVEL_NUM),"Applicable","N/A")</f>
        <v/>
      </c>
      <c r="I301" s="40" t="inlineStr">
        <is>
          <t>Architecture / documentation review</t>
        </is>
      </c>
      <c r="J301" s="40" t="inlineStr">
        <is>
          <t>Sampled, periodic</t>
        </is>
      </c>
      <c r="K301" s="39" t="inlineStr">
        <is>
          <t>Design/Governance</t>
        </is>
      </c>
      <c r="L301" s="39" t="inlineStr">
        <is>
          <t>Not assessed</t>
        </is>
      </c>
      <c r="M301" s="40" t="n"/>
      <c r="N301" s="40" t="n"/>
      <c r="O301" s="42" t="inlineStr">
        <is>
          <t>Medium</t>
        </is>
      </c>
      <c r="P301" s="43">
        <f>IF(H301="N/A","N/A",INDEX(CRIT_MATRIX,MATCH(O301,CRIT_MATRIX_ROWS,0),MATCH(APP_RISK_TIER,CRIT_MATRIX_COLS,0)))</f>
        <v/>
      </c>
    </row>
    <row r="302" ht="39.75" customHeight="1" s="19">
      <c r="A302" s="39" t="inlineStr">
        <is>
          <t>V15.1.3</t>
        </is>
      </c>
      <c r="B302" s="40" t="inlineStr">
        <is>
          <t>V15 - Secure Coding and Architecture</t>
        </is>
      </c>
      <c r="C302" s="40" t="inlineStr">
        <is>
          <t>V15.1 - Secure Coding and Architecture Documentation</t>
        </is>
      </c>
      <c r="D302" s="39"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39" t="inlineStr">
        <is>
          <t>TRUE</t>
        </is>
      </c>
      <c r="H302" s="41">
        <f>IF(AND(TRUE(),D302&lt;=TARGET_LEVEL_NUM),"Applicable","N/A")</f>
        <v/>
      </c>
      <c r="I302" s="40" t="inlineStr">
        <is>
          <t>Architecture / documentation review</t>
        </is>
      </c>
      <c r="J302" s="40" t="inlineStr">
        <is>
          <t>Sampled, periodic</t>
        </is>
      </c>
      <c r="K302" s="39" t="inlineStr">
        <is>
          <t>Design/Governance</t>
        </is>
      </c>
      <c r="L302" s="39" t="inlineStr">
        <is>
          <t>Not assessed</t>
        </is>
      </c>
      <c r="M302" s="40" t="n"/>
      <c r="N302" s="40" t="n"/>
      <c r="O302" s="42" t="inlineStr">
        <is>
          <t>Medium</t>
        </is>
      </c>
      <c r="P302" s="43">
        <f>IF(H302="N/A","N/A",INDEX(CRIT_MATRIX,MATCH(O302,CRIT_MATRIX_ROWS,0),MATCH(APP_RISK_TIER,CRIT_MATRIX_COLS,0)))</f>
        <v/>
      </c>
    </row>
    <row r="303" ht="39.75" customHeight="1" s="19">
      <c r="A303" s="39" t="inlineStr">
        <is>
          <t>V15.1.4</t>
        </is>
      </c>
      <c r="B303" s="40" t="inlineStr">
        <is>
          <t>V15 - Secure Coding and Architecture</t>
        </is>
      </c>
      <c r="C303" s="40" t="inlineStr">
        <is>
          <t>V15.1 - Secure Coding and Architecture Documentation</t>
        </is>
      </c>
      <c r="D303" s="39" t="n">
        <v>3</v>
      </c>
      <c r="E303" s="40" t="inlineStr">
        <is>
          <t>Verify that application documentation highlights third-party libraries which are considered to be "risky components".</t>
        </is>
      </c>
      <c r="F303" s="40" t="inlineStr">
        <is>
          <t>Always</t>
        </is>
      </c>
      <c r="G303" s="39" t="inlineStr">
        <is>
          <t>TRUE</t>
        </is>
      </c>
      <c r="H303" s="41">
        <f>IF(AND(TRUE(),D303&lt;=TARGET_LEVEL_NUM),"Applicable","N/A")</f>
        <v/>
      </c>
      <c r="I303" s="40" t="inlineStr">
        <is>
          <t>Architecture / documentation review</t>
        </is>
      </c>
      <c r="J303" s="40" t="inlineStr">
        <is>
          <t>Sampled, periodic</t>
        </is>
      </c>
      <c r="K303" s="39" t="inlineStr">
        <is>
          <t>Design/Governance</t>
        </is>
      </c>
      <c r="L303" s="39" t="inlineStr">
        <is>
          <t>Not assessed</t>
        </is>
      </c>
      <c r="M303" s="40" t="n"/>
      <c r="N303" s="40" t="n"/>
      <c r="O303" s="42" t="inlineStr">
        <is>
          <t>Medium</t>
        </is>
      </c>
      <c r="P303" s="43">
        <f>IF(H303="N/A","N/A",INDEX(CRIT_MATRIX,MATCH(O303,CRIT_MATRIX_ROWS,0),MATCH(APP_RISK_TIER,CRIT_MATRIX_COLS,0)))</f>
        <v/>
      </c>
    </row>
    <row r="304" ht="39.75" customHeight="1" s="19">
      <c r="A304" s="39" t="inlineStr">
        <is>
          <t>V15.1.5</t>
        </is>
      </c>
      <c r="B304" s="40" t="inlineStr">
        <is>
          <t>V15 - Secure Coding and Architecture</t>
        </is>
      </c>
      <c r="C304" s="40" t="inlineStr">
        <is>
          <t>V15.1 - Secure Coding and Architecture Documentation</t>
        </is>
      </c>
      <c r="D304" s="39" t="n">
        <v>3</v>
      </c>
      <c r="E304" s="40" t="inlineStr">
        <is>
          <t>Verify that application documentation highlights parts of the application where "dangerous functionality" is being used.</t>
        </is>
      </c>
      <c r="F304" s="40" t="inlineStr">
        <is>
          <t>Always</t>
        </is>
      </c>
      <c r="G304" s="39" t="inlineStr">
        <is>
          <t>TRUE</t>
        </is>
      </c>
      <c r="H304" s="41">
        <f>IF(AND(TRUE(),D304&lt;=TARGET_LEVEL_NUM),"Applicable","N/A")</f>
        <v/>
      </c>
      <c r="I304" s="40" t="inlineStr">
        <is>
          <t>Architecture / documentation review</t>
        </is>
      </c>
      <c r="J304" s="40" t="inlineStr">
        <is>
          <t>Sampled, periodic</t>
        </is>
      </c>
      <c r="K304" s="39" t="inlineStr">
        <is>
          <t>Design/Governance</t>
        </is>
      </c>
      <c r="L304" s="39" t="inlineStr">
        <is>
          <t>Not assessed</t>
        </is>
      </c>
      <c r="M304" s="40" t="n"/>
      <c r="N304" s="40" t="n"/>
      <c r="O304" s="42" t="inlineStr">
        <is>
          <t>Medium</t>
        </is>
      </c>
      <c r="P304" s="43">
        <f>IF(H304="N/A","N/A",INDEX(CRIT_MATRIX,MATCH(O304,CRIT_MATRIX_ROWS,0),MATCH(APP_RISK_TIER,CRIT_MATRIX_COLS,0)))</f>
        <v/>
      </c>
    </row>
    <row r="305" ht="39.75" customHeight="1" s="19">
      <c r="A305" s="39" t="inlineStr">
        <is>
          <t>V15.2.1</t>
        </is>
      </c>
      <c r="B305" s="40" t="inlineStr">
        <is>
          <t>V15 - Secure Coding and Architecture</t>
        </is>
      </c>
      <c r="C305" s="40" t="inlineStr">
        <is>
          <t>V15.2 - Security Architecture and Dependencies</t>
        </is>
      </c>
      <c r="D305" s="39" t="n">
        <v>1</v>
      </c>
      <c r="E305" s="40" t="inlineStr">
        <is>
          <t>Verify that the application only contains components which have not breached the documented update and remediation time frames.</t>
        </is>
      </c>
      <c r="F305" s="40" t="inlineStr">
        <is>
          <t>Always</t>
        </is>
      </c>
      <c r="G305" s="39" t="inlineStr">
        <is>
          <t>TRUE</t>
        </is>
      </c>
      <c r="H305" s="41">
        <f>IF(AND(TRUE(),D305&lt;=TARGET_LEVEL_NUM),"Applicable","N/A")</f>
        <v/>
      </c>
      <c r="I305" s="40" t="inlineStr">
        <is>
          <t>SCA + architecture review</t>
        </is>
      </c>
      <c r="J305" s="40" t="inlineStr">
        <is>
          <t>Deterministic, continuous</t>
        </is>
      </c>
      <c r="K305" s="39" t="inlineStr">
        <is>
          <t>Pipeline</t>
        </is>
      </c>
      <c r="L305" s="39" t="inlineStr">
        <is>
          <t>Not assessed</t>
        </is>
      </c>
      <c r="M305" s="40" t="n"/>
      <c r="N305" s="40" t="n"/>
      <c r="O305" s="42" t="inlineStr">
        <is>
          <t>Medium</t>
        </is>
      </c>
      <c r="P305" s="43">
        <f>IF(H305="N/A","N/A",INDEX(CRIT_MATRIX,MATCH(O305,CRIT_MATRIX_ROWS,0),MATCH(APP_RISK_TIER,CRIT_MATRIX_COLS,0)))</f>
        <v/>
      </c>
    </row>
    <row r="306" ht="39.75" customHeight="1" s="19">
      <c r="A306" s="39" t="inlineStr">
        <is>
          <t>V15.2.2</t>
        </is>
      </c>
      <c r="B306" s="40" t="inlineStr">
        <is>
          <t>V15 - Secure Coding and Architecture</t>
        </is>
      </c>
      <c r="C306" s="40" t="inlineStr">
        <is>
          <t>V15.2 - Security Architecture and Dependencies</t>
        </is>
      </c>
      <c r="D306" s="39"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39" t="inlineStr">
        <is>
          <t>TRUE</t>
        </is>
      </c>
      <c r="H306" s="41">
        <f>IF(AND(TRUE(),D306&lt;=TARGET_LEVEL_NUM),"Applicable","N/A")</f>
        <v/>
      </c>
      <c r="I306" s="40" t="inlineStr">
        <is>
          <t>SCA + architecture review</t>
        </is>
      </c>
      <c r="J306" s="40" t="inlineStr">
        <is>
          <t>Deterministic, continuous</t>
        </is>
      </c>
      <c r="K306" s="39" t="inlineStr">
        <is>
          <t>Pipeline</t>
        </is>
      </c>
      <c r="L306" s="39" t="inlineStr">
        <is>
          <t>Not assessed</t>
        </is>
      </c>
      <c r="M306" s="40" t="n"/>
      <c r="N306" s="40" t="n"/>
      <c r="O306" s="42" t="inlineStr">
        <is>
          <t>Medium</t>
        </is>
      </c>
      <c r="P306" s="43">
        <f>IF(H306="N/A","N/A",INDEX(CRIT_MATRIX,MATCH(O306,CRIT_MATRIX_ROWS,0),MATCH(APP_RISK_TIER,CRIT_MATRIX_COLS,0)))</f>
        <v/>
      </c>
    </row>
    <row r="307" ht="39.75" customHeight="1" s="19">
      <c r="A307" s="39" t="inlineStr">
        <is>
          <t>V15.2.3</t>
        </is>
      </c>
      <c r="B307" s="40" t="inlineStr">
        <is>
          <t>V15 - Secure Coding and Architecture</t>
        </is>
      </c>
      <c r="C307" s="40" t="inlineStr">
        <is>
          <t>V15.2 - Security Architecture and Dependencies</t>
        </is>
      </c>
      <c r="D307" s="39"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39" t="inlineStr">
        <is>
          <t>TRUE</t>
        </is>
      </c>
      <c r="H307" s="41">
        <f>IF(AND(TRUE(),D307&lt;=TARGET_LEVEL_NUM),"Applicable","N/A")</f>
        <v/>
      </c>
      <c r="I307" s="40" t="inlineStr">
        <is>
          <t>SCA + architecture review</t>
        </is>
      </c>
      <c r="J307" s="40" t="inlineStr">
        <is>
          <t>Deterministic, continuous</t>
        </is>
      </c>
      <c r="K307" s="39" t="inlineStr">
        <is>
          <t>Pipeline</t>
        </is>
      </c>
      <c r="L307" s="39" t="inlineStr">
        <is>
          <t>Not assessed</t>
        </is>
      </c>
      <c r="M307" s="40" t="n"/>
      <c r="N307" s="40" t="n"/>
      <c r="O307" s="42" t="inlineStr">
        <is>
          <t>Medium</t>
        </is>
      </c>
      <c r="P307" s="43">
        <f>IF(H307="N/A","N/A",INDEX(CRIT_MATRIX,MATCH(O307,CRIT_MATRIX_ROWS,0),MATCH(APP_RISK_TIER,CRIT_MATRIX_COLS,0)))</f>
        <v/>
      </c>
    </row>
    <row r="308" ht="39.75" customHeight="1" s="19">
      <c r="A308" s="39" t="inlineStr">
        <is>
          <t>V15.2.4</t>
        </is>
      </c>
      <c r="B308" s="40" t="inlineStr">
        <is>
          <t>V15 - Secure Coding and Architecture</t>
        </is>
      </c>
      <c r="C308" s="40" t="inlineStr">
        <is>
          <t>V15.2 - Security Architecture and Dependencies</t>
        </is>
      </c>
      <c r="D308" s="39"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39" t="inlineStr">
        <is>
          <t>TRUE</t>
        </is>
      </c>
      <c r="H308" s="41">
        <f>IF(AND(TRUE(),D308&lt;=TARGET_LEVEL_NUM),"Applicable","N/A")</f>
        <v/>
      </c>
      <c r="I308" s="40" t="inlineStr">
        <is>
          <t>SCA + architecture review</t>
        </is>
      </c>
      <c r="J308" s="40" t="inlineStr">
        <is>
          <t>Deterministic, continuous</t>
        </is>
      </c>
      <c r="K308" s="39" t="inlineStr">
        <is>
          <t>Pipeline</t>
        </is>
      </c>
      <c r="L308" s="39" t="inlineStr">
        <is>
          <t>Not assessed</t>
        </is>
      </c>
      <c r="M308" s="40" t="n"/>
      <c r="N308" s="40" t="n"/>
      <c r="O308" s="42" t="inlineStr">
        <is>
          <t>Medium</t>
        </is>
      </c>
      <c r="P308" s="43">
        <f>IF(H308="N/A","N/A",INDEX(CRIT_MATRIX,MATCH(O308,CRIT_MATRIX_ROWS,0),MATCH(APP_RISK_TIER,CRIT_MATRIX_COLS,0)))</f>
        <v/>
      </c>
    </row>
    <row r="309" ht="39.75" customHeight="1" s="19">
      <c r="A309" s="39" t="inlineStr">
        <is>
          <t>V15.2.5</t>
        </is>
      </c>
      <c r="B309" s="40" t="inlineStr">
        <is>
          <t>V15 - Secure Coding and Architecture</t>
        </is>
      </c>
      <c r="C309" s="40" t="inlineStr">
        <is>
          <t>V15.2 - Security Architecture and Dependencies</t>
        </is>
      </c>
      <c r="D309" s="39"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39" t="inlineStr">
        <is>
          <t>TRUE</t>
        </is>
      </c>
      <c r="H309" s="41">
        <f>IF(AND(TRUE(),D309&lt;=TARGET_LEVEL_NUM),"Applicable","N/A")</f>
        <v/>
      </c>
      <c r="I309" s="40" t="inlineStr">
        <is>
          <t>SCA + architecture review</t>
        </is>
      </c>
      <c r="J309" s="40" t="inlineStr">
        <is>
          <t>Deterministic, continuous</t>
        </is>
      </c>
      <c r="K309" s="39" t="inlineStr">
        <is>
          <t>Pipeline</t>
        </is>
      </c>
      <c r="L309" s="39" t="inlineStr">
        <is>
          <t>Not assessed</t>
        </is>
      </c>
      <c r="M309" s="40" t="n"/>
      <c r="N309" s="40" t="n"/>
      <c r="O309" s="42" t="inlineStr">
        <is>
          <t>Medium</t>
        </is>
      </c>
      <c r="P309" s="43">
        <f>IF(H309="N/A","N/A",INDEX(CRIT_MATRIX,MATCH(O309,CRIT_MATRIX_ROWS,0),MATCH(APP_RISK_TIER,CRIT_MATRIX_COLS,0)))</f>
        <v/>
      </c>
    </row>
    <row r="310" ht="39.75" customHeight="1" s="19">
      <c r="A310" s="39" t="inlineStr">
        <is>
          <t>V15.3.1</t>
        </is>
      </c>
      <c r="B310" s="40" t="inlineStr">
        <is>
          <t>V15 - Secure Coding and Architecture</t>
        </is>
      </c>
      <c r="C310" s="40" t="inlineStr">
        <is>
          <t>V15.3 - Defensive Coding</t>
        </is>
      </c>
      <c r="D310" s="39"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39" t="inlineStr">
        <is>
          <t>TRUE</t>
        </is>
      </c>
      <c r="H310" s="41">
        <f>IF(AND(TRUE(),D310&lt;=TARGET_LEVEL_NUM),"Applicable","N/A")</f>
        <v/>
      </c>
      <c r="I310" s="40" t="inlineStr">
        <is>
          <t>SAST</t>
        </is>
      </c>
      <c r="J310" s="40" t="inlineStr">
        <is>
          <t>Deterministic, continuous</t>
        </is>
      </c>
      <c r="K310" s="39" t="inlineStr">
        <is>
          <t>Pipeline</t>
        </is>
      </c>
      <c r="L310" s="39" t="inlineStr">
        <is>
          <t>Not assessed</t>
        </is>
      </c>
      <c r="M310" s="40" t="n"/>
      <c r="N310" s="40" t="n"/>
      <c r="O310" s="42" t="inlineStr">
        <is>
          <t>Medium</t>
        </is>
      </c>
      <c r="P310" s="43">
        <f>IF(H310="N/A","N/A",INDEX(CRIT_MATRIX,MATCH(O310,CRIT_MATRIX_ROWS,0),MATCH(APP_RISK_TIER,CRIT_MATRIX_COLS,0)))</f>
        <v/>
      </c>
    </row>
    <row r="311" ht="39.75" customHeight="1" s="19">
      <c r="A311" s="39" t="inlineStr">
        <is>
          <t>V15.3.2</t>
        </is>
      </c>
      <c r="B311" s="40" t="inlineStr">
        <is>
          <t>V15 - Secure Coding and Architecture</t>
        </is>
      </c>
      <c r="C311" s="40" t="inlineStr">
        <is>
          <t>V15.3 - Defensive Coding</t>
        </is>
      </c>
      <c r="D311" s="39" t="n">
        <v>2</v>
      </c>
      <c r="E311" s="40" t="inlineStr">
        <is>
          <t>Verify that where the application backend makes calls to external URLs, it is configured to not follow redirects unless it is intended functionality.</t>
        </is>
      </c>
      <c r="F311" s="40" t="inlineStr">
        <is>
          <t>Always</t>
        </is>
      </c>
      <c r="G311" s="39" t="inlineStr">
        <is>
          <t>TRUE</t>
        </is>
      </c>
      <c r="H311" s="41">
        <f>IF(AND(TRUE(),D311&lt;=TARGET_LEVEL_NUM),"Applicable","N/A")</f>
        <v/>
      </c>
      <c r="I311" s="40" t="inlineStr">
        <is>
          <t>SAST</t>
        </is>
      </c>
      <c r="J311" s="40" t="inlineStr">
        <is>
          <t>Deterministic, continuous</t>
        </is>
      </c>
      <c r="K311" s="39" t="inlineStr">
        <is>
          <t>Pipeline</t>
        </is>
      </c>
      <c r="L311" s="39" t="inlineStr">
        <is>
          <t>Not assessed</t>
        </is>
      </c>
      <c r="M311" s="40" t="n"/>
      <c r="N311" s="40" t="n"/>
      <c r="O311" s="42" t="inlineStr">
        <is>
          <t>Medium</t>
        </is>
      </c>
      <c r="P311" s="43">
        <f>IF(H311="N/A","N/A",INDEX(CRIT_MATRIX,MATCH(O311,CRIT_MATRIX_ROWS,0),MATCH(APP_RISK_TIER,CRIT_MATRIX_COLS,0)))</f>
        <v/>
      </c>
    </row>
    <row r="312" ht="39.75" customHeight="1" s="19">
      <c r="A312" s="39" t="inlineStr">
        <is>
          <t>V15.3.3</t>
        </is>
      </c>
      <c r="B312" s="40" t="inlineStr">
        <is>
          <t>V15 - Secure Coding and Architecture</t>
        </is>
      </c>
      <c r="C312" s="40" t="inlineStr">
        <is>
          <t>V15.3 - Defensive Coding</t>
        </is>
      </c>
      <c r="D312" s="39"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39" t="inlineStr">
        <is>
          <t>TRUE</t>
        </is>
      </c>
      <c r="H312" s="41">
        <f>IF(AND(TRUE(),D312&lt;=TARGET_LEVEL_NUM),"Applicable","N/A")</f>
        <v/>
      </c>
      <c r="I312" s="40" t="inlineStr">
        <is>
          <t>SAST</t>
        </is>
      </c>
      <c r="J312" s="40" t="inlineStr">
        <is>
          <t>Deterministic, continuous</t>
        </is>
      </c>
      <c r="K312" s="39" t="inlineStr">
        <is>
          <t>Pipeline</t>
        </is>
      </c>
      <c r="L312" s="39" t="inlineStr">
        <is>
          <t>Not assessed</t>
        </is>
      </c>
      <c r="M312" s="40" t="n"/>
      <c r="N312" s="40" t="n"/>
      <c r="O312" s="42" t="inlineStr">
        <is>
          <t>Medium</t>
        </is>
      </c>
      <c r="P312" s="43">
        <f>IF(H312="N/A","N/A",INDEX(CRIT_MATRIX,MATCH(O312,CRIT_MATRIX_ROWS,0),MATCH(APP_RISK_TIER,CRIT_MATRIX_COLS,0)))</f>
        <v/>
      </c>
    </row>
    <row r="313" ht="39.75" customHeight="1" s="19">
      <c r="A313" s="39" t="inlineStr">
        <is>
          <t>V15.3.4</t>
        </is>
      </c>
      <c r="B313" s="40" t="inlineStr">
        <is>
          <t>V15 - Secure Coding and Architecture</t>
        </is>
      </c>
      <c r="C313" s="40" t="inlineStr">
        <is>
          <t>V15.3 - Defensive Coding</t>
        </is>
      </c>
      <c r="D313" s="39"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39" t="inlineStr">
        <is>
          <t>TRUE</t>
        </is>
      </c>
      <c r="H313" s="41">
        <f>IF(AND(TRUE(),D313&lt;=TARGET_LEVEL_NUM),"Applicable","N/A")</f>
        <v/>
      </c>
      <c r="I313" s="40" t="inlineStr">
        <is>
          <t>SAST</t>
        </is>
      </c>
      <c r="J313" s="40" t="inlineStr">
        <is>
          <t>Deterministic, continuous</t>
        </is>
      </c>
      <c r="K313" s="39" t="inlineStr">
        <is>
          <t>Pipeline</t>
        </is>
      </c>
      <c r="L313" s="39" t="inlineStr">
        <is>
          <t>Not assessed</t>
        </is>
      </c>
      <c r="M313" s="40" t="n"/>
      <c r="N313" s="40" t="n"/>
      <c r="O313" s="42" t="inlineStr">
        <is>
          <t>Medium</t>
        </is>
      </c>
      <c r="P313" s="43">
        <f>IF(H313="N/A","N/A",INDEX(CRIT_MATRIX,MATCH(O313,CRIT_MATRIX_ROWS,0),MATCH(APP_RISK_TIER,CRIT_MATRIX_COLS,0)))</f>
        <v/>
      </c>
    </row>
    <row r="314" ht="39.75" customHeight="1" s="19">
      <c r="A314" s="39" t="inlineStr">
        <is>
          <t>V15.3.5</t>
        </is>
      </c>
      <c r="B314" s="40" t="inlineStr">
        <is>
          <t>V15 - Secure Coding and Architecture</t>
        </is>
      </c>
      <c r="C314" s="40" t="inlineStr">
        <is>
          <t>V15.3 - Defensive Coding</t>
        </is>
      </c>
      <c r="D314" s="39"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39" t="inlineStr">
        <is>
          <t>TRUE</t>
        </is>
      </c>
      <c r="H314" s="41">
        <f>IF(AND(TRUE(),D314&lt;=TARGET_LEVEL_NUM),"Applicable","N/A")</f>
        <v/>
      </c>
      <c r="I314" s="40" t="inlineStr">
        <is>
          <t>SAST</t>
        </is>
      </c>
      <c r="J314" s="40" t="inlineStr">
        <is>
          <t>Deterministic, continuous</t>
        </is>
      </c>
      <c r="K314" s="39" t="inlineStr">
        <is>
          <t>Pipeline</t>
        </is>
      </c>
      <c r="L314" s="39" t="inlineStr">
        <is>
          <t>Not assessed</t>
        </is>
      </c>
      <c r="M314" s="40" t="n"/>
      <c r="N314" s="40" t="n"/>
      <c r="O314" s="42" t="inlineStr">
        <is>
          <t>Medium</t>
        </is>
      </c>
      <c r="P314" s="43">
        <f>IF(H314="N/A","N/A",INDEX(CRIT_MATRIX,MATCH(O314,CRIT_MATRIX_ROWS,0),MATCH(APP_RISK_TIER,CRIT_MATRIX_COLS,0)))</f>
        <v/>
      </c>
    </row>
    <row r="315" ht="39.75" customHeight="1" s="19">
      <c r="A315" s="39" t="inlineStr">
        <is>
          <t>V15.3.6</t>
        </is>
      </c>
      <c r="B315" s="40" t="inlineStr">
        <is>
          <t>V15 - Secure Coding and Architecture</t>
        </is>
      </c>
      <c r="C315" s="40" t="inlineStr">
        <is>
          <t>V15.3 - Defensive Coding</t>
        </is>
      </c>
      <c r="D315" s="39" t="n">
        <v>2</v>
      </c>
      <c r="E315" s="40" t="inlineStr">
        <is>
          <t>Verify that JavaScript code is written in a way that prevents prototype pollution, for example, by using Set() or Map() instead of object literals.</t>
        </is>
      </c>
      <c r="F315" s="40" t="inlineStr">
        <is>
          <t>Always</t>
        </is>
      </c>
      <c r="G315" s="39" t="inlineStr">
        <is>
          <t>TRUE</t>
        </is>
      </c>
      <c r="H315" s="41">
        <f>IF(AND(TRUE(),D315&lt;=TARGET_LEVEL_NUM),"Applicable","N/A")</f>
        <v/>
      </c>
      <c r="I315" s="40" t="inlineStr">
        <is>
          <t>SAST</t>
        </is>
      </c>
      <c r="J315" s="40" t="inlineStr">
        <is>
          <t>Deterministic, continuous</t>
        </is>
      </c>
      <c r="K315" s="39" t="inlineStr">
        <is>
          <t>Pipeline</t>
        </is>
      </c>
      <c r="L315" s="39" t="inlineStr">
        <is>
          <t>Not assessed</t>
        </is>
      </c>
      <c r="M315" s="40" t="n"/>
      <c r="N315" s="40" t="n"/>
      <c r="O315" s="42" t="inlineStr">
        <is>
          <t>Medium</t>
        </is>
      </c>
      <c r="P315" s="43">
        <f>IF(H315="N/A","N/A",INDEX(CRIT_MATRIX,MATCH(O315,CRIT_MATRIX_ROWS,0),MATCH(APP_RISK_TIER,CRIT_MATRIX_COLS,0)))</f>
        <v/>
      </c>
    </row>
    <row r="316" ht="39.75" customHeight="1" s="19">
      <c r="A316" s="39" t="inlineStr">
        <is>
          <t>V15.3.7</t>
        </is>
      </c>
      <c r="B316" s="40" t="inlineStr">
        <is>
          <t>V15 - Secure Coding and Architecture</t>
        </is>
      </c>
      <c r="C316" s="40" t="inlineStr">
        <is>
          <t>V15.3 - Defensive Coding</t>
        </is>
      </c>
      <c r="D316" s="39"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39" t="inlineStr">
        <is>
          <t>TRUE</t>
        </is>
      </c>
      <c r="H316" s="41">
        <f>IF(AND(TRUE(),D316&lt;=TARGET_LEVEL_NUM),"Applicable","N/A")</f>
        <v/>
      </c>
      <c r="I316" s="40" t="inlineStr">
        <is>
          <t>SAST</t>
        </is>
      </c>
      <c r="J316" s="40" t="inlineStr">
        <is>
          <t>Deterministic, continuous</t>
        </is>
      </c>
      <c r="K316" s="39" t="inlineStr">
        <is>
          <t>Pipeline</t>
        </is>
      </c>
      <c r="L316" s="39" t="inlineStr">
        <is>
          <t>Not assessed</t>
        </is>
      </c>
      <c r="M316" s="40" t="n"/>
      <c r="N316" s="40" t="n"/>
      <c r="O316" s="42" t="inlineStr">
        <is>
          <t>Medium</t>
        </is>
      </c>
      <c r="P316" s="43">
        <f>IF(H316="N/A","N/A",INDEX(CRIT_MATRIX,MATCH(O316,CRIT_MATRIX_ROWS,0),MATCH(APP_RISK_TIER,CRIT_MATRIX_COLS,0)))</f>
        <v/>
      </c>
    </row>
    <row r="317" ht="39.75" customHeight="1" s="19">
      <c r="A317" s="39" t="inlineStr">
        <is>
          <t>V15.4.1</t>
        </is>
      </c>
      <c r="B317" s="40" t="inlineStr">
        <is>
          <t>V15 - Secure Coding and Architecture</t>
        </is>
      </c>
      <c r="C317" s="40" t="inlineStr">
        <is>
          <t>V15.4 - Safe Concurrency</t>
        </is>
      </c>
      <c r="D317" s="39"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39" t="inlineStr">
        <is>
          <t>TRUE</t>
        </is>
      </c>
      <c r="H317" s="41">
        <f>IF(AND(TRUE(),D317&lt;=TARGET_LEVEL_NUM),"Applicable","N/A")</f>
        <v/>
      </c>
      <c r="I317" s="40" t="inlineStr">
        <is>
          <t>SAST</t>
        </is>
      </c>
      <c r="J317" s="40" t="inlineStr">
        <is>
          <t>Deterministic, continuous</t>
        </is>
      </c>
      <c r="K317" s="39" t="inlineStr">
        <is>
          <t>Pipeline</t>
        </is>
      </c>
      <c r="L317" s="39" t="inlineStr">
        <is>
          <t>Not assessed</t>
        </is>
      </c>
      <c r="M317" s="40" t="n"/>
      <c r="N317" s="40" t="n"/>
      <c r="O317" s="42" t="inlineStr">
        <is>
          <t>Medium</t>
        </is>
      </c>
      <c r="P317" s="43">
        <f>IF(H317="N/A","N/A",INDEX(CRIT_MATRIX,MATCH(O317,CRIT_MATRIX_ROWS,0),MATCH(APP_RISK_TIER,CRIT_MATRIX_COLS,0)))</f>
        <v/>
      </c>
    </row>
    <row r="318" ht="39.75" customHeight="1" s="19">
      <c r="A318" s="39" t="inlineStr">
        <is>
          <t>V15.4.2</t>
        </is>
      </c>
      <c r="B318" s="40" t="inlineStr">
        <is>
          <t>V15 - Secure Coding and Architecture</t>
        </is>
      </c>
      <c r="C318" s="40" t="inlineStr">
        <is>
          <t>V15.4 - Safe Concurrency</t>
        </is>
      </c>
      <c r="D318" s="39"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39" t="inlineStr">
        <is>
          <t>TRUE</t>
        </is>
      </c>
      <c r="H318" s="41">
        <f>IF(AND(TRUE(),D318&lt;=TARGET_LEVEL_NUM),"Applicable","N/A")</f>
        <v/>
      </c>
      <c r="I318" s="40" t="inlineStr">
        <is>
          <t>SAST</t>
        </is>
      </c>
      <c r="J318" s="40" t="inlineStr">
        <is>
          <t>Deterministic, continuous</t>
        </is>
      </c>
      <c r="K318" s="39" t="inlineStr">
        <is>
          <t>Pipeline</t>
        </is>
      </c>
      <c r="L318" s="39" t="inlineStr">
        <is>
          <t>Not assessed</t>
        </is>
      </c>
      <c r="M318" s="40" t="n"/>
      <c r="N318" s="40" t="n"/>
      <c r="O318" s="42" t="inlineStr">
        <is>
          <t>Medium</t>
        </is>
      </c>
      <c r="P318" s="43">
        <f>IF(H318="N/A","N/A",INDEX(CRIT_MATRIX,MATCH(O318,CRIT_MATRIX_ROWS,0),MATCH(APP_RISK_TIER,CRIT_MATRIX_COLS,0)))</f>
        <v/>
      </c>
    </row>
    <row r="319" ht="39.75" customHeight="1" s="19">
      <c r="A319" s="39" t="inlineStr">
        <is>
          <t>V15.4.3</t>
        </is>
      </c>
      <c r="B319" s="40" t="inlineStr">
        <is>
          <t>V15 - Secure Coding and Architecture</t>
        </is>
      </c>
      <c r="C319" s="40" t="inlineStr">
        <is>
          <t>V15.4 - Safe Concurrency</t>
        </is>
      </c>
      <c r="D319" s="39"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39" t="inlineStr">
        <is>
          <t>TRUE</t>
        </is>
      </c>
      <c r="H319" s="41">
        <f>IF(AND(TRUE(),D319&lt;=TARGET_LEVEL_NUM),"Applicable","N/A")</f>
        <v/>
      </c>
      <c r="I319" s="40" t="inlineStr">
        <is>
          <t>SAST</t>
        </is>
      </c>
      <c r="J319" s="40" t="inlineStr">
        <is>
          <t>Deterministic, continuous</t>
        </is>
      </c>
      <c r="K319" s="39" t="inlineStr">
        <is>
          <t>Pipeline</t>
        </is>
      </c>
      <c r="L319" s="39" t="inlineStr">
        <is>
          <t>Not assessed</t>
        </is>
      </c>
      <c r="M319" s="40" t="n"/>
      <c r="N319" s="40" t="n"/>
      <c r="O319" s="42" t="inlineStr">
        <is>
          <t>Medium</t>
        </is>
      </c>
      <c r="P319" s="43">
        <f>IF(H319="N/A","N/A",INDEX(CRIT_MATRIX,MATCH(O319,CRIT_MATRIX_ROWS,0),MATCH(APP_RISK_TIER,CRIT_MATRIX_COLS,0)))</f>
        <v/>
      </c>
    </row>
    <row r="320" ht="39.75" customHeight="1" s="19">
      <c r="A320" s="39" t="inlineStr">
        <is>
          <t>V15.4.4</t>
        </is>
      </c>
      <c r="B320" s="40" t="inlineStr">
        <is>
          <t>V15 - Secure Coding and Architecture</t>
        </is>
      </c>
      <c r="C320" s="40" t="inlineStr">
        <is>
          <t>V15.4 - Safe Concurrency</t>
        </is>
      </c>
      <c r="D320" s="39"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39" t="inlineStr">
        <is>
          <t>TRUE</t>
        </is>
      </c>
      <c r="H320" s="41">
        <f>IF(AND(TRUE(),D320&lt;=TARGET_LEVEL_NUM),"Applicable","N/A")</f>
        <v/>
      </c>
      <c r="I320" s="40" t="inlineStr">
        <is>
          <t>SAST</t>
        </is>
      </c>
      <c r="J320" s="40" t="inlineStr">
        <is>
          <t>Deterministic, continuous</t>
        </is>
      </c>
      <c r="K320" s="39" t="inlineStr">
        <is>
          <t>Pipeline</t>
        </is>
      </c>
      <c r="L320" s="39" t="inlineStr">
        <is>
          <t>Not assessed</t>
        </is>
      </c>
      <c r="M320" s="40" t="n"/>
      <c r="N320" s="40" t="n"/>
      <c r="O320" s="42" t="inlineStr">
        <is>
          <t>Medium</t>
        </is>
      </c>
      <c r="P320" s="43">
        <f>IF(H320="N/A","N/A",INDEX(CRIT_MATRIX,MATCH(O320,CRIT_MATRIX_ROWS,0),MATCH(APP_RISK_TIER,CRIT_MATRIX_COLS,0)))</f>
        <v/>
      </c>
    </row>
    <row r="321" ht="39.75" customHeight="1" s="19">
      <c r="A321" s="39" t="inlineStr">
        <is>
          <t>V16.1.1</t>
        </is>
      </c>
      <c r="B321" s="40" t="inlineStr">
        <is>
          <t>V16 - Security Logging and Error Handling</t>
        </is>
      </c>
      <c r="C321" s="40" t="inlineStr">
        <is>
          <t>V16.1 - Security Logging Documentation</t>
        </is>
      </c>
      <c r="D321" s="39"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39" t="inlineStr">
        <is>
          <t>TRUE</t>
        </is>
      </c>
      <c r="H321" s="41">
        <f>IF(AND(TRUE(),D321&lt;=TARGET_LEVEL_NUM),"Applicable","N/A")</f>
        <v/>
      </c>
      <c r="I321" s="40" t="inlineStr">
        <is>
          <t>Architecture / documentation review</t>
        </is>
      </c>
      <c r="J321" s="40" t="inlineStr">
        <is>
          <t>Sampled, periodic</t>
        </is>
      </c>
      <c r="K321" s="39" t="inlineStr">
        <is>
          <t>Design/Governance</t>
        </is>
      </c>
      <c r="L321" s="39" t="inlineStr">
        <is>
          <t>Not assessed</t>
        </is>
      </c>
      <c r="M321" s="40" t="n"/>
      <c r="N321" s="40" t="n"/>
      <c r="O321" s="42" t="inlineStr">
        <is>
          <t>Medium</t>
        </is>
      </c>
      <c r="P321" s="43">
        <f>IF(H321="N/A","N/A",INDEX(CRIT_MATRIX,MATCH(O321,CRIT_MATRIX_ROWS,0),MATCH(APP_RISK_TIER,CRIT_MATRIX_COLS,0)))</f>
        <v/>
      </c>
    </row>
    <row r="322" ht="39.75" customHeight="1" s="19">
      <c r="A322" s="39" t="inlineStr">
        <is>
          <t>V16.2.1</t>
        </is>
      </c>
      <c r="B322" s="40" t="inlineStr">
        <is>
          <t>V16 - Security Logging and Error Handling</t>
        </is>
      </c>
      <c r="C322" s="40" t="inlineStr">
        <is>
          <t>V16.2 - General Logging</t>
        </is>
      </c>
      <c r="D322" s="39" t="n">
        <v>2</v>
      </c>
      <c r="E322" s="40" t="inlineStr">
        <is>
          <t>Verify that each log entry includes necessary metadata (such as when, where, who, what) that would allow for a detailed investigation of the timeline when an event happens.</t>
        </is>
      </c>
      <c r="F322" s="40" t="inlineStr">
        <is>
          <t>Always</t>
        </is>
      </c>
      <c r="G322" s="39" t="inlineStr">
        <is>
          <t>TRUE</t>
        </is>
      </c>
      <c r="H322" s="41">
        <f>IF(AND(TRUE(),D322&lt;=TARGET_LEVEL_NUM),"Applicable","N/A")</f>
        <v/>
      </c>
      <c r="I322" s="40" t="inlineStr">
        <is>
          <t>Configuration review + SAST</t>
        </is>
      </c>
      <c r="J322" s="40" t="inlineStr">
        <is>
          <t>Deterministic, continuous</t>
        </is>
      </c>
      <c r="K322" s="39" t="inlineStr">
        <is>
          <t>Pipeline</t>
        </is>
      </c>
      <c r="L322" s="39" t="inlineStr">
        <is>
          <t>Not assessed</t>
        </is>
      </c>
      <c r="M322" s="40" t="n"/>
      <c r="N322" s="40" t="n"/>
      <c r="O322" s="42" t="inlineStr">
        <is>
          <t>Medium</t>
        </is>
      </c>
      <c r="P322" s="43">
        <f>IF(H322="N/A","N/A",INDEX(CRIT_MATRIX,MATCH(O322,CRIT_MATRIX_ROWS,0),MATCH(APP_RISK_TIER,CRIT_MATRIX_COLS,0)))</f>
        <v/>
      </c>
    </row>
    <row r="323" ht="39.75" customHeight="1" s="19">
      <c r="A323" s="39" t="inlineStr">
        <is>
          <t>V16.2.2</t>
        </is>
      </c>
      <c r="B323" s="40" t="inlineStr">
        <is>
          <t>V16 - Security Logging and Error Handling</t>
        </is>
      </c>
      <c r="C323" s="40" t="inlineStr">
        <is>
          <t>V16.2 - General Logging</t>
        </is>
      </c>
      <c r="D323" s="39"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39" t="inlineStr">
        <is>
          <t>TRUE</t>
        </is>
      </c>
      <c r="H323" s="41">
        <f>IF(AND(TRUE(),D323&lt;=TARGET_LEVEL_NUM),"Applicable","N/A")</f>
        <v/>
      </c>
      <c r="I323" s="40" t="inlineStr">
        <is>
          <t>Configuration review + SAST</t>
        </is>
      </c>
      <c r="J323" s="40" t="inlineStr">
        <is>
          <t>Deterministic, continuous</t>
        </is>
      </c>
      <c r="K323" s="39" t="inlineStr">
        <is>
          <t>Pipeline</t>
        </is>
      </c>
      <c r="L323" s="39" t="inlineStr">
        <is>
          <t>Not assessed</t>
        </is>
      </c>
      <c r="M323" s="40" t="n"/>
      <c r="N323" s="40" t="n"/>
      <c r="O323" s="42" t="inlineStr">
        <is>
          <t>Medium</t>
        </is>
      </c>
      <c r="P323" s="43">
        <f>IF(H323="N/A","N/A",INDEX(CRIT_MATRIX,MATCH(O323,CRIT_MATRIX_ROWS,0),MATCH(APP_RISK_TIER,CRIT_MATRIX_COLS,0)))</f>
        <v/>
      </c>
    </row>
    <row r="324" ht="39.75" customHeight="1" s="19">
      <c r="A324" s="39" t="inlineStr">
        <is>
          <t>V16.2.3</t>
        </is>
      </c>
      <c r="B324" s="40" t="inlineStr">
        <is>
          <t>V16 - Security Logging and Error Handling</t>
        </is>
      </c>
      <c r="C324" s="40" t="inlineStr">
        <is>
          <t>V16.2 - General Logging</t>
        </is>
      </c>
      <c r="D324" s="39" t="n">
        <v>2</v>
      </c>
      <c r="E324" s="40" t="inlineStr">
        <is>
          <t>Verify that the application only stores or broadcasts logs to the files and services that are documented in the log inventory.</t>
        </is>
      </c>
      <c r="F324" s="40" t="inlineStr">
        <is>
          <t>Always</t>
        </is>
      </c>
      <c r="G324" s="39" t="inlineStr">
        <is>
          <t>TRUE</t>
        </is>
      </c>
      <c r="H324" s="41">
        <f>IF(AND(TRUE(),D324&lt;=TARGET_LEVEL_NUM),"Applicable","N/A")</f>
        <v/>
      </c>
      <c r="I324" s="40" t="inlineStr">
        <is>
          <t>Configuration review + SAST</t>
        </is>
      </c>
      <c r="J324" s="40" t="inlineStr">
        <is>
          <t>Deterministic, continuous</t>
        </is>
      </c>
      <c r="K324" s="39" t="inlineStr">
        <is>
          <t>Pipeline</t>
        </is>
      </c>
      <c r="L324" s="39" t="inlineStr">
        <is>
          <t>Not assessed</t>
        </is>
      </c>
      <c r="M324" s="40" t="n"/>
      <c r="N324" s="40" t="n"/>
      <c r="O324" s="42" t="inlineStr">
        <is>
          <t>Medium</t>
        </is>
      </c>
      <c r="P324" s="43">
        <f>IF(H324="N/A","N/A",INDEX(CRIT_MATRIX,MATCH(O324,CRIT_MATRIX_ROWS,0),MATCH(APP_RISK_TIER,CRIT_MATRIX_COLS,0)))</f>
        <v/>
      </c>
    </row>
    <row r="325" ht="39.75" customHeight="1" s="19">
      <c r="A325" s="39" t="inlineStr">
        <is>
          <t>V16.2.4</t>
        </is>
      </c>
      <c r="B325" s="40" t="inlineStr">
        <is>
          <t>V16 - Security Logging and Error Handling</t>
        </is>
      </c>
      <c r="C325" s="40" t="inlineStr">
        <is>
          <t>V16.2 - General Logging</t>
        </is>
      </c>
      <c r="D325" s="39" t="n">
        <v>2</v>
      </c>
      <c r="E325" s="40" t="inlineStr">
        <is>
          <t>Verify that logs can be read and correlated by the log processor that is in use, preferably by using a common logging format.</t>
        </is>
      </c>
      <c r="F325" s="40" t="inlineStr">
        <is>
          <t>Always</t>
        </is>
      </c>
      <c r="G325" s="39" t="inlineStr">
        <is>
          <t>TRUE</t>
        </is>
      </c>
      <c r="H325" s="41">
        <f>IF(AND(TRUE(),D325&lt;=TARGET_LEVEL_NUM),"Applicable","N/A")</f>
        <v/>
      </c>
      <c r="I325" s="40" t="inlineStr">
        <is>
          <t>Configuration review + SAST</t>
        </is>
      </c>
      <c r="J325" s="40" t="inlineStr">
        <is>
          <t>Deterministic, continuous</t>
        </is>
      </c>
      <c r="K325" s="39" t="inlineStr">
        <is>
          <t>Pipeline</t>
        </is>
      </c>
      <c r="L325" s="39" t="inlineStr">
        <is>
          <t>Not assessed</t>
        </is>
      </c>
      <c r="M325" s="40" t="n"/>
      <c r="N325" s="40" t="n"/>
      <c r="O325" s="42" t="inlineStr">
        <is>
          <t>Medium</t>
        </is>
      </c>
      <c r="P325" s="43">
        <f>IF(H325="N/A","N/A",INDEX(CRIT_MATRIX,MATCH(O325,CRIT_MATRIX_ROWS,0),MATCH(APP_RISK_TIER,CRIT_MATRIX_COLS,0)))</f>
        <v/>
      </c>
    </row>
    <row r="326" ht="39.75" customHeight="1" s="19">
      <c r="A326" s="39" t="inlineStr">
        <is>
          <t>V16.2.5</t>
        </is>
      </c>
      <c r="B326" s="40" t="inlineStr">
        <is>
          <t>V16 - Security Logging and Error Handling</t>
        </is>
      </c>
      <c r="C326" s="40" t="inlineStr">
        <is>
          <t>V16.2 - General Logging</t>
        </is>
      </c>
      <c r="D326" s="39"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39" t="inlineStr">
        <is>
          <t>TRUE</t>
        </is>
      </c>
      <c r="H326" s="41">
        <f>IF(AND(TRUE(),D326&lt;=TARGET_LEVEL_NUM),"Applicable","N/A")</f>
        <v/>
      </c>
      <c r="I326" s="40" t="inlineStr">
        <is>
          <t>Configuration review + SAST</t>
        </is>
      </c>
      <c r="J326" s="40" t="inlineStr">
        <is>
          <t>Deterministic, continuous</t>
        </is>
      </c>
      <c r="K326" s="39" t="inlineStr">
        <is>
          <t>Pipeline</t>
        </is>
      </c>
      <c r="L326" s="39" t="inlineStr">
        <is>
          <t>Not assessed</t>
        </is>
      </c>
      <c r="M326" s="40" t="n"/>
      <c r="N326" s="40" t="n"/>
      <c r="O326" s="42" t="inlineStr">
        <is>
          <t>Medium</t>
        </is>
      </c>
      <c r="P326" s="43">
        <f>IF(H326="N/A","N/A",INDEX(CRIT_MATRIX,MATCH(O326,CRIT_MATRIX_ROWS,0),MATCH(APP_RISK_TIER,CRIT_MATRIX_COLS,0)))</f>
        <v/>
      </c>
    </row>
    <row r="327" ht="39.75" customHeight="1" s="19">
      <c r="A327" s="39" t="inlineStr">
        <is>
          <t>V16.3.1</t>
        </is>
      </c>
      <c r="B327" s="40" t="inlineStr">
        <is>
          <t>V16 - Security Logging and Error Handling</t>
        </is>
      </c>
      <c r="C327" s="40" t="inlineStr">
        <is>
          <t>V16.3 - Security Events</t>
        </is>
      </c>
      <c r="D327" s="39"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39" t="inlineStr">
        <is>
          <t>TRUE</t>
        </is>
      </c>
      <c r="H327" s="41">
        <f>IF(AND(TRUE(),D327&lt;=TARGET_LEVEL_NUM),"Applicable","N/A")</f>
        <v/>
      </c>
      <c r="I327" s="40" t="inlineStr">
        <is>
          <t>Configuration review + SAST</t>
        </is>
      </c>
      <c r="J327" s="40" t="inlineStr">
        <is>
          <t>Deterministic, continuous</t>
        </is>
      </c>
      <c r="K327" s="39" t="inlineStr">
        <is>
          <t>Pipeline</t>
        </is>
      </c>
      <c r="L327" s="39" t="inlineStr">
        <is>
          <t>Not assessed</t>
        </is>
      </c>
      <c r="M327" s="40" t="n"/>
      <c r="N327" s="40" t="n"/>
      <c r="O327" s="42" t="inlineStr">
        <is>
          <t>Medium</t>
        </is>
      </c>
      <c r="P327" s="43">
        <f>IF(H327="N/A","N/A",INDEX(CRIT_MATRIX,MATCH(O327,CRIT_MATRIX_ROWS,0),MATCH(APP_RISK_TIER,CRIT_MATRIX_COLS,0)))</f>
        <v/>
      </c>
    </row>
    <row r="328" ht="39.75" customHeight="1" s="19">
      <c r="A328" s="39" t="inlineStr">
        <is>
          <t>V16.3.2</t>
        </is>
      </c>
      <c r="B328" s="40" t="inlineStr">
        <is>
          <t>V16 - Security Logging and Error Handling</t>
        </is>
      </c>
      <c r="C328" s="40" t="inlineStr">
        <is>
          <t>V16.3 - Security Events</t>
        </is>
      </c>
      <c r="D328" s="39"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39" t="inlineStr">
        <is>
          <t>TRUE</t>
        </is>
      </c>
      <c r="H328" s="41">
        <f>IF(AND(TRUE(),D328&lt;=TARGET_LEVEL_NUM),"Applicable","N/A")</f>
        <v/>
      </c>
      <c r="I328" s="40" t="inlineStr">
        <is>
          <t>Configuration review + SAST</t>
        </is>
      </c>
      <c r="J328" s="40" t="inlineStr">
        <is>
          <t>Deterministic, continuous</t>
        </is>
      </c>
      <c r="K328" s="39" t="inlineStr">
        <is>
          <t>Pipeline</t>
        </is>
      </c>
      <c r="L328" s="39" t="inlineStr">
        <is>
          <t>Not assessed</t>
        </is>
      </c>
      <c r="M328" s="40" t="n"/>
      <c r="N328" s="40" t="n"/>
      <c r="O328" s="42" t="inlineStr">
        <is>
          <t>Medium</t>
        </is>
      </c>
      <c r="P328" s="43">
        <f>IF(H328="N/A","N/A",INDEX(CRIT_MATRIX,MATCH(O328,CRIT_MATRIX_ROWS,0),MATCH(APP_RISK_TIER,CRIT_MATRIX_COLS,0)))</f>
        <v/>
      </c>
    </row>
    <row r="329" ht="39.75" customHeight="1" s="19">
      <c r="A329" s="39" t="inlineStr">
        <is>
          <t>V16.3.3</t>
        </is>
      </c>
      <c r="B329" s="40" t="inlineStr">
        <is>
          <t>V16 - Security Logging and Error Handling</t>
        </is>
      </c>
      <c r="C329" s="40" t="inlineStr">
        <is>
          <t>V16.3 - Security Events</t>
        </is>
      </c>
      <c r="D329" s="39"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39" t="inlineStr">
        <is>
          <t>TRUE</t>
        </is>
      </c>
      <c r="H329" s="41">
        <f>IF(AND(TRUE(),D329&lt;=TARGET_LEVEL_NUM),"Applicable","N/A")</f>
        <v/>
      </c>
      <c r="I329" s="40" t="inlineStr">
        <is>
          <t>Configuration review + SAST</t>
        </is>
      </c>
      <c r="J329" s="40" t="inlineStr">
        <is>
          <t>Deterministic, continuous</t>
        </is>
      </c>
      <c r="K329" s="39" t="inlineStr">
        <is>
          <t>Pipeline</t>
        </is>
      </c>
      <c r="L329" s="39" t="inlineStr">
        <is>
          <t>Not assessed</t>
        </is>
      </c>
      <c r="M329" s="40" t="n"/>
      <c r="N329" s="40" t="n"/>
      <c r="O329" s="42" t="inlineStr">
        <is>
          <t>Medium</t>
        </is>
      </c>
      <c r="P329" s="43">
        <f>IF(H329="N/A","N/A",INDEX(CRIT_MATRIX,MATCH(O329,CRIT_MATRIX_ROWS,0),MATCH(APP_RISK_TIER,CRIT_MATRIX_COLS,0)))</f>
        <v/>
      </c>
    </row>
    <row r="330" ht="39.75" customHeight="1" s="19">
      <c r="A330" s="39" t="inlineStr">
        <is>
          <t>V16.3.4</t>
        </is>
      </c>
      <c r="B330" s="40" t="inlineStr">
        <is>
          <t>V16 - Security Logging and Error Handling</t>
        </is>
      </c>
      <c r="C330" s="40" t="inlineStr">
        <is>
          <t>V16.3 - Security Events</t>
        </is>
      </c>
      <c r="D330" s="39" t="n">
        <v>2</v>
      </c>
      <c r="E330" s="40" t="inlineStr">
        <is>
          <t>Verify that the application logs unexpected errors and security control failures such as backend TLS failures.</t>
        </is>
      </c>
      <c r="F330" s="40" t="inlineStr">
        <is>
          <t>Always</t>
        </is>
      </c>
      <c r="G330" s="39" t="inlineStr">
        <is>
          <t>TRUE</t>
        </is>
      </c>
      <c r="H330" s="41">
        <f>IF(AND(TRUE(),D330&lt;=TARGET_LEVEL_NUM),"Applicable","N/A")</f>
        <v/>
      </c>
      <c r="I330" s="40" t="inlineStr">
        <is>
          <t>Configuration review + SAST</t>
        </is>
      </c>
      <c r="J330" s="40" t="inlineStr">
        <is>
          <t>Deterministic, continuous</t>
        </is>
      </c>
      <c r="K330" s="39" t="inlineStr">
        <is>
          <t>Pipeline</t>
        </is>
      </c>
      <c r="L330" s="39" t="inlineStr">
        <is>
          <t>Not assessed</t>
        </is>
      </c>
      <c r="M330" s="40" t="n"/>
      <c r="N330" s="40" t="n"/>
      <c r="O330" s="42" t="inlineStr">
        <is>
          <t>Medium</t>
        </is>
      </c>
      <c r="P330" s="43">
        <f>IF(H330="N/A","N/A",INDEX(CRIT_MATRIX,MATCH(O330,CRIT_MATRIX_ROWS,0),MATCH(APP_RISK_TIER,CRIT_MATRIX_COLS,0)))</f>
        <v/>
      </c>
    </row>
    <row r="331" ht="39.75" customHeight="1" s="19">
      <c r="A331" s="39" t="inlineStr">
        <is>
          <t>V16.4.1</t>
        </is>
      </c>
      <c r="B331" s="40" t="inlineStr">
        <is>
          <t>V16 - Security Logging and Error Handling</t>
        </is>
      </c>
      <c r="C331" s="40" t="inlineStr">
        <is>
          <t>V16.4 - Log Protection</t>
        </is>
      </c>
      <c r="D331" s="39" t="n">
        <v>2</v>
      </c>
      <c r="E331" s="40" t="inlineStr">
        <is>
          <t>Verify that all logging components appropriately encode data to prevent log injection.</t>
        </is>
      </c>
      <c r="F331" s="40" t="inlineStr">
        <is>
          <t>Always</t>
        </is>
      </c>
      <c r="G331" s="39" t="inlineStr">
        <is>
          <t>TRUE</t>
        </is>
      </c>
      <c r="H331" s="41">
        <f>IF(AND(TRUE(),D331&lt;=TARGET_LEVEL_NUM),"Applicable","N/A")</f>
        <v/>
      </c>
      <c r="I331" s="40" t="inlineStr">
        <is>
          <t>Configuration review + SAST</t>
        </is>
      </c>
      <c r="J331" s="40" t="inlineStr">
        <is>
          <t>Deterministic, continuous</t>
        </is>
      </c>
      <c r="K331" s="39" t="inlineStr">
        <is>
          <t>Pipeline</t>
        </is>
      </c>
      <c r="L331" s="39" t="inlineStr">
        <is>
          <t>Not assessed</t>
        </is>
      </c>
      <c r="M331" s="40" t="n"/>
      <c r="N331" s="40" t="n"/>
      <c r="O331" s="42" t="inlineStr">
        <is>
          <t>Medium</t>
        </is>
      </c>
      <c r="P331" s="43">
        <f>IF(H331="N/A","N/A",INDEX(CRIT_MATRIX,MATCH(O331,CRIT_MATRIX_ROWS,0),MATCH(APP_RISK_TIER,CRIT_MATRIX_COLS,0)))</f>
        <v/>
      </c>
    </row>
    <row r="332" ht="39.75" customHeight="1" s="19">
      <c r="A332" s="39" t="inlineStr">
        <is>
          <t>V16.4.2</t>
        </is>
      </c>
      <c r="B332" s="40" t="inlineStr">
        <is>
          <t>V16 - Security Logging and Error Handling</t>
        </is>
      </c>
      <c r="C332" s="40" t="inlineStr">
        <is>
          <t>V16.4 - Log Protection</t>
        </is>
      </c>
      <c r="D332" s="39" t="n">
        <v>2</v>
      </c>
      <c r="E332" s="40" t="inlineStr">
        <is>
          <t>Verify that logs are protected from unauthorized access and cannot be modified.</t>
        </is>
      </c>
      <c r="F332" s="40" t="inlineStr">
        <is>
          <t>Always</t>
        </is>
      </c>
      <c r="G332" s="39" t="inlineStr">
        <is>
          <t>TRUE</t>
        </is>
      </c>
      <c r="H332" s="41">
        <f>IF(AND(TRUE(),D332&lt;=TARGET_LEVEL_NUM),"Applicable","N/A")</f>
        <v/>
      </c>
      <c r="I332" s="40" t="inlineStr">
        <is>
          <t>Configuration review + SAST</t>
        </is>
      </c>
      <c r="J332" s="40" t="inlineStr">
        <is>
          <t>Deterministic, continuous</t>
        </is>
      </c>
      <c r="K332" s="39" t="inlineStr">
        <is>
          <t>Pipeline</t>
        </is>
      </c>
      <c r="L332" s="39" t="inlineStr">
        <is>
          <t>Not assessed</t>
        </is>
      </c>
      <c r="M332" s="40" t="n"/>
      <c r="N332" s="40" t="n"/>
      <c r="O332" s="42" t="inlineStr">
        <is>
          <t>Medium</t>
        </is>
      </c>
      <c r="P332" s="43">
        <f>IF(H332="N/A","N/A",INDEX(CRIT_MATRIX,MATCH(O332,CRIT_MATRIX_ROWS,0),MATCH(APP_RISK_TIER,CRIT_MATRIX_COLS,0)))</f>
        <v/>
      </c>
    </row>
    <row r="333" ht="39.75" customHeight="1" s="19">
      <c r="A333" s="39" t="inlineStr">
        <is>
          <t>V16.4.3</t>
        </is>
      </c>
      <c r="B333" s="40" t="inlineStr">
        <is>
          <t>V16 - Security Logging and Error Handling</t>
        </is>
      </c>
      <c r="C333" s="40" t="inlineStr">
        <is>
          <t>V16.4 - Log Protection</t>
        </is>
      </c>
      <c r="D333" s="39"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39" t="inlineStr">
        <is>
          <t>TRUE</t>
        </is>
      </c>
      <c r="H333" s="41">
        <f>IF(AND(TRUE(),D333&lt;=TARGET_LEVEL_NUM),"Applicable","N/A")</f>
        <v/>
      </c>
      <c r="I333" s="40" t="inlineStr">
        <is>
          <t>Configuration review + SAST</t>
        </is>
      </c>
      <c r="J333" s="40" t="inlineStr">
        <is>
          <t>Deterministic, continuous</t>
        </is>
      </c>
      <c r="K333" s="39" t="inlineStr">
        <is>
          <t>Pipeline</t>
        </is>
      </c>
      <c r="L333" s="39" t="inlineStr">
        <is>
          <t>Not assessed</t>
        </is>
      </c>
      <c r="M333" s="40" t="n"/>
      <c r="N333" s="40" t="n"/>
      <c r="O333" s="42" t="inlineStr">
        <is>
          <t>Medium</t>
        </is>
      </c>
      <c r="P333" s="43">
        <f>IF(H333="N/A","N/A",INDEX(CRIT_MATRIX,MATCH(O333,CRIT_MATRIX_ROWS,0),MATCH(APP_RISK_TIER,CRIT_MATRIX_COLS,0)))</f>
        <v/>
      </c>
    </row>
    <row r="334" ht="39.75" customHeight="1" s="19">
      <c r="A334" s="39" t="inlineStr">
        <is>
          <t>V16.5.1</t>
        </is>
      </c>
      <c r="B334" s="40" t="inlineStr">
        <is>
          <t>V16 - Security Logging and Error Handling</t>
        </is>
      </c>
      <c r="C334" s="40" t="inlineStr">
        <is>
          <t>V16.5 - Error Handling</t>
        </is>
      </c>
      <c r="D334" s="39"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39" t="inlineStr">
        <is>
          <t>TRUE</t>
        </is>
      </c>
      <c r="H334" s="41">
        <f>IF(AND(TRUE(),D334&lt;=TARGET_LEVEL_NUM),"Applicable","N/A")</f>
        <v/>
      </c>
      <c r="I334" s="40" t="inlineStr">
        <is>
          <t>Configuration review + SAST</t>
        </is>
      </c>
      <c r="J334" s="40" t="inlineStr">
        <is>
          <t>Deterministic, continuous</t>
        </is>
      </c>
      <c r="K334" s="39" t="inlineStr">
        <is>
          <t>Pipeline</t>
        </is>
      </c>
      <c r="L334" s="39" t="inlineStr">
        <is>
          <t>Not assessed</t>
        </is>
      </c>
      <c r="M334" s="40" t="n"/>
      <c r="N334" s="40" t="n"/>
      <c r="O334" s="42" t="inlineStr">
        <is>
          <t>Medium</t>
        </is>
      </c>
      <c r="P334" s="43">
        <f>IF(H334="N/A","N/A",INDEX(CRIT_MATRIX,MATCH(O334,CRIT_MATRIX_ROWS,0),MATCH(APP_RISK_TIER,CRIT_MATRIX_COLS,0)))</f>
        <v/>
      </c>
    </row>
    <row r="335" ht="39.75" customHeight="1" s="19">
      <c r="A335" s="39" t="inlineStr">
        <is>
          <t>V16.5.2</t>
        </is>
      </c>
      <c r="B335" s="40" t="inlineStr">
        <is>
          <t>V16 - Security Logging and Error Handling</t>
        </is>
      </c>
      <c r="C335" s="40" t="inlineStr">
        <is>
          <t>V16.5 - Error Handling</t>
        </is>
      </c>
      <c r="D335" s="39" t="n">
        <v>2</v>
      </c>
      <c r="E335" s="40" t="inlineStr">
        <is>
          <t>Verify that the application continues to operate securely when external resource access fails, for example, by using patterns such as circuit breakers or graceful degradation.</t>
        </is>
      </c>
      <c r="F335" s="40" t="inlineStr">
        <is>
          <t>Always</t>
        </is>
      </c>
      <c r="G335" s="39" t="inlineStr">
        <is>
          <t>TRUE</t>
        </is>
      </c>
      <c r="H335" s="41">
        <f>IF(AND(TRUE(),D335&lt;=TARGET_LEVEL_NUM),"Applicable","N/A")</f>
        <v/>
      </c>
      <c r="I335" s="40" t="inlineStr">
        <is>
          <t>Configuration review + SAST</t>
        </is>
      </c>
      <c r="J335" s="40" t="inlineStr">
        <is>
          <t>Deterministic, continuous</t>
        </is>
      </c>
      <c r="K335" s="39" t="inlineStr">
        <is>
          <t>Pipeline</t>
        </is>
      </c>
      <c r="L335" s="39" t="inlineStr">
        <is>
          <t>Not assessed</t>
        </is>
      </c>
      <c r="M335" s="40" t="n"/>
      <c r="N335" s="40" t="n"/>
      <c r="O335" s="42" t="inlineStr">
        <is>
          <t>Medium</t>
        </is>
      </c>
      <c r="P335" s="43">
        <f>IF(H335="N/A","N/A",INDEX(CRIT_MATRIX,MATCH(O335,CRIT_MATRIX_ROWS,0),MATCH(APP_RISK_TIER,CRIT_MATRIX_COLS,0)))</f>
        <v/>
      </c>
    </row>
    <row r="336" ht="39.75" customHeight="1" s="19">
      <c r="A336" s="39" t="inlineStr">
        <is>
          <t>V16.5.3</t>
        </is>
      </c>
      <c r="B336" s="40" t="inlineStr">
        <is>
          <t>V16 - Security Logging and Error Handling</t>
        </is>
      </c>
      <c r="C336" s="40" t="inlineStr">
        <is>
          <t>V16.5 - Error Handling</t>
        </is>
      </c>
      <c r="D336" s="39"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39" t="inlineStr">
        <is>
          <t>TRUE</t>
        </is>
      </c>
      <c r="H336" s="41">
        <f>IF(AND(TRUE(),D336&lt;=TARGET_LEVEL_NUM),"Applicable","N/A")</f>
        <v/>
      </c>
      <c r="I336" s="40" t="inlineStr">
        <is>
          <t>Configuration review + SAST</t>
        </is>
      </c>
      <c r="J336" s="40" t="inlineStr">
        <is>
          <t>Deterministic, continuous</t>
        </is>
      </c>
      <c r="K336" s="39" t="inlineStr">
        <is>
          <t>Pipeline</t>
        </is>
      </c>
      <c r="L336" s="39" t="inlineStr">
        <is>
          <t>Not assessed</t>
        </is>
      </c>
      <c r="M336" s="40" t="n"/>
      <c r="N336" s="40" t="n"/>
      <c r="O336" s="42" t="inlineStr">
        <is>
          <t>Medium</t>
        </is>
      </c>
      <c r="P336" s="43">
        <f>IF(H336="N/A","N/A",INDEX(CRIT_MATRIX,MATCH(O336,CRIT_MATRIX_ROWS,0),MATCH(APP_RISK_TIER,CRIT_MATRIX_COLS,0)))</f>
        <v/>
      </c>
    </row>
    <row r="337" ht="39.75" customHeight="1" s="19">
      <c r="A337" s="39" t="inlineStr">
        <is>
          <t>V16.5.4</t>
        </is>
      </c>
      <c r="B337" s="40" t="inlineStr">
        <is>
          <t>V16 - Security Logging and Error Handling</t>
        </is>
      </c>
      <c r="C337" s="40" t="inlineStr">
        <is>
          <t>V16.5 - Error Handling</t>
        </is>
      </c>
      <c r="D337" s="39"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39" t="inlineStr">
        <is>
          <t>TRUE</t>
        </is>
      </c>
      <c r="H337" s="41">
        <f>IF(AND(TRUE(),D337&lt;=TARGET_LEVEL_NUM),"Applicable","N/A")</f>
        <v/>
      </c>
      <c r="I337" s="40" t="inlineStr">
        <is>
          <t>Configuration review + SAST</t>
        </is>
      </c>
      <c r="J337" s="40" t="inlineStr">
        <is>
          <t>Deterministic, continuous</t>
        </is>
      </c>
      <c r="K337" s="39" t="inlineStr">
        <is>
          <t>Pipeline</t>
        </is>
      </c>
      <c r="L337" s="39" t="inlineStr">
        <is>
          <t>Not assessed</t>
        </is>
      </c>
      <c r="M337" s="40" t="n"/>
      <c r="N337" s="40" t="n"/>
      <c r="O337" s="42" t="inlineStr">
        <is>
          <t>Medium</t>
        </is>
      </c>
      <c r="P337" s="43">
        <f>IF(H337="N/A","N/A",INDEX(CRIT_MATRIX,MATCH(O337,CRIT_MATRIX_ROWS,0),MATCH(APP_RISK_TIER,CRIT_MATRIX_COLS,0)))</f>
        <v/>
      </c>
    </row>
    <row r="338" ht="39.75" customHeight="1" s="19">
      <c r="A338" s="39" t="inlineStr">
        <is>
          <t>V17.1.1</t>
        </is>
      </c>
      <c r="B338" s="40" t="inlineStr">
        <is>
          <t>V17 - WebRTC</t>
        </is>
      </c>
      <c r="C338" s="40" t="inlineStr">
        <is>
          <t>V17.1 - TURN Server</t>
        </is>
      </c>
      <c r="D338" s="39"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39" t="inlineStr">
        <is>
          <t>WEBRTC_USED="Yes"</t>
        </is>
      </c>
      <c r="H338" s="41">
        <f>IF(AND(WEBRTC_USED="Yes",D338&lt;=TARGET_LEVEL_NUM),"Applicable","N/A")</f>
        <v/>
      </c>
      <c r="I338" s="40" t="inlineStr">
        <is>
          <t>SAST + DAST / configuration review</t>
        </is>
      </c>
      <c r="J338" s="40" t="inlineStr">
        <is>
          <t>Deterministic, continuous</t>
        </is>
      </c>
      <c r="K338" s="39" t="inlineStr">
        <is>
          <t>Pipeline</t>
        </is>
      </c>
      <c r="L338" s="39" t="inlineStr">
        <is>
          <t>Not assessed</t>
        </is>
      </c>
      <c r="M338" s="40" t="n"/>
      <c r="N338" s="40" t="n"/>
      <c r="O338" s="42" t="inlineStr">
        <is>
          <t>Medium</t>
        </is>
      </c>
      <c r="P338" s="43">
        <f>IF(H338="N/A","N/A",INDEX(CRIT_MATRIX,MATCH(O338,CRIT_MATRIX_ROWS,0),MATCH(APP_RISK_TIER,CRIT_MATRIX_COLS,0)))</f>
        <v/>
      </c>
    </row>
    <row r="339" ht="39.75" customHeight="1" s="19">
      <c r="A339" s="39" t="inlineStr">
        <is>
          <t>V17.1.2</t>
        </is>
      </c>
      <c r="B339" s="40" t="inlineStr">
        <is>
          <t>V17 - WebRTC</t>
        </is>
      </c>
      <c r="C339" s="40" t="inlineStr">
        <is>
          <t>V17.1 - TURN Server</t>
        </is>
      </c>
      <c r="D339" s="39"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39" t="inlineStr">
        <is>
          <t>WEBRTC_USED="Yes"</t>
        </is>
      </c>
      <c r="H339" s="41">
        <f>IF(AND(WEBRTC_USED="Yes",D339&lt;=TARGET_LEVEL_NUM),"Applicable","N/A")</f>
        <v/>
      </c>
      <c r="I339" s="40" t="inlineStr">
        <is>
          <t>SAST + DAST / configuration review</t>
        </is>
      </c>
      <c r="J339" s="40" t="inlineStr">
        <is>
          <t>Deterministic, continuous</t>
        </is>
      </c>
      <c r="K339" s="39" t="inlineStr">
        <is>
          <t>Pipeline</t>
        </is>
      </c>
      <c r="L339" s="39" t="inlineStr">
        <is>
          <t>Not assessed</t>
        </is>
      </c>
      <c r="M339" s="40" t="n"/>
      <c r="N339" s="40" t="n"/>
      <c r="O339" s="42" t="inlineStr">
        <is>
          <t>Medium</t>
        </is>
      </c>
      <c r="P339" s="43">
        <f>IF(H339="N/A","N/A",INDEX(CRIT_MATRIX,MATCH(O339,CRIT_MATRIX_ROWS,0),MATCH(APP_RISK_TIER,CRIT_MATRIX_COLS,0)))</f>
        <v/>
      </c>
    </row>
    <row r="340" ht="39.75" customHeight="1" s="19">
      <c r="A340" s="39" t="inlineStr">
        <is>
          <t>V17.2.1</t>
        </is>
      </c>
      <c r="B340" s="40" t="inlineStr">
        <is>
          <t>V17 - WebRTC</t>
        </is>
      </c>
      <c r="C340" s="40" t="inlineStr">
        <is>
          <t>V17.2 - Media</t>
        </is>
      </c>
      <c r="D340" s="39" t="n">
        <v>2</v>
      </c>
      <c r="E340" s="40" t="inlineStr">
        <is>
          <t>Verify that the key for the Datagram Transport Layer Security (DTLS) certificate is managed and protected based on the documented policy for management of cryptographic keys.</t>
        </is>
      </c>
      <c r="F340" s="40" t="inlineStr">
        <is>
          <t>If uses WebRTC</t>
        </is>
      </c>
      <c r="G340" s="39" t="inlineStr">
        <is>
          <t>WEBRTC_USED="Yes"</t>
        </is>
      </c>
      <c r="H340" s="41">
        <f>IF(AND(WEBRTC_USED="Yes",D340&lt;=TARGET_LEVEL_NUM),"Applicable","N/A")</f>
        <v/>
      </c>
      <c r="I340" s="40" t="inlineStr">
        <is>
          <t>SAST + DAST / configuration review</t>
        </is>
      </c>
      <c r="J340" s="40" t="inlineStr">
        <is>
          <t>Deterministic, continuous</t>
        </is>
      </c>
      <c r="K340" s="39" t="inlineStr">
        <is>
          <t>Pipeline</t>
        </is>
      </c>
      <c r="L340" s="39" t="inlineStr">
        <is>
          <t>Not assessed</t>
        </is>
      </c>
      <c r="M340" s="40" t="n"/>
      <c r="N340" s="40" t="n"/>
      <c r="O340" s="42" t="inlineStr">
        <is>
          <t>Medium</t>
        </is>
      </c>
      <c r="P340" s="43">
        <f>IF(H340="N/A","N/A",INDEX(CRIT_MATRIX,MATCH(O340,CRIT_MATRIX_ROWS,0),MATCH(APP_RISK_TIER,CRIT_MATRIX_COLS,0)))</f>
        <v/>
      </c>
    </row>
    <row r="341" ht="39.75" customHeight="1" s="19">
      <c r="A341" s="39" t="inlineStr">
        <is>
          <t>V17.2.2</t>
        </is>
      </c>
      <c r="B341" s="40" t="inlineStr">
        <is>
          <t>V17 - WebRTC</t>
        </is>
      </c>
      <c r="C341" s="40" t="inlineStr">
        <is>
          <t>V17.2 - Media</t>
        </is>
      </c>
      <c r="D341" s="39"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39" t="inlineStr">
        <is>
          <t>WEBRTC_USED="Yes"</t>
        </is>
      </c>
      <c r="H341" s="41">
        <f>IF(AND(WEBRTC_USED="Yes",D341&lt;=TARGET_LEVEL_NUM),"Applicable","N/A")</f>
        <v/>
      </c>
      <c r="I341" s="40" t="inlineStr">
        <is>
          <t>SAST + DAST / configuration review</t>
        </is>
      </c>
      <c r="J341" s="40" t="inlineStr">
        <is>
          <t>Deterministic, continuous</t>
        </is>
      </c>
      <c r="K341" s="39" t="inlineStr">
        <is>
          <t>Pipeline</t>
        </is>
      </c>
      <c r="L341" s="39" t="inlineStr">
        <is>
          <t>Not assessed</t>
        </is>
      </c>
      <c r="M341" s="40" t="n"/>
      <c r="N341" s="40" t="n"/>
      <c r="O341" s="42" t="inlineStr">
        <is>
          <t>Medium</t>
        </is>
      </c>
      <c r="P341" s="43">
        <f>IF(H341="N/A","N/A",INDEX(CRIT_MATRIX,MATCH(O341,CRIT_MATRIX_ROWS,0),MATCH(APP_RISK_TIER,CRIT_MATRIX_COLS,0)))</f>
        <v/>
      </c>
    </row>
    <row r="342" ht="39.75" customHeight="1" s="19">
      <c r="A342" s="39" t="inlineStr">
        <is>
          <t>V17.2.3</t>
        </is>
      </c>
      <c r="B342" s="40" t="inlineStr">
        <is>
          <t>V17 - WebRTC</t>
        </is>
      </c>
      <c r="C342" s="40" t="inlineStr">
        <is>
          <t>V17.2 - Media</t>
        </is>
      </c>
      <c r="D342" s="39"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39" t="inlineStr">
        <is>
          <t>WEBRTC_USED="Yes"</t>
        </is>
      </c>
      <c r="H342" s="41">
        <f>IF(AND(WEBRTC_USED="Yes",D342&lt;=TARGET_LEVEL_NUM),"Applicable","N/A")</f>
        <v/>
      </c>
      <c r="I342" s="40" t="inlineStr">
        <is>
          <t>SAST + DAST / configuration review</t>
        </is>
      </c>
      <c r="J342" s="40" t="inlineStr">
        <is>
          <t>Deterministic, continuous</t>
        </is>
      </c>
      <c r="K342" s="39" t="inlineStr">
        <is>
          <t>Pipeline</t>
        </is>
      </c>
      <c r="L342" s="39" t="inlineStr">
        <is>
          <t>Not assessed</t>
        </is>
      </c>
      <c r="M342" s="40" t="n"/>
      <c r="N342" s="40" t="n"/>
      <c r="O342" s="42" t="inlineStr">
        <is>
          <t>Medium</t>
        </is>
      </c>
      <c r="P342" s="43">
        <f>IF(H342="N/A","N/A",INDEX(CRIT_MATRIX,MATCH(O342,CRIT_MATRIX_ROWS,0),MATCH(APP_RISK_TIER,CRIT_MATRIX_COLS,0)))</f>
        <v/>
      </c>
    </row>
    <row r="343" ht="39.75" customHeight="1" s="19">
      <c r="A343" s="39" t="inlineStr">
        <is>
          <t>V17.2.4</t>
        </is>
      </c>
      <c r="B343" s="40" t="inlineStr">
        <is>
          <t>V17 - WebRTC</t>
        </is>
      </c>
      <c r="C343" s="40" t="inlineStr">
        <is>
          <t>V17.2 - Media</t>
        </is>
      </c>
      <c r="D343" s="39" t="n">
        <v>2</v>
      </c>
      <c r="E343" s="40" t="inlineStr">
        <is>
          <t>Verify that the media server is able to continue processing incoming media traffic when encountering malformed Secure Real-time Transport Protocol (SRTP) packets.</t>
        </is>
      </c>
      <c r="F343" s="40" t="inlineStr">
        <is>
          <t>If uses WebRTC</t>
        </is>
      </c>
      <c r="G343" s="39" t="inlineStr">
        <is>
          <t>WEBRTC_USED="Yes"</t>
        </is>
      </c>
      <c r="H343" s="41">
        <f>IF(AND(WEBRTC_USED="Yes",D343&lt;=TARGET_LEVEL_NUM),"Applicable","N/A")</f>
        <v/>
      </c>
      <c r="I343" s="40" t="inlineStr">
        <is>
          <t>SAST + DAST / configuration review</t>
        </is>
      </c>
      <c r="J343" s="40" t="inlineStr">
        <is>
          <t>Deterministic, continuous</t>
        </is>
      </c>
      <c r="K343" s="39" t="inlineStr">
        <is>
          <t>Pipeline</t>
        </is>
      </c>
      <c r="L343" s="39" t="inlineStr">
        <is>
          <t>Not assessed</t>
        </is>
      </c>
      <c r="M343" s="40" t="n"/>
      <c r="N343" s="40" t="n"/>
      <c r="O343" s="42" t="inlineStr">
        <is>
          <t>Medium</t>
        </is>
      </c>
      <c r="P343" s="43">
        <f>IF(H343="N/A","N/A",INDEX(CRIT_MATRIX,MATCH(O343,CRIT_MATRIX_ROWS,0),MATCH(APP_RISK_TIER,CRIT_MATRIX_COLS,0)))</f>
        <v/>
      </c>
    </row>
    <row r="344" ht="39.75" customHeight="1" s="19">
      <c r="A344" s="39" t="inlineStr">
        <is>
          <t>V17.2.5</t>
        </is>
      </c>
      <c r="B344" s="40" t="inlineStr">
        <is>
          <t>V17 - WebRTC</t>
        </is>
      </c>
      <c r="C344" s="40" t="inlineStr">
        <is>
          <t>V17.2 - Media</t>
        </is>
      </c>
      <c r="D344" s="39" t="n">
        <v>3</v>
      </c>
      <c r="E344" s="40" t="inlineStr">
        <is>
          <t>Verify that the media server is able to continue processing incoming media traffic during a flood of Secure Real-time Transport Protocol (SRTP) packets from legitimate users.</t>
        </is>
      </c>
      <c r="F344" s="40" t="inlineStr">
        <is>
          <t>If uses WebRTC</t>
        </is>
      </c>
      <c r="G344" s="39" t="inlineStr">
        <is>
          <t>WEBRTC_USED="Yes"</t>
        </is>
      </c>
      <c r="H344" s="41">
        <f>IF(AND(WEBRTC_USED="Yes",D344&lt;=TARGET_LEVEL_NUM),"Applicable","N/A")</f>
        <v/>
      </c>
      <c r="I344" s="40" t="inlineStr">
        <is>
          <t>SAST + DAST / configuration review</t>
        </is>
      </c>
      <c r="J344" s="40" t="inlineStr">
        <is>
          <t>Deterministic, continuous</t>
        </is>
      </c>
      <c r="K344" s="39" t="inlineStr">
        <is>
          <t>Pipeline</t>
        </is>
      </c>
      <c r="L344" s="39" t="inlineStr">
        <is>
          <t>Not assessed</t>
        </is>
      </c>
      <c r="M344" s="40" t="n"/>
      <c r="N344" s="40" t="n"/>
      <c r="O344" s="42" t="inlineStr">
        <is>
          <t>Medium</t>
        </is>
      </c>
      <c r="P344" s="43">
        <f>IF(H344="N/A","N/A",INDEX(CRIT_MATRIX,MATCH(O344,CRIT_MATRIX_ROWS,0),MATCH(APP_RISK_TIER,CRIT_MATRIX_COLS,0)))</f>
        <v/>
      </c>
    </row>
    <row r="345" ht="39.75" customHeight="1" s="19">
      <c r="A345" s="39" t="inlineStr">
        <is>
          <t>V17.2.6</t>
        </is>
      </c>
      <c r="B345" s="40" t="inlineStr">
        <is>
          <t>V17 - WebRTC</t>
        </is>
      </c>
      <c r="C345" s="40" t="inlineStr">
        <is>
          <t>V17.2 - Media</t>
        </is>
      </c>
      <c r="D345" s="39"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39" t="inlineStr">
        <is>
          <t>WEBRTC_USED="Yes"</t>
        </is>
      </c>
      <c r="H345" s="41">
        <f>IF(AND(WEBRTC_USED="Yes",D345&lt;=TARGET_LEVEL_NUM),"Applicable","N/A")</f>
        <v/>
      </c>
      <c r="I345" s="40" t="inlineStr">
        <is>
          <t>SAST + DAST / configuration review</t>
        </is>
      </c>
      <c r="J345" s="40" t="inlineStr">
        <is>
          <t>Deterministic, continuous</t>
        </is>
      </c>
      <c r="K345" s="39" t="inlineStr">
        <is>
          <t>Pipeline</t>
        </is>
      </c>
      <c r="L345" s="39" t="inlineStr">
        <is>
          <t>Not assessed</t>
        </is>
      </c>
      <c r="M345" s="40" t="n"/>
      <c r="N345" s="40" t="n"/>
      <c r="O345" s="42" t="inlineStr">
        <is>
          <t>Medium</t>
        </is>
      </c>
      <c r="P345" s="43">
        <f>IF(H345="N/A","N/A",INDEX(CRIT_MATRIX,MATCH(O345,CRIT_MATRIX_ROWS,0),MATCH(APP_RISK_TIER,CRIT_MATRIX_COLS,0)))</f>
        <v/>
      </c>
    </row>
    <row r="346" ht="39.75" customHeight="1" s="19">
      <c r="A346" s="39" t="inlineStr">
        <is>
          <t>V17.2.7</t>
        </is>
      </c>
      <c r="B346" s="40" t="inlineStr">
        <is>
          <t>V17 - WebRTC</t>
        </is>
      </c>
      <c r="C346" s="40" t="inlineStr">
        <is>
          <t>V17.2 - Media</t>
        </is>
      </c>
      <c r="D346" s="39"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39" t="inlineStr">
        <is>
          <t>WEBRTC_USED="Yes"</t>
        </is>
      </c>
      <c r="H346" s="41">
        <f>IF(AND(WEBRTC_USED="Yes",D346&lt;=TARGET_LEVEL_NUM),"Applicable","N/A")</f>
        <v/>
      </c>
      <c r="I346" s="40" t="inlineStr">
        <is>
          <t>SAST + DAST / configuration review</t>
        </is>
      </c>
      <c r="J346" s="40" t="inlineStr">
        <is>
          <t>Deterministic, continuous</t>
        </is>
      </c>
      <c r="K346" s="39" t="inlineStr">
        <is>
          <t>Pipeline</t>
        </is>
      </c>
      <c r="L346" s="39" t="inlineStr">
        <is>
          <t>Not assessed</t>
        </is>
      </c>
      <c r="M346" s="40" t="n"/>
      <c r="N346" s="40" t="n"/>
      <c r="O346" s="42" t="inlineStr">
        <is>
          <t>Medium</t>
        </is>
      </c>
      <c r="P346" s="43">
        <f>IF(H346="N/A","N/A",INDEX(CRIT_MATRIX,MATCH(O346,CRIT_MATRIX_ROWS,0),MATCH(APP_RISK_TIER,CRIT_MATRIX_COLS,0)))</f>
        <v/>
      </c>
    </row>
    <row r="347" ht="39.75" customHeight="1" s="19">
      <c r="A347" s="39" t="inlineStr">
        <is>
          <t>V17.2.8</t>
        </is>
      </c>
      <c r="B347" s="40" t="inlineStr">
        <is>
          <t>V17 - WebRTC</t>
        </is>
      </c>
      <c r="C347" s="40" t="inlineStr">
        <is>
          <t>V17.2 - Media</t>
        </is>
      </c>
      <c r="D347" s="39"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39" t="inlineStr">
        <is>
          <t>WEBRTC_USED="Yes"</t>
        </is>
      </c>
      <c r="H347" s="41">
        <f>IF(AND(WEBRTC_USED="Yes",D347&lt;=TARGET_LEVEL_NUM),"Applicable","N/A")</f>
        <v/>
      </c>
      <c r="I347" s="40" t="inlineStr">
        <is>
          <t>SAST + DAST / configuration review</t>
        </is>
      </c>
      <c r="J347" s="40" t="inlineStr">
        <is>
          <t>Deterministic, continuous</t>
        </is>
      </c>
      <c r="K347" s="39" t="inlineStr">
        <is>
          <t>Pipeline</t>
        </is>
      </c>
      <c r="L347" s="39" t="inlineStr">
        <is>
          <t>Not assessed</t>
        </is>
      </c>
      <c r="M347" s="40" t="n"/>
      <c r="N347" s="40" t="n"/>
      <c r="O347" s="42" t="inlineStr">
        <is>
          <t>Medium</t>
        </is>
      </c>
      <c r="P347" s="43">
        <f>IF(H347="N/A","N/A",INDEX(CRIT_MATRIX,MATCH(O347,CRIT_MATRIX_ROWS,0),MATCH(APP_RISK_TIER,CRIT_MATRIX_COLS,0)))</f>
        <v/>
      </c>
    </row>
    <row r="348" ht="39.75" customHeight="1" s="19">
      <c r="A348" s="39" t="inlineStr">
        <is>
          <t>V17.3.1</t>
        </is>
      </c>
      <c r="B348" s="40" t="inlineStr">
        <is>
          <t>V17 - WebRTC</t>
        </is>
      </c>
      <c r="C348" s="40" t="inlineStr">
        <is>
          <t>V17.3 - Signaling</t>
        </is>
      </c>
      <c r="D348" s="39"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39" t="inlineStr">
        <is>
          <t>WEBRTC_USED="Yes"</t>
        </is>
      </c>
      <c r="H348" s="41">
        <f>IF(AND(WEBRTC_USED="Yes",D348&lt;=TARGET_LEVEL_NUM),"Applicable","N/A")</f>
        <v/>
      </c>
      <c r="I348" s="40" t="inlineStr">
        <is>
          <t>SAST + DAST / configuration review</t>
        </is>
      </c>
      <c r="J348" s="40" t="inlineStr">
        <is>
          <t>Deterministic, continuous</t>
        </is>
      </c>
      <c r="K348" s="39" t="inlineStr">
        <is>
          <t>Pipeline</t>
        </is>
      </c>
      <c r="L348" s="39" t="inlineStr">
        <is>
          <t>Not assessed</t>
        </is>
      </c>
      <c r="M348" s="40" t="n"/>
      <c r="N348" s="40" t="n"/>
      <c r="O348" s="42" t="inlineStr">
        <is>
          <t>Medium</t>
        </is>
      </c>
      <c r="P348" s="43">
        <f>IF(H348="N/A","N/A",INDEX(CRIT_MATRIX,MATCH(O348,CRIT_MATRIX_ROWS,0),MATCH(APP_RISK_TIER,CRIT_MATRIX_COLS,0)))</f>
        <v/>
      </c>
    </row>
    <row r="349" ht="39.75" customHeight="1" s="19">
      <c r="A349" s="39" t="inlineStr">
        <is>
          <t>V17.3.2</t>
        </is>
      </c>
      <c r="B349" s="40" t="inlineStr">
        <is>
          <t>V17 - WebRTC</t>
        </is>
      </c>
      <c r="C349" s="40" t="inlineStr">
        <is>
          <t>V17.3 - Signaling</t>
        </is>
      </c>
      <c r="D349" s="39"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39" t="inlineStr">
        <is>
          <t>WEBRTC_USED="Yes"</t>
        </is>
      </c>
      <c r="H349" s="41">
        <f>IF(AND(WEBRTC_USED="Yes",D349&lt;=TARGET_LEVEL_NUM),"Applicable","N/A")</f>
        <v/>
      </c>
      <c r="I349" s="40" t="inlineStr">
        <is>
          <t>SAST + DAST / configuration review</t>
        </is>
      </c>
      <c r="J349" s="40" t="inlineStr">
        <is>
          <t>Deterministic, continuous</t>
        </is>
      </c>
      <c r="K349" s="39" t="inlineStr">
        <is>
          <t>Pipeline</t>
        </is>
      </c>
      <c r="L349" s="39" t="inlineStr">
        <is>
          <t>Not assessed</t>
        </is>
      </c>
      <c r="M349" s="40" t="n"/>
      <c r="N349" s="40" t="n"/>
      <c r="O349" s="42" t="inlineStr">
        <is>
          <t>Medium</t>
        </is>
      </c>
      <c r="P349" s="43">
        <f>IF(H349="N/A","N/A",INDEX(CRIT_MATRIX,MATCH(O349,CRIT_MATRIX_ROWS,0),MATCH(APP_RISK_TIER,CRIT_MATRIX_COLS,0)))</f>
        <v/>
      </c>
    </row>
  </sheetData>
  <autoFilter ref="A4:P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dataValidations count="1">
    <dataValidation sqref="L5:L349" showDropDown="0" showInputMessage="0" showErrorMessage="0" allowBlank="1" type="list" errorStyle="stop" operator="between">
      <formula1>"Not assessed,Full coverage,Partial coverage,Gap,N/A"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2026-09-21T19:01:28Z</dcterms:modified>
  <cp:revision>0</cp:revision>
</cp:coreProperties>
</file>