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Master Template" sheetId="4" state="visible" r:id="rId4"/>
    <sheet name="Custom Controls" sheetId="5" state="visible" r:id="rId5"/>
    <sheet name="Archetypes" sheetId="6" state="visible" r:id="rId6"/>
    <sheet name="_lists" sheetId="7" state="hidden" r:id="rId7"/>
    <sheet name="_meta" sheetId="8" state="hidden" r:id="rId8"/>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CONTRACT_VERSION">'_meta'!$B$3</definedName>
    <definedName name="TEMPLATE_VERSION">'_meta'!$B$4</definedName>
    <definedName name="_xlnm._FilterDatabase" localSheetId="3" hidden="1">'Master Template'!$A$4:$Q$349</definedName>
    <definedName name="_xlnm._FilterDatabase" localSheetId="4" hidden="1">'Custom Controls'!$A$4:$Q$204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s>
  <fills count="12">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7">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51" t="inlineStr">
        <is>
          <t>ASVS-Based Application Hardening Master Template — User Guide</t>
        </is>
      </c>
    </row>
    <row r="2" ht="20" customHeight="1" s="19">
      <c r="A2" s="52" t="inlineStr">
        <is>
          <t>Template v2.0.0 — contract 2.0.0 (OWASP ASVS 5.0.0)</t>
        </is>
      </c>
    </row>
    <row r="4" ht="18" customHeight="1" s="19">
      <c r="A4" s="53" t="inlineStr">
        <is>
          <t>What this file is</t>
        </is>
      </c>
    </row>
    <row r="5" ht="76" customHeight="1" s="19">
      <c r="A5" s="52" t="inlineStr">
        <is>
          <t>This workbook is the master application-hardening baseline, built from the complete OWASP ASVS 5.0.0 requirement set (345 requirements, 17 chapters, levels L1/L2/L3). It complements the governance document 'Application Hardening — Agnostic Baseline and Coverage Matrix'. It is maintained once, centrally, and then filtered per application without being rewritten each time. The same file is also the single intake for the application's threat model — one workbook per application serves both.</t>
        </is>
      </c>
    </row>
    <row r="6" ht="20" customHeight="1" s="19">
      <c r="A6" s="52" t="inlineStr">
        <is>
          <t>Source — OWASP Application Security Verification Standard (ASVS) v5.0.0 — https://github.com/OWASP/ASVS</t>
        </is>
      </c>
    </row>
    <row r="7" ht="18" customHeight="1" s="19">
      <c r="A7" s="53" t="inlineStr">
        <is>
          <t>How to use it for a specific application</t>
        </is>
      </c>
    </row>
    <row r="8" ht="20" customHeight="1" s="19">
      <c r="A8" s="52" t="inlineStr">
        <is>
          <t>Step 1 — Make a copy of this file named after the application (e.g., Hardening_AppX.xlsx).</t>
        </is>
      </c>
    </row>
    <row r="9" ht="48" customHeight="1" s="19">
      <c r="A9" s="52" t="inlineStr">
        <is>
          <t>Step 2 — On the 'Characterization Form' sheet, fill in the 'Answer' column (highlighted in yellow) describing the nature of the application (target ASVS level, whether it exposes an API, uses OAuth/OIDC, is session-based, etc.). Use only the values offered in each dropdown — the closed vocabulary is what drives automatic filtering.</t>
        </is>
      </c>
    </row>
    <row r="10" ht="62" customHeight="1" s="19">
      <c r="A10" s="52" t="inlineStr">
        <is>
          <t>Step 3 — On the 'Extended Characterization' sheet, fill in every yellow 'Answer' cell whose row is 'Applicable' (column H). Greyed-out rows don't apply given your earlier answers and can stay blank. When done, column I (Status) must show no 'Missing' (the count is at the bottom of the sheet). 'Don't know' is allowed, but on a mandatory question it shows 'Review'. For the architecture questions, the 'Archetypes' sheet describes each pattern in plain language.</t>
        </is>
      </c>
    </row>
    <row r="11" ht="48" customHeight="1" s="19">
      <c r="A11" s="52" t="inlineStr">
        <is>
          <t>Step 4 — Check the result block at the bottom of 'Extended Characterization': NEEDS_SECURITY_REVIEW (Yes/No) and REVIEW_REASONS. If it says Yes, involve the Security team — the application has something the automatic threat model can't judge on its own.</t>
        </is>
      </c>
    </row>
    <row r="12" ht="48" customHeight="1" s="19">
      <c r="A12" s="52" t="inlineStr">
        <is>
          <t>Step 5 — Run the threat model. Once both characterization sheets are complete (about 20-30 minutes in total), the threat model can already run from this file — it does not wait for the checklist below. It returns the likely threats, a detection plan, and a 'controls to verify first' list.</t>
        </is>
      </c>
    </row>
    <row r="13" ht="90" customHeight="1" s="19">
      <c r="A13" s="52" t="inlineStr">
        <is>
          <t>Step 6 — Go to the 'Master Template' sheet. Column H (Applicable?) recalculates automatically from two things: (a) whether the requirement's ASVS chapter applies to this kind of application, and (b) whether the requirement's level is within the target level chosen in Step 2. Column P (Criticality) recalculates alongside it, from column O (Requirement Impact, fixed per ASVS chapter) crossed against this application's risk tier (computed from the Characterization Form's Data Sensitivity, Exposure, and Business Impact answers). Use the header AutoFilter to filter 'Applicable' and work only with the requirements that actually apply to this application.</t>
        </is>
      </c>
    </row>
    <row r="14" ht="62" customHeight="1" s="19">
      <c r="A14" s="52" t="inlineStr">
        <is>
          <t>Step 7 — For every requirement marked 'Applicable', fill in column L (Coverage Status) with the real status (Full coverage, Partial coverage, Gap, Not assessed), column M with the actual tool/evidence used at this company, and column N with notes. Start with the rows on the threat model's 'controls to verify first' list, then go through the remaining applicable rows. Do the same for the applicable rows of 'Custom Controls'.</t>
        </is>
      </c>
    </row>
    <row r="15" ht="76" customHeight="1" s="19">
      <c r="A15" s="52" t="inlineStr">
        <is>
          <t>Step 8 — For every row marked 'Partial coverage' or 'Gap', fill in column Q (Remediation Owner) — who can actually close it: Internal dev (code change by our developers), Configuration (a setting in the product, platform or infrastructure), Vendor (only the vendor can fix it), Compensating (fixed outside the product: WAF, network segmentation, PAM, monitoring) or Risk acceptance (formally accepted instead of fixed). For vendor (COTS) products, most application-level gaps are Vendor or Configuration; use Compensating when the fix lives outside the product.</t>
        </is>
      </c>
    </row>
    <row r="16" ht="48" customHeight="1" s="19">
      <c r="A16" s="52" t="inlineStr">
        <is>
          <t>Step 9 — Requirements marked 'N/A' need no status — they remain on record as 'considered and excluded by criterion', which is itself the audit evidence that the item was not overlooked, only ruled out based on the answers given in the Characterization Form.</t>
        </is>
      </c>
    </row>
    <row r="17" ht="62" customHeight="1" s="19">
      <c r="A17" s="52" t="inlineStr">
        <is>
          <t>Step 10 — Column P (Criticality: Low/Medium/High/Critical) tells you which applicable requirements matter most for this specific application — it is not fixed per ASVS requirement, it depends on both the requirement's inherent impact and this application's risk profile. Items marked Critical or High are subject to the company's governance rules for high-risk findings (see the governance document's 'Governance rules by criticality' section).</t>
        </is>
      </c>
    </row>
    <row r="18" ht="34" customHeight="1" s="19">
      <c r="A18" s="52" t="inlineStr">
        <is>
          <t>Step 11 — Run the threat model again with the completed file. With Coverage Status filled in, it links the remaining gaps to the threats they leave open and produces a prioritized backlog.</t>
        </is>
      </c>
    </row>
    <row r="20" ht="18" customHeight="1" s="19">
      <c r="A20" s="53" t="inlineStr">
        <is>
          <t>Formalizing the output per application</t>
        </is>
      </c>
    </row>
    <row r="21" ht="76" customHeight="1" s="19">
      <c r="A21" s="52" t="inlineStr">
        <is>
          <t>Confluence — Once filled in, this filtered sheet is the data source for the per-application hardening record. Given the volume (100+ applications), a Confluence page per application (built from a page template) is the recommended format over a Word document per app — it stays versioned, searchable, linkable and commentable without generating a hundred loose files. The page's Threat Model and Detection Plan sections are filled from the threat modeling engine's output. How to turn a filtered sheet into a Confluence page is covered separately.</t>
        </is>
      </c>
    </row>
    <row r="22" ht="18" customHeight="1" s="19">
      <c r="A22" s="53" t="inlineStr">
        <is>
          <t>This file also feeds the threat model</t>
        </is>
      </c>
    </row>
    <row r="23" ht="62" customHeight="1" s="19">
      <c r="A23" s="52" t="inlineStr">
        <is>
          <t>The threat modeling engine (https://github.com/Zzanoni/app-threat-modeling) reads this workbook directly: both characterization sheets, and the Coverage Status and Remediation Owner of every control. The workbook's structure is published as a machine-readable contract (the contract/ folder of https://github.com/Zzanoni/app-hardening-baseline). Do not rename sheets, keys, named ranges or columns in an application copy — the engine would no longer be able to read it.</t>
        </is>
      </c>
    </row>
    <row r="24" ht="18" customHeight="1" s="19">
      <c r="A24" s="53" t="inlineStr">
        <is>
          <t>Maintaining the baseline</t>
        </is>
      </c>
    </row>
    <row r="25" ht="62" customHeight="1" s="19">
      <c r="A25" s="52" t="inlineStr">
        <is>
          <t>Updating a requirement — When a requirement changes (e.g., ASVS releases a new version, or a regulatory requirement is added), edit only this master file. The change propagates to any application whose next copy/update is generated from it. The master file is changed only through the migration scripts in the repository (scripts/migrate_*.py), never by hand. To move a filled-in copy made from an older template version, use scripts/upgrade_app_workbook.py instead of retyping.</t>
        </is>
      </c>
    </row>
    <row r="26" ht="18" customHeight="1" s="19">
      <c r="A26" s="53" t="inlineStr">
        <is>
          <t>Scope note</t>
        </is>
      </c>
    </row>
    <row r="27" ht="76" customHeight="1" s="19">
      <c r="A27" s="52" t="inlineStr">
        <is>
          <t>Applicability in this template is scored at the ASVS chapter level (17 chapters), not per individual requirement. Within an applicable chapter, all requirements at or below the application's target level are considered applicable. This keeps the model auditable and maintainable across 100+ applications, at the cost of some requirements inside an applicable chapter being marginally relevant to a given app — those should be marked 'N/A' manually in column L with a one-line justification in column N.</t>
        </is>
      </c>
    </row>
    <row r="28" ht="18" customHeight="1" s="19">
      <c r="A28" s="53" t="inlineStr">
        <is>
          <t>Color conventions</t>
        </is>
      </c>
    </row>
    <row r="29" ht="20" customHeight="1" s="19">
      <c r="A29" s="52" t="inlineStr">
        <is>
          <t>Yellow — Input cell — fill in per application (Characterization Form, Extended Characterization).</t>
        </is>
      </c>
    </row>
    <row r="30" ht="34" customHeight="1" s="19">
      <c r="A30" s="52" t="inlineStr">
        <is>
          <t>Light grey — Row computed as N/A for the current application (Master Template and Custom Controls column H; whole row on Extended Characterization).</t>
        </is>
      </c>
    </row>
    <row r="31" ht="20" customHeight="1" s="19">
      <c r="A31" s="52" t="inlineStr">
        <is>
          <t>Red / Amber (Extended Characterization, column I) — Status: Missing (red), Review (amber).</t>
        </is>
      </c>
    </row>
    <row r="32" ht="20" customHeight="1" s="19">
      <c r="A32" s="52" t="inlineStr">
        <is>
          <t>Red / Yellow / Green (column L) — Coverage status: Gap (red), Partial coverage (yellow), Full coverage (green).</t>
        </is>
      </c>
    </row>
    <row r="33" ht="20" customHeight="1" s="19">
      <c r="A33" s="52" t="inlineStr">
        <is>
          <t>Red / Orange / Yellow / Grey (column P) — Criticality: Critical (red), High (orange), Medium (yellow), N/A (grey).</t>
        </is>
      </c>
    </row>
    <row r="35" ht="18" customHeight="1" s="19">
      <c r="A35" s="53" t="inlineStr">
        <is>
          <t>Adding controls beyond ASVS</t>
        </is>
      </c>
    </row>
    <row r="36" ht="76" customHeight="1" s="19">
      <c r="A36" s="52" t="inlineStr">
        <is>
          <t>If your organization needs a requirement that isn't part of ASVS (an internal policy, a contractual obligation, a control for something ASVS doesn't cover), add it to the 'Custom Controls' sheet, not to 'Master Template'. Master Template must stay a verbatim copy of ASVS so it can always be safely refreshed from a future ASVS release without losing anything. 'Custom Controls' has the same columns and the same Applicable?/Criticality mechanics, pre-wired and ready to fill in — see its own header note for how column G (Applicability Formula) works there.</t>
        </is>
      </c>
    </row>
    <row r="37" ht="48" customHeight="1" s="19">
      <c r="A37" s="52" t="inlineStr">
        <is>
          <t>Control IDs — CUSTOM-NN for organization policy, contractual or platform-specific controls; TMX-&lt;AREA&gt;-NNN (e.g., TMX-WAF-001, TMX-VENDOR-001) for controls originated by threat modeling (COTS, vendor, compensating, infrastructure). EXAMPLE-01 and TMX-EXAMPLE-001 are worked examples.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3"/>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n"/>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n"/>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n"/>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n"/>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n"/>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n"/>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n"/>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n"/>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n"/>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n"/>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n"/>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3"/>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74"/>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n"/>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n"/>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n"/>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n"/>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n"/>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n"/>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n"/>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n"/>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n"/>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n"/>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n"/>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n"/>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n"/>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n"/>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n"/>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n"/>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n"/>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n"/>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n"/>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n"/>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n"/>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n"/>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n"/>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n"/>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n"/>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n"/>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n"/>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n"/>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n"/>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n"/>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n"/>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n"/>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n"/>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n"/>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n"/>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n"/>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n"/>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n"/>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n"/>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n"/>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n"/>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n"/>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n"/>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n"/>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n"/>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n"/>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n"/>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n"/>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n"/>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n"/>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fires (see governance document, 'Security review triggers').</t>
        </is>
      </c>
      <c r="C73" s="30" t="n"/>
      <c r="D73" s="33">
        <f>IF(OR(ARCHETYPE_PRIMARY="None of these fits",OR(ARCHETYPE_DEVIATION="Yes",ARCHETYPE_DEVIATION="Don't know"),SOURCING_MODEL="SaaS (vendor infrastructure)",COUNTIF($I$5:$I$69,"Review")&gt;0,APP_RISK_TIER="Critical",AND($H$53="Applicable",OR(VENDOR_REMOTE_ACCESS="Yes, permanent",VENDOR_REMOTE_ACCESS="Don't know")),AND($H$50="Applicable",OR(VENDOR_SUPPORTED="No",VENDOR_SUPPORTED="Don't know"))),"Yes","No")</f>
        <v/>
      </c>
    </row>
    <row r="74" ht="45.75" customHeight="1" s="19">
      <c r="A74" s="29" t="inlineStr">
        <is>
          <t>REVIEW_REASONS</t>
        </is>
      </c>
      <c r="B74" s="30" t="inlineStr">
        <is>
          <t>Why Security review is needed ('None' when it isn't).</t>
        </is>
      </c>
      <c r="C74" s="30" t="n"/>
      <c r="D74" s="33">
        <f>IF($D$73="Yes",LEFT(IF(ARCHETYPE_PRIMARY="None of these fits","No archetype fits; ","")&amp;IF(OR(ARCHETYPE_DEVIATION="Yes",ARCHETYPE_DEVIATION="Don't know"),"Components or flows outside the selected archetype (or unknown); ","")&amp;IF(SOURCING_MODEL="SaaS (vendor infrastructure)","SaaS sourcing model (outside v1 archetypes); ","")&amp;IF(COUNTIF($I$5:$I$69,"Review")&gt;0,"Mandatory question answered Don't know; ","")&amp;IF(APP_RISK_TIER="Critical","Application Risk Tier is Critical; ","")&amp;IF(AND($H$53="Applicable",OR(VENDOR_REMOTE_ACCESS="Yes, permanent",VENDOR_REMOTE_ACCESS="Don't know")),"Permanent or unknown vendor remote access; ","")&amp;IF(AND($H$50="Applicable",OR(VENDOR_SUPPORTED="No",VENDOR_SUPPORTED="Don't know")),"Vendor version unsupported or support unknown; ",""),LEN(IF(ARCHETYPE_PRIMARY="None of these fits","No archetype fits; ","")&amp;IF(OR(ARCHETYPE_DEVIATION="Yes",ARCHETYPE_DEVIATION="Don't know"),"Components or flows outside the selected archetype (or unknown); ","")&amp;IF(SOURCING_MODEL="SaaS (vendor infrastructure)","SaaS sourcing model (outside v1 archetypes); ","")&amp;IF(COUNTIF($I$5:$I$69,"Review")&gt;0,"Mandatory question answered Don't know; ","")&amp;IF(APP_RISK_TIER="Critical","Application Risk Tier is Critical; ","")&amp;IF(AND($H$53="Applicable",OR(VENDOR_REMOTE_ACCESS="Yes, permanent",VENDOR_REMOTE_ACCESS="Don't know")),"Permanent or unknown vendor remote access; ","")&amp;IF(AND($H$50="Applicable",OR(VENDOR_SUPPORTED="No",VENDOR_SUPPORTED="Don't know")),"Vendor version unsupported or support unknown; ",""))-2),"None")</f>
        <v/>
      </c>
      <c r="E74" s="59" t="n"/>
      <c r="F74" s="59" t="n"/>
      <c r="G74" s="59" t="n"/>
      <c r="H74" s="59" t="n"/>
      <c r="I74" s="60" t="n"/>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Q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3"/>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Not assessed</t>
        </is>
      </c>
      <c r="M97" s="40" t="n"/>
      <c r="N97" s="40" t="n"/>
      <c r="O97" s="42" t="inlineStr">
        <is>
          <t>High</t>
        </is>
      </c>
      <c r="P97" s="43">
        <f>IF(H97="N/A","N/A",INDEX(CRIT_MATRIX,MATCH(O97,CRIT_MATRIX_ROWS,0),MATCH(APP_RISK_TIER,CRIT_MATRIX_COLS,0)))</f>
        <v/>
      </c>
      <c r="Q97" s="40" t="n"/>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Not assessed</t>
        </is>
      </c>
      <c r="M102" s="40" t="n"/>
      <c r="N102" s="40" t="n"/>
      <c r="O102" s="42" t="inlineStr">
        <is>
          <t>High</t>
        </is>
      </c>
      <c r="P102" s="43">
        <f>IF(H102="N/A","N/A",INDEX(CRIT_MATRIX,MATCH(O102,CRIT_MATRIX_ROWS,0),MATCH(APP_RISK_TIER,CRIT_MATRIX_COLS,0)))</f>
        <v/>
      </c>
      <c r="Q102" s="40" t="n"/>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Not assessed</t>
        </is>
      </c>
      <c r="M123" s="40" t="n"/>
      <c r="N123" s="40" t="n"/>
      <c r="O123" s="42" t="inlineStr">
        <is>
          <t>High</t>
        </is>
      </c>
      <c r="P123" s="43">
        <f>IF(H123="N/A","N/A",INDEX(CRIT_MATRIX,MATCH(O123,CRIT_MATRIX_ROWS,0),MATCH(APP_RISK_TIER,CRIT_MATRIX_COLS,0)))</f>
        <v/>
      </c>
      <c r="Q123" s="40" t="n"/>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Not assessed</t>
        </is>
      </c>
      <c r="M124" s="40" t="n"/>
      <c r="N124" s="40" t="n"/>
      <c r="O124" s="42" t="inlineStr">
        <is>
          <t>High</t>
        </is>
      </c>
      <c r="P124" s="43">
        <f>IF(H124="N/A","N/A",INDEX(CRIT_MATRIX,MATCH(O124,CRIT_MATRIX_ROWS,0),MATCH(APP_RISK_TIER,CRIT_MATRIX_COLS,0)))</f>
        <v/>
      </c>
      <c r="Q124" s="40" t="n"/>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Not assessed</t>
        </is>
      </c>
      <c r="M125" s="40" t="n"/>
      <c r="N125" s="40" t="n"/>
      <c r="O125" s="42" t="inlineStr">
        <is>
          <t>High</t>
        </is>
      </c>
      <c r="P125" s="43">
        <f>IF(H125="N/A","N/A",INDEX(CRIT_MATRIX,MATCH(O125,CRIT_MATRIX_ROWS,0),MATCH(APP_RISK_TIER,CRIT_MATRIX_COLS,0)))</f>
        <v/>
      </c>
      <c r="Q125" s="40" t="n"/>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Not assessed</t>
        </is>
      </c>
      <c r="M179" s="40" t="n"/>
      <c r="N179" s="40" t="n"/>
      <c r="O179" s="42" t="inlineStr">
        <is>
          <t>High</t>
        </is>
      </c>
      <c r="P179" s="43">
        <f>IF(H179="N/A","N/A",INDEX(CRIT_MATRIX,MATCH(O179,CRIT_MATRIX_ROWS,0),MATCH(APP_RISK_TIER,CRIT_MATRIX_COLS,0)))</f>
        <v/>
      </c>
      <c r="Q179" s="40" t="n"/>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Not assessed</t>
        </is>
      </c>
      <c r="M261" s="40" t="n"/>
      <c r="N261" s="40" t="n"/>
      <c r="O261" s="42" t="inlineStr">
        <is>
          <t>Medium</t>
        </is>
      </c>
      <c r="P261" s="43">
        <f>IF(H261="N/A","N/A",INDEX(CRIT_MATRIX,MATCH(O261,CRIT_MATRIX_ROWS,0),MATCH(APP_RISK_TIER,CRIT_MATRIX_COLS,0)))</f>
        <v/>
      </c>
      <c r="Q261" s="40" t="n"/>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Not assessed</t>
        </is>
      </c>
      <c r="M272" s="40" t="n"/>
      <c r="N272" s="40" t="n"/>
      <c r="O272" s="42" t="inlineStr">
        <is>
          <t>Low</t>
        </is>
      </c>
      <c r="P272" s="43">
        <f>IF(H272="N/A","N/A",INDEX(CRIT_MATRIX,MATCH(O272,CRIT_MATRIX_ROWS,0),MATCH(APP_RISK_TIER,CRIT_MATRIX_COLS,0)))</f>
        <v/>
      </c>
      <c r="Q272" s="40" t="n"/>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Not assessed</t>
        </is>
      </c>
      <c r="M273" s="40" t="n"/>
      <c r="N273" s="40" t="n"/>
      <c r="O273" s="42" t="inlineStr">
        <is>
          <t>Low</t>
        </is>
      </c>
      <c r="P273" s="43">
        <f>IF(H273="N/A","N/A",INDEX(CRIT_MATRIX,MATCH(O273,CRIT_MATRIX_ROWS,0),MATCH(APP_RISK_TIER,CRIT_MATRIX_COLS,0)))</f>
        <v/>
      </c>
      <c r="Q273" s="40" t="n"/>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Not assessed</t>
        </is>
      </c>
      <c r="M276" s="40" t="n"/>
      <c r="N276" s="40" t="n"/>
      <c r="O276" s="42" t="inlineStr">
        <is>
          <t>Low</t>
        </is>
      </c>
      <c r="P276" s="43">
        <f>IF(H276="N/A","N/A",INDEX(CRIT_MATRIX,MATCH(O276,CRIT_MATRIX_ROWS,0),MATCH(APP_RISK_TIER,CRIT_MATRIX_COLS,0)))</f>
        <v/>
      </c>
      <c r="Q276" s="40" t="n"/>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row>
  </sheetData>
  <autoFilter ref="A4:Q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'Master Template' sheet — that sheet must stay a verbatim copy of ASVS so it can be safely updated from future ASVS releases. Column G here is a live formula (unlike the hidden helper column on Master Template) — edit it directly to control when a row applies; leave it as =TRUE() to make a row always applicable regardless of the application's characterization answers. It may reference any characterization key, including those on 'Extended Characterization' (e.g. SOURCING_MODEL).
Control IDs: CUSTOM-NN for organization policy / contractual / platform-specific controls; TMX-&lt;AREA&gt;-NNN (e.g. TMX-WAF-001, TMX-VENDOR-001) for controls originated by threat modeling (COTS, vendor, compensating, infrastructure). Rows EXAMPLE-01 and TMX-EXAMPLE-001 are worked examples — edit or delete them.</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row>
    <row r="6" ht="45" customHeight="1" s="19">
      <c r="A6" s="47" t="inlineStr">
        <is>
          <t>TMX-EXAMPLE-001</t>
        </is>
      </c>
      <c r="B6" s="47" t="inlineStr">
        <is>
          <t>Vendor access (threat modeling)</t>
        </is>
      </c>
      <c r="C6" s="47" t="inlineStr">
        <is>
          <t>Remote access</t>
        </is>
      </c>
      <c r="D6" s="48" t="n">
        <v>1</v>
      </c>
      <c r="E6" s="47" t="inlineStr">
        <is>
          <t>EXAMPLE (edit or delete this row) — Vendor remote access to the environment goes only through the company PAM solution, is approved per session, and every session is recorded and retained.</t>
        </is>
      </c>
      <c r="F6" s="47" t="inlineStr">
        <is>
          <t>When the vendor has remote access (VENDOR_REMOTE_ACCESS is a 'Yes' option)</t>
        </is>
      </c>
      <c r="G6" s="47">
        <f>OR(VENDOR_REMOTE_ACCESS="Yes, on demand and controlled (approval, PAM, session recording)",VENDOR_REMOTE_ACCESS="Yes, permanent")</f>
        <v/>
      </c>
      <c r="H6" s="48">
        <f>IF($A6="","",IF(AND(G6,D6&lt;=TARGET_LEVEL_NUM),"Applicable","N/A"))</f>
        <v/>
      </c>
      <c r="I6" s="47" t="inlineStr">
        <is>
          <t>PAM configuration review + session log audit</t>
        </is>
      </c>
      <c r="J6" s="47" t="inlineStr">
        <is>
          <t>Manual, periodic</t>
        </is>
      </c>
      <c r="K6" s="47" t="inlineStr">
        <is>
          <t>Periodic review</t>
        </is>
      </c>
      <c r="L6" s="47" t="inlineStr">
        <is>
          <t>Not assessed</t>
        </is>
      </c>
      <c r="M6" s="47" t="n"/>
      <c r="N6" s="47" t="inlineStr">
        <is>
          <t>Worked example of a threat-modeling extension (TMX) control. Real TMX-* controls come from the threat modeling catalog — replace or delete this row.</t>
        </is>
      </c>
      <c r="O6" s="48" t="inlineStr">
        <is>
          <t>High</t>
        </is>
      </c>
      <c r="P6" s="48">
        <f>IF($A6="","",IF(H6="N/A","N/A",IFERROR(INDEX(CRIT_MATRIX,MATCH(O6,CRIT_MATRIX_ROWS,0),MATCH(APP_RISK_TIER,CRIT_MATRIX_COLS,0)),"")))</f>
        <v/>
      </c>
      <c r="Q6" s="47" t="n"/>
    </row>
    <row r="7" ht="45" customHeight="1" s="19">
      <c r="A7" s="49" t="n"/>
      <c r="B7" s="49" t="n"/>
      <c r="C7" s="49" t="n"/>
      <c r="D7" s="50" t="n"/>
      <c r="E7" s="49" t="n"/>
      <c r="F7" s="49" t="n"/>
      <c r="G7" s="49">
        <f>TRUE()</f>
        <v/>
      </c>
      <c r="H7" s="50">
        <f>IF($A7="","",IF(AND(G7,D7&lt;=TARGET_LEVEL_NUM),"Applicable","N/A"))</f>
        <v/>
      </c>
      <c r="I7" s="49" t="n"/>
      <c r="J7" s="49" t="n"/>
      <c r="K7" s="49" t="n"/>
      <c r="L7" s="49" t="n"/>
      <c r="M7" s="49" t="n"/>
      <c r="N7" s="49" t="n"/>
      <c r="O7" s="50" t="n"/>
      <c r="P7" s="50">
        <f>IF($A7="","",IF(H7="N/A","N/A",IFERROR(INDEX(CRIT_MATRIX,MATCH(O7,CRIT_MATRIX_ROWS,0),MATCH(APP_RISK_TIER,CRIT_MATRIX_COLS,0)),"")))</f>
        <v/>
      </c>
      <c r="Q7" s="49" t="n"/>
    </row>
    <row r="8" ht="45" customHeight="1" s="19">
      <c r="A8" s="49" t="n"/>
      <c r="B8" s="49" t="n"/>
      <c r="C8" s="49" t="n"/>
      <c r="D8" s="50" t="n"/>
      <c r="E8" s="49" t="n"/>
      <c r="F8" s="49" t="n"/>
      <c r="G8" s="49">
        <f>TRUE()</f>
        <v/>
      </c>
      <c r="H8" s="50">
        <f>IF($A8="","",IF(AND(G8,D8&lt;=TARGET_LEVEL_NUM),"Applicable","N/A"))</f>
        <v/>
      </c>
      <c r="I8" s="49" t="n"/>
      <c r="J8" s="49" t="n"/>
      <c r="K8" s="49" t="n"/>
      <c r="L8" s="49" t="n"/>
      <c r="M8" s="49" t="n"/>
      <c r="N8" s="49" t="n"/>
      <c r="O8" s="50" t="n"/>
      <c r="P8" s="50">
        <f>IF($A8="","",IF(H8="N/A","N/A",IFERROR(INDEX(CRIT_MATRIX,MATCH(O8,CRIT_MATRIX_ROWS,0),MATCH(APP_RISK_TIER,CRIT_MATRIX_COLS,0)),"")))</f>
        <v/>
      </c>
      <c r="Q8" s="49" t="n"/>
    </row>
    <row r="9" ht="45" customHeight="1" s="19">
      <c r="A9" s="49" t="n"/>
      <c r="B9" s="49" t="n"/>
      <c r="C9" s="49" t="n"/>
      <c r="D9" s="50" t="n"/>
      <c r="E9" s="49" t="n"/>
      <c r="F9" s="49" t="n"/>
      <c r="G9" s="49">
        <f>TRUE()</f>
        <v/>
      </c>
      <c r="H9" s="50">
        <f>IF($A9="","",IF(AND(G9,D9&lt;=TARGET_LEVEL_NUM),"Applicable","N/A"))</f>
        <v/>
      </c>
      <c r="I9" s="49" t="n"/>
      <c r="J9" s="49" t="n"/>
      <c r="K9" s="49" t="n"/>
      <c r="L9" s="49" t="n"/>
      <c r="M9" s="49" t="n"/>
      <c r="N9" s="49" t="n"/>
      <c r="O9" s="50" t="n"/>
      <c r="P9" s="50">
        <f>IF($A9="","",IF(H9="N/A","N/A",IFERROR(INDEX(CRIT_MATRIX,MATCH(O9,CRIT_MATRIX_ROWS,0),MATCH(APP_RISK_TIER,CRIT_MATRIX_COLS,0)),"")))</f>
        <v/>
      </c>
      <c r="Q9" s="49" t="n"/>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row>
  </sheetData>
  <autoFilter ref="A4:Q204"/>
  <mergeCells count="1">
    <mergeCell ref="A2:Q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This list is maintained centrally (contract/archetypes.yml) — do not edit it here.</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row>
    <row r="2">
      <c r="A2" t="inlineStr">
        <is>
          <t>Internet</t>
        </is>
      </c>
      <c r="B2" t="inlineStr">
        <is>
          <t>OAuth2 / OIDC tokens</t>
        </is>
      </c>
      <c r="C2" t="inlineStr">
        <is>
          <t>Internal web application</t>
        </is>
      </c>
      <c r="D2" t="inlineStr">
        <is>
          <t>Internal web application</t>
        </is>
      </c>
      <c r="E2" t="inlineStr">
        <is>
          <t>Internal web application</t>
        </is>
      </c>
      <c r="F2" t="inlineStr">
        <is>
          <t>Yes, for all users</t>
        </is>
      </c>
      <c r="G2" t="inlineStr">
        <is>
          <t>On-premises data center</t>
        </is>
      </c>
      <c r="H2" t="inlineStr">
        <is>
          <t>In development</t>
        </is>
      </c>
      <c r="I2" t="inlineStr">
        <is>
          <t>Vendor</t>
        </is>
      </c>
      <c r="J2" t="inlineStr">
        <is>
          <t>In-house (we develop it)</t>
        </is>
      </c>
      <c r="K2" t="inlineStr">
        <is>
          <t>No</t>
        </is>
      </c>
      <c r="L2" t="inlineStr">
        <is>
          <t>Yes</t>
        </is>
      </c>
      <c r="M2" t="inlineStr">
        <is>
          <t>Yes</t>
        </is>
      </c>
    </row>
    <row r="3">
      <c r="A3" t="inlineStr">
        <is>
          <t>Internal network</t>
        </is>
      </c>
      <c r="B3" t="inlineStr">
        <is>
          <t>API key</t>
        </is>
      </c>
      <c r="C3" t="inlineStr">
        <is>
          <t>Public web application / portal</t>
        </is>
      </c>
      <c r="D3" t="inlineStr">
        <is>
          <t>Public web application / portal</t>
        </is>
      </c>
      <c r="E3" t="inlineStr">
        <is>
          <t>Public web application / portal</t>
        </is>
      </c>
      <c r="F3" t="inlineStr">
        <is>
          <t>Only for admins</t>
        </is>
      </c>
      <c r="G3" t="inlineStr">
        <is>
          <t>Public cloud</t>
        </is>
      </c>
      <c r="H3" t="inlineStr">
        <is>
          <t>In production</t>
        </is>
      </c>
      <c r="I3" t="inlineStr">
        <is>
          <t>Internal team</t>
        </is>
      </c>
      <c r="J3" t="inlineStr">
        <is>
          <t>COTS (vendor product on our infrastructure)</t>
        </is>
      </c>
      <c r="K3" t="inlineStr">
        <is>
          <t>Yes, on demand and controlled (approval, PAM, session recording)</t>
        </is>
      </c>
      <c r="L3" t="inlineStr">
        <is>
          <t>No</t>
        </is>
      </c>
      <c r="M3" t="inlineStr">
        <is>
          <t>No</t>
        </is>
      </c>
    </row>
    <row r="4">
      <c r="A4" t="inlineStr">
        <is>
          <t>Restricted management network / jump host only</t>
        </is>
      </c>
      <c r="B4" t="inlineStr">
        <is>
          <t>mTLS (client certificate)</t>
        </is>
      </c>
      <c r="C4" t="inlineStr">
        <is>
          <t>API for partners</t>
        </is>
      </c>
      <c r="D4" t="inlineStr">
        <is>
          <t>API for partners</t>
        </is>
      </c>
      <c r="E4" t="inlineStr">
        <is>
          <t>API for partners</t>
        </is>
      </c>
      <c r="F4" t="inlineStr">
        <is>
          <t>No</t>
        </is>
      </c>
      <c r="G4" t="inlineStr">
        <is>
          <t>Hybrid</t>
        </is>
      </c>
      <c r="H4" t="inlineStr">
        <is>
          <t>Legacy (no new features)</t>
        </is>
      </c>
      <c r="I4" t="inlineStr">
        <is>
          <t>Shared</t>
        </is>
      </c>
      <c r="J4" t="inlineStr">
        <is>
          <t>COTS with customizations</t>
        </is>
      </c>
      <c r="K4" t="inlineStr">
        <is>
          <t>Yes, permanent</t>
        </is>
      </c>
      <c r="M4" t="inlineStr">
        <is>
          <t>Don't know</t>
        </is>
      </c>
    </row>
    <row r="5">
      <c r="B5" t="inlineStr">
        <is>
          <t>Basic auth</t>
        </is>
      </c>
      <c r="C5" t="inlineStr">
        <is>
          <t>Internal API / service</t>
        </is>
      </c>
      <c r="D5" t="inlineStr">
        <is>
          <t>Internal API / service</t>
        </is>
      </c>
      <c r="E5" t="inlineStr">
        <is>
          <t>Internal API / service</t>
        </is>
      </c>
      <c r="F5" t="inlineStr">
        <is>
          <t>Don't know</t>
        </is>
      </c>
      <c r="H5" t="inlineStr">
        <is>
          <t>Being decommissioned</t>
        </is>
      </c>
      <c r="I5" t="inlineStr">
        <is>
          <t>Nobody defined</t>
        </is>
      </c>
      <c r="J5" t="inlineStr">
        <is>
          <t>Vendor appliance (physical/virtual)</t>
        </is>
      </c>
      <c r="K5" t="inlineStr">
        <is>
          <t>Don't know</t>
        </is>
      </c>
    </row>
    <row r="6">
      <c r="B6" t="inlineStr">
        <is>
          <t>No authentication</t>
        </is>
      </c>
      <c r="C6" t="inlineStr">
        <is>
          <t>Mobile app backend</t>
        </is>
      </c>
      <c r="D6" t="inlineStr">
        <is>
          <t>Mobile app backend</t>
        </is>
      </c>
      <c r="E6" t="inlineStr">
        <is>
          <t>Mobile app backend</t>
        </is>
      </c>
      <c r="J6" t="inlineStr">
        <is>
          <t>SaaS (vendor infrastructure)</t>
        </is>
      </c>
    </row>
    <row r="7">
      <c r="B7" t="inlineStr">
        <is>
          <t>Other</t>
        </is>
      </c>
      <c r="C7" t="inlineStr">
        <is>
          <t>Batch / file integration</t>
        </is>
      </c>
      <c r="D7" t="inlineStr">
        <is>
          <t>Batch / file integration</t>
        </is>
      </c>
      <c r="E7" t="inlineStr">
        <is>
          <t>Batch / file integration</t>
        </is>
      </c>
    </row>
    <row r="8">
      <c r="C8" t="inlineStr">
        <is>
          <t>Asynchronous / event processing</t>
        </is>
      </c>
      <c r="D8" t="inlineStr">
        <is>
          <t>Asynchronous / event processing</t>
        </is>
      </c>
      <c r="E8" t="inlineStr">
        <is>
          <t>Asynchronous / event processing</t>
        </is>
      </c>
    </row>
    <row r="9">
      <c r="C9" t="inlineStr">
        <is>
          <t>Vendor product hosted by us</t>
        </is>
      </c>
      <c r="D9" t="inlineStr">
        <is>
          <t>Vendor product hosted by us</t>
        </is>
      </c>
      <c r="E9" t="inlineStr">
        <is>
          <t>Vendor product hosted by us</t>
        </is>
      </c>
    </row>
    <row r="10">
      <c r="C10" t="inlineStr">
        <is>
          <t>Vendor product with our customizations</t>
        </is>
      </c>
      <c r="D10" t="inlineStr">
        <is>
          <t>Vendor product with our customizations</t>
        </is>
      </c>
      <c r="E10" t="inlineStr">
        <is>
          <t>Vendor product with our customizations</t>
        </is>
      </c>
    </row>
    <row r="11">
      <c r="C11" t="inlineStr">
        <is>
          <t>Vendor appliance</t>
        </is>
      </c>
      <c r="D11" t="inlineStr">
        <is>
          <t>Vendor appliance</t>
        </is>
      </c>
      <c r="E11" t="inlineStr">
        <is>
          <t>Vendor appliance</t>
        </is>
      </c>
    </row>
    <row r="12">
      <c r="D12" t="inlineStr">
        <is>
          <t>None of these fits</t>
        </is>
      </c>
      <c r="E12" t="inlineStr">
        <is>
          <t>No second pattern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t="inlineStr">
        <is>
          <t>ASVS_VERSION</t>
        </is>
      </c>
      <c r="B2" t="inlineStr">
        <is>
          <t>5.0.0</t>
        </is>
      </c>
    </row>
    <row r="3">
      <c r="A3" t="inlineStr">
        <is>
          <t>CONTRACT_VERSION</t>
        </is>
      </c>
      <c r="B3" t="inlineStr">
        <is>
          <t>2.0.0</t>
        </is>
      </c>
    </row>
    <row r="4">
      <c r="A4" t="inlineStr">
        <is>
          <t>TEMPLATE_VERSION</t>
        </is>
      </c>
      <c r="B4" t="inlineStr">
        <is>
          <t>2.0.0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2026-09-26T00:00:00Z</dcterms:modified>
  <cp:revision>0</cp:revision>
</cp:coreProperties>
</file>