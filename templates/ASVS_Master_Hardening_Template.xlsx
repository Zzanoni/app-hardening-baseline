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worksheets/sheet12.xml" ContentType="application/vnd.openxmlformats-officedocument.spreadsheetml.worksheet+xml"/>
  <Override PartName="/xl/tables/table2.xml" ContentType="application/vnd.openxmlformats-officedocument.spreadsheetml.table+xml"/>
  <Override PartName="/xl/worksheets/sheet13.xml" ContentType="application/vnd.openxmlformats-officedocument.spreadsheetml.worksheet+xml"/>
  <Override PartName="/xl/tables/table3.xml" ContentType="application/vnd.openxmlformats-officedocument.spreadsheetml.table+xml"/>
  <Override PartName="/xl/worksheets/sheet14.xml" ContentType="application/vnd.openxmlformats-officedocument.spreadsheetml.worksheet+xml"/>
  <Override PartName="/xl/tables/table4.xml" ContentType="application/vnd.openxmlformats-officedocument.spreadsheetml.table+xml"/>
  <Override PartName="/xl/worksheets/sheet15.xml" ContentType="application/vnd.openxmlformats-officedocument.spreadsheetml.worksheet+xml"/>
  <Override PartName="/xl/tables/table5.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tions" sheetId="1" state="visible" r:id="rId1"/>
    <sheet name="Characterization Form" sheetId="2" state="visible" r:id="rId2"/>
    <sheet name="Extended Characterization" sheetId="3" state="visible" r:id="rId3"/>
    <sheet name="Threat Model" sheetId="4" state="visible" r:id="rId4"/>
    <sheet name="Controls to Verify" sheetId="5" state="visible" r:id="rId5"/>
    <sheet name="Hardening Baseline" sheetId="6" state="visible" r:id="rId6"/>
    <sheet name="ASVS Checklist" sheetId="7" state="visible" r:id="rId7"/>
    <sheet name="Custom Controls" sheetId="8" state="visible" r:id="rId8"/>
    <sheet name="Backlog" sheetId="9" state="visible" r:id="rId9"/>
    <sheet name="Detection Plan" sheetId="10" state="visible" r:id="rId10"/>
    <sheet name="Threat Library" sheetId="11" state="visible" r:id="rId11"/>
    <sheet name="Threat-Control Map" sheetId="12" state="visible" r:id="rId12"/>
    <sheet name="Detections" sheetId="13" state="visible" r:id="rId13"/>
    <sheet name="Threat-Detection Map" sheetId="14" state="visible" r:id="rId14"/>
    <sheet name="Log Sources" sheetId="15" state="visible" r:id="rId15"/>
    <sheet name="TM Config" sheetId="16" state="visible" r:id="rId16"/>
    <sheet name="Catalog Health" sheetId="17" state="visible" r:id="rId17"/>
    <sheet name="Archetypes" sheetId="18" state="visible" r:id="rId18"/>
    <sheet name="_lists" sheetId="19" state="hidden" r:id="rId19"/>
    <sheet name="_meta" sheetId="20" state="hidden" r:id="rId20"/>
  </sheets>
  <definedNames>
    <definedName name="API_EXPOSED" hidden="0" function="0" vbProcedure="0">'Characterization Form'!$D$7</definedName>
    <definedName name="FILE_HANDLING" hidden="0" function="0" vbProcedure="0">'Characterization Form'!$D$10</definedName>
    <definedName name="OAUTH_OIDC_USED" hidden="0" function="0" vbProcedure="0">'Characterization Form'!$D$11</definedName>
    <definedName name="SESSION_STATEFUL" hidden="0" function="0" vbProcedure="0">'Characterization Form'!$D$9</definedName>
    <definedName name="SPA_FRONTEND" hidden="0" function="0" vbProcedure="0">'Characterization Form'!$D$8</definedName>
    <definedName name="TARGET_LEVEL" hidden="0" function="0" vbProcedure="0">'Characterization Form'!$D$6</definedName>
    <definedName name="WEBRTC_USED" hidden="0" function="0" vbProcedure="0">'Characterization Form'!$D$13</definedName>
    <definedName name="DATA_SENSITIVITY">'Characterization Form'!$D$12</definedName>
    <definedName name="EXPOSURE">'Characterization Form'!$D$14</definedName>
    <definedName name="BUSINESS_IMPACT">'Characterization Form'!$D$15</definedName>
    <definedName name="TARGET_LEVEL_NUM">'Characterization Form'!$D$17</definedName>
    <definedName name="DATA_SENSITIVITY_SCORE">'Characterization Form'!$D$18</definedName>
    <definedName name="EXPOSURE_SCORE">'Characterization Form'!$D$19</definedName>
    <definedName name="BUSINESS_IMPACT_SCORE">'Characterization Form'!$D$20</definedName>
    <definedName name="APP_RISK_SCORE">'Characterization Form'!$D$21</definedName>
    <definedName name="APP_RISK_TIER">'Characterization Form'!$D$22</definedName>
    <definedName name="CRIT_MATRIX">'Characterization Form'!$B$26:$E$28</definedName>
    <definedName name="CRIT_MATRIX_ROWS">'Characterization Form'!$A$26:$A$28</definedName>
    <definedName name="CRIT_MATRIX_COLS">'Characterization Form'!$B$25:$E$25</definedName>
    <definedName name="APP_NAME">'Characterization Form'!$D$5</definedName>
    <definedName name="APP_ID">'Extended Characterization'!$D$6</definedName>
    <definedName name="APP_DESCRIPTION">'Extended Characterization'!$D$7</definedName>
    <definedName name="BUSINESS_OWNER">'Extended Characterization'!$D$8</definedName>
    <definedName name="TECHNICAL_OWNER">'Extended Characterization'!$D$9</definedName>
    <definedName name="LIFECYCLE_STATUS">'Extended Characterization'!$D$10</definedName>
    <definedName name="FINANCIAL_TRANSACTIONS">'Extended Characterization'!$D$12</definedName>
    <definedName name="SOURCING_MODEL">'Extended Characterization'!$D$14</definedName>
    <definedName name="ARCHETYPE_PRIMARY">'Extended Characterization'!$D$16</definedName>
    <definedName name="ARCHETYPE_SECONDARY">'Extended Characterization'!$D$17</definedName>
    <definedName name="ARCHETYPE_DEVIATION">'Extended Characterization'!$D$18</definedName>
    <definedName name="ARCHETYPE_DEVIATION_DETAILS">'Extended Characterization'!$D$19</definedName>
    <definedName name="USERS_CUSTOMERS">'Extended Characterization'!$D$21</definedName>
    <definedName name="USERS_EMPLOYEES">'Extended Characterization'!$D$22</definedName>
    <definedName name="USERS_PARTNERS">'Extended Characterization'!$D$23</definedName>
    <definedName name="ADMIN_INTERFACE">'Extended Characterization'!$D$24</definedName>
    <definedName name="ADMIN_INTERFACE_REACH">'Extended Characterization'!$D$25</definedName>
    <definedName name="AUTH_CORPORATE_SSO">'Extended Characterization'!$D$27</definedName>
    <definedName name="AUTH_LOCAL_CREDENTIALS">'Extended Characterization'!$D$28</definedName>
    <definedName name="AUTH_MFA">'Extended Characterization'!$D$29</definedName>
    <definedName name="API_AUTH">'Extended Characterization'!$D$30</definedName>
    <definedName name="SERVICE_ACCOUNTS">'Extended Characterization'!$D$31</definedName>
    <definedName name="MULTIPLE_ROLES">'Extended Characterization'!$D$33</definedName>
    <definedName name="MULTI_TENANT">'Extended Characterization'!$D$34</definedName>
    <definedName name="FILE_EXCHANGE">'Extended Characterization'!$D$36</definedName>
    <definedName name="MESSAGING">'Extended Characterization'!$D$37</definedName>
    <definedName name="OUTBOUND_EXTERNAL_CALLS">'Extended Characterization'!$D$38</definedName>
    <definedName name="STORES_THIRD_PARTY_SECRETS">'Extended Characterization'!$D$39</definedName>
    <definedName name="EXTERNAL_INTEGRATIONS_LIST">'Extended Characterization'!$D$40</definedName>
    <definedName name="HOSTING">'Extended Characterization'!$D$42</definedName>
    <definedName name="CONTAINERIZED">'Extended Characterization'!$D$43</definedName>
    <definedName name="WAF_IN_FRONT">'Extended Characterization'!$D$44</definedName>
    <definedName name="OPENAPI_AVAILABLE">'Extended Characterization'!$D$45</definedName>
    <definedName name="IAC_AVAILABLE">'Extended Characterization'!$D$46</definedName>
    <definedName name="VENDOR_NAME">'Extended Characterization'!$D$48</definedName>
    <definedName name="PRODUCT_VERSION">'Extended Characterization'!$D$49</definedName>
    <definedName name="VENDOR_SUPPORTED">'Extended Characterization'!$D$50</definedName>
    <definedName name="PATCH_RESPONSIBILITY">'Extended Characterization'!$D$51</definedName>
    <definedName name="PATCH_SLA_DEFINED">'Extended Characterization'!$D$52</definedName>
    <definedName name="VENDOR_REMOTE_ACCESS">'Extended Characterization'!$D$53</definedName>
    <definedName name="DEFAULT_CREDENTIALS_CHANGED">'Extended Characterization'!$D$54</definedName>
    <definedName name="CUSTOMIZATIONS">'Extended Characterization'!$D$55</definedName>
    <definedName name="CUSTOMIZATIONS_IN_REPO">'Extended Characterization'!$D$56</definedName>
    <definedName name="SBOM_AVAILABLE">'Extended Characterization'!$D$57</definedName>
    <definedName name="VENDOR_SECURITY_EVIDENCE">'Extended Characterization'!$D$58</definedName>
    <definedName name="OUTBOUND_VENDOR_TELEMETRY">'Extended Characterization'!$D$59</definedName>
    <definedName name="LOG_AUTH_EVENTS">'Extended Characterization'!$D$61</definedName>
    <definedName name="LOG_ADMIN_ACTIONS">'Extended Characterization'!$D$62</definedName>
    <definedName name="LOGS_CENTRALIZED">'Extended Characterization'!$D$63</definedName>
    <definedName name="HOST_EDR">'Extended Characterization'!$D$64</definedName>
    <definedName name="HOST_FIM">'Extended Characterization'!$D$65</definedName>
    <definedName name="KNOWN_SECURITY_CONCERNS">'Extended Characterization'!$D$67</definedName>
    <definedName name="RESPONDENT">'Extended Characterization'!$D$68</definedName>
    <definedName name="RESPONSE_DATE">'Extended Characterization'!$D$69</definedName>
    <definedName name="EXT_MISSING_COUNT">'Extended Characterization'!$D$72</definedName>
    <definedName name="NEEDS_SECURITY_REVIEW">'Extended Characterization'!$D$73</definedName>
    <definedName name="REVIEW_REASONS">'Extended Characterization'!$D$74</definedName>
    <definedName name="LIST_ADMIN_INTERFACE_REACH">'_lists'!$A$2:$A$4</definedName>
    <definedName name="LIST_API_AUTH">'_lists'!$B$2:$B$7</definedName>
    <definedName name="LIST_ARCHETYPES">'_lists'!$C$2:$C$11</definedName>
    <definedName name="LIST_ARCHETYPE_PRIMARY">'_lists'!$D$2:$D$12</definedName>
    <definedName name="LIST_ARCHETYPE_SECONDARY">'_lists'!$E$2:$E$12</definedName>
    <definedName name="LIST_AUTH_MFA">'_lists'!$F$2:$F$5</definedName>
    <definedName name="LIST_HOSTING">'_lists'!$G$2:$G$4</definedName>
    <definedName name="LIST_LIFECYCLE_STATUS">'_lists'!$H$2:$H$5</definedName>
    <definedName name="LIST_PATCH_RESPONSIBILITY">'_lists'!$I$2:$I$5</definedName>
    <definedName name="LIST_SOURCING_MODEL">'_lists'!$J$2:$J$6</definedName>
    <definedName name="LIST_VENDOR_REMOTE_ACCESS">'_lists'!$K$2:$K$5</definedName>
    <definedName name="LIST_YN">'_lists'!$L$2:$L$3</definedName>
    <definedName name="LIST_YND">'_lists'!$M$2:$M$4</definedName>
    <definedName name="ASVS_VERSION">'_meta'!$B$2</definedName>
    <definedName name="TEMPLATE_VERSION">'_meta'!$B$4</definedName>
    <definedName name="LIST_STRIDE">'_lists'!$N$2:$N$7</definedName>
    <definedName name="LIST_LMH">'_lists'!$O$2:$O$4</definedName>
    <definedName name="LIST_REVIEW_STATUS">'_lists'!$P$2:$P$3</definedName>
    <definedName name="LIST_DEPLOYMENT_STATUS">'_lists'!$Q$2:$Q$5</definedName>
    <definedName name="LIST_REMEDIATION_OWNER">'_lists'!$R$2:$R$6</definedName>
    <definedName name="LIST_MITIGATION_STATUS">'_lists'!$S$2:$S$8</definedName>
    <definedName name="ARCHETYPE_IDS">Archetypes!$A$5:$A$30</definedName>
    <definedName name="ARCHETYPE_NAMES">Archetypes!$B$5:$B$30</definedName>
    <definedName name="ARCHETYPE_PRIMARY_ID">'Extended Characterization'!$D$75</definedName>
    <definedName name="ARCHETYPE_SECONDARY_ID">'Extended Characterization'!$D$76</definedName>
    <definedName name="IS_COTS">'Extended Characterization'!$D$77</definedName>
    <definedName name="RISK_SCALE">'TM Config'!$A$6:$B$9</definedName>
    <definedName name="RISK_SCALE_NAMES">'TM Config'!$A$6:$A$9</definedName>
    <definedName name="RISK_SCALE_SCORES">'TM Config'!$B$6:$B$9</definedName>
    <definedName name="BASE_RISK_MATRIX">'TM Config'!$B$14:$D$16</definedName>
    <definedName name="BASE_RISK_ROWS">'TM Config'!$A$14:$A$16</definedName>
    <definedName name="BASE_RISK_COLS">'TM Config'!$B$13:$D$13</definedName>
    <definedName name="FINAL_RISK_MATRIX">'TM Config'!$B$21:$E$24</definedName>
    <definedName name="FINAL_RISK_ROWS">'TM Config'!$A$21:$A$24</definedName>
    <definedName name="FINAL_RISK_COLS">'TM Config'!$B$20:$E$20</definedName>
    <definedName name="SIGMA_BASE_URL">'TM Config'!$B$27</definedName>
    <definedName name="CC_IDS">'Custom Controls'!$A$5:$A$204</definedName>
    <definedName name="CC_LEVEL">'Custom Controls'!$D$5:$D$204</definedName>
    <definedName name="CC_REQ">'Custom Controls'!$E$5:$E$204</definedName>
    <definedName name="CC_FORMULA">'Custom Controls'!$G$5:$G$204</definedName>
    <definedName name="CC_APPLICABLE">'Custom Controls'!$H$5:$H$204</definedName>
    <definedName name="CC_TYPE">'Custom Controls'!$I$5:$I$204</definedName>
    <definedName name="CC_STAGE">'Custom Controls'!$K$5:$K$204</definedName>
    <definedName name="CC_COVERAGE">'Custom Controls'!$L$5:$L$204</definedName>
    <definedName name="CC_CRIT">'Custom Controls'!$P$5:$P$204</definedName>
    <definedName name="CC_OWNER">'Custom Controls'!$Q$5:$Q$204</definedName>
    <definedName name="CC_LINKED">'Custom Controls'!$R$5:$R$204</definedName>
    <definedName name="CC_TPRIO">'Custom Controls'!$S$5:$S$204</definedName>
    <definedName name="CC_VERIFY">'Custom Controls'!$T$5:$T$204</definedName>
    <definedName name="CC_BACKLOG">'Custom Controls'!$U$5:$U$204</definedName>
    <definedName name="CC_TIDS">'Custom Controls'!$V$5:$V$204</definedName>
    <definedName name="TM_MODE">'Controls to Verify'!$B$4</definedName>
    <definedName name="CATALOG_HEALTH">'Catalog Health'!$B$4</definedName>
    <definedName name="MT_IDS">'ASVS Checklist'!$A$5:$A$349</definedName>
    <definedName name="MT_LEVEL">'ASVS Checklist'!$D$5:$D$349</definedName>
    <definedName name="MT_REQ">'ASVS Checklist'!$E$5:$E$349</definedName>
    <definedName name="MT_FORMULA">'ASVS Checklist'!$G$5:$G$349</definedName>
    <definedName name="MT_APPLICABLE">'ASVS Checklist'!$H$5:$H$349</definedName>
    <definedName name="MT_BASELINE">'ASVS Checklist'!$I$5:$I$349</definedName>
    <definedName name="MT_EXCLUSION">'ASVS Checklist'!$J$5:$J$349</definedName>
    <definedName name="MT_BASELINE_COVERAGE">'ASVS Checklist'!$K$5:$K$349</definedName>
    <definedName name="BL_IDS">'Hardening Baseline'!$A$5:$A$124</definedName>
    <definedName name="BL_ASVS">'Hardening Baseline'!$C$5:$C$124</definedName>
    <definedName name="BL_LEVEL">'Hardening Baseline'!$D$5:$D$124</definedName>
    <definedName name="BL_REQ">'Hardening Baseline'!$E$5:$E$124</definedName>
    <definedName name="BL_INSCOPE">'Hardening Baseline'!$F$5:$F$124</definedName>
    <definedName name="BL_APPLICABLE">'Hardening Baseline'!$H$5:$H$124</definedName>
    <definedName name="BL_TYPE">'Hardening Baseline'!$I$5:$I$124</definedName>
    <definedName name="BL_STAGE">'Hardening Baseline'!$K$5:$K$124</definedName>
    <definedName name="BL_COVERAGE">'Hardening Baseline'!$L$5:$L$124</definedName>
    <definedName name="BL_CRIT">'Hardening Baseline'!$P$5:$P$124</definedName>
    <definedName name="BL_OWNER">'Hardening Baseline'!$Q$5:$Q$124</definedName>
    <definedName name="BL_LINKED">'Hardening Baseline'!$R$5:$R$124</definedName>
    <definedName name="BL_TPRIO">'Hardening Baseline'!$S$5:$S$124</definedName>
    <definedName name="BL_VERIFY">'Hardening Baseline'!$T$5:$T$124</definedName>
    <definedName name="BL_BACKLOG">'Hardening Baseline'!$U$5:$U$124</definedName>
    <definedName name="BL_TIDS">'Hardening Baseline'!$V$5:$V$124</definedName>
    <definedName name="_xlnm._FilterDatabase" localSheetId="5" hidden="1">'Hardening Baseline'!$A$4:$V$124</definedName>
    <definedName name="_xlnm._FilterDatabase" localSheetId="6" hidden="1">'ASVS Checklist'!$A$4:$K$349</definedName>
    <definedName name="_xlnm._FilterDatabase" localSheetId="7" hidden="1">'Custom Controls'!$A$4:$V$204</definedName>
  </definedNames>
  <calcPr calcId="124519" fullCalcOnLoad="1" refMode="A1" iterate="0" iterateCount="100" iterateDelta="0.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1">
    <numFmt numFmtId="164" formatCode="yyyy-mm-dd"/>
  </numFmts>
  <fonts count="3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1F4E78"/>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808080"/>
      <sz val="9"/>
    </font>
    <font>
      <name val="Arial"/>
      <charset val="1"/>
      <family val="0"/>
      <b val="1"/>
      <sz val="10"/>
    </font>
    <font>
      <name val="Arial"/>
      <charset val="1"/>
      <family val="0"/>
      <b val="1"/>
      <color rgb="FFFFFFFF"/>
      <sz val="9"/>
    </font>
    <font>
      <name val="Arial"/>
      <charset val="1"/>
      <family val="0"/>
      <sz val="9"/>
    </font>
    <font>
      <name val="Arial"/>
      <charset val="1"/>
      <family val="0"/>
      <b val="1"/>
      <sz val="9"/>
    </font>
    <font>
      <name val="Arial"/>
      <b val="1"/>
      <sz val="9"/>
    </font>
    <font>
      <name val="Arial"/>
      <b val="1"/>
      <sz val="11"/>
    </font>
    <font>
      <name val="Arial"/>
      <i val="1"/>
      <sz val="9"/>
    </font>
    <font>
      <name val="Arial"/>
      <sz val="9"/>
    </font>
    <font>
      <name val="Calibri"/>
      <b val="1"/>
      <color rgb="FF262626"/>
      <sz val="10"/>
    </font>
    <font>
      <b val="1"/>
    </font>
    <font>
      <name val="Arial"/>
      <b val="1"/>
      <color rgb="FFFFFFFF"/>
      <sz val="14"/>
    </font>
    <font>
      <name val="Arial"/>
      <sz val="10"/>
    </font>
    <font>
      <name val="Arial"/>
      <b val="1"/>
      <color rgb="FF1F4E78"/>
      <sz val="10"/>
    </font>
    <font>
      <name val="Calibri"/>
      <b val="1"/>
      <color rgb="FFFFFFFF"/>
      <sz val="14"/>
    </font>
    <font>
      <name val="Calibri"/>
      <i val="1"/>
      <color rgb="FF595959"/>
      <sz val="9"/>
    </font>
    <font>
      <name val="Calibri"/>
      <b val="1"/>
      <sz val="10"/>
    </font>
    <font>
      <name val="Calibri"/>
      <b val="1"/>
      <color rgb="FFFFFFFF"/>
      <sz val="10"/>
    </font>
    <font>
      <name val="Calibri"/>
      <sz val="9"/>
    </font>
    <font>
      <name val="Calibri"/>
      <color rgb="FF0563C1"/>
      <sz val="9"/>
      <u val="single"/>
    </font>
    <font>
      <name val="Arial"/>
      <b val="1"/>
      <sz val="10"/>
    </font>
  </fonts>
  <fills count="16">
    <fill>
      <patternFill/>
    </fill>
    <fill>
      <patternFill patternType="gray125"/>
    </fill>
    <fill>
      <patternFill patternType="solid">
        <fgColor rgb="FF1F4E78"/>
        <bgColor rgb="FF2E5395"/>
      </patternFill>
    </fill>
    <fill>
      <patternFill patternType="solid">
        <fgColor rgb="FFD9E2F3"/>
        <bgColor rgb="FFEDEDED"/>
      </patternFill>
    </fill>
    <fill>
      <patternFill patternType="solid">
        <fgColor rgb="FF2E5395"/>
        <bgColor rgb="FF1F4E78"/>
      </patternFill>
    </fill>
    <fill>
      <patternFill patternType="solid">
        <fgColor rgb="FFFFF2CC"/>
        <bgColor rgb="FFF2F2F2"/>
      </patternFill>
    </fill>
    <fill>
      <patternFill patternType="solid">
        <fgColor rgb="FFF2F2F2"/>
        <bgColor rgb="FFEDEDED"/>
      </patternFill>
    </fill>
    <fill>
      <patternFill patternType="solid">
        <fgColor rgb="FFF2F2F2"/>
        <bgColor rgb="FFF2F2F2"/>
      </patternFill>
    </fill>
    <fill>
      <patternFill patternType="solid">
        <fgColor rgb="FFFFF2CC"/>
        <bgColor rgb="FFFFF2CC"/>
      </patternFill>
    </fill>
    <fill>
      <patternFill patternType="solid">
        <fgColor rgb="FFD9D9D9"/>
      </patternFill>
    </fill>
    <fill>
      <patternFill patternType="solid">
        <fgColor rgb="FF1F4E78"/>
      </patternFill>
    </fill>
    <fill>
      <patternFill patternType="solid">
        <fgColor rgb="FFD9E2F3"/>
      </patternFill>
    </fill>
    <fill>
      <patternFill patternType="solid">
        <fgColor rgb="FF2E5395"/>
      </patternFill>
    </fill>
    <fill>
      <patternFill patternType="solid">
        <fgColor rgb="FFFFF2CC"/>
      </patternFill>
    </fill>
    <fill>
      <patternFill patternType="solid">
        <fgColor rgb="FFF2F2F2"/>
      </patternFill>
    </fill>
    <fill>
      <patternFill patternType="solid">
        <fgColor rgb="FFDDEBF7"/>
        <bgColor rgb="FFDDEBF7"/>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2">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6" fillId="0" borderId="0" applyAlignment="1" pivotButton="0" quotePrefix="0" xfId="0">
      <alignment horizontal="left" vertical="top" wrapText="1"/>
    </xf>
    <xf numFmtId="0" fontId="4" fillId="2" borderId="0" applyAlignment="1" pivotButton="0" quotePrefix="0" xfId="0">
      <alignment horizontal="general" vertical="bottom"/>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9" fillId="0" borderId="1" applyAlignment="1" pivotButton="0" quotePrefix="0" xfId="0">
      <alignment horizontal="general" vertical="bottom"/>
    </xf>
    <xf numFmtId="0" fontId="0" fillId="0" borderId="1" applyAlignment="1" pivotButton="0" quotePrefix="0" xfId="0">
      <alignment horizontal="general" vertical="bottom"/>
    </xf>
    <xf numFmtId="0" fontId="6" fillId="6"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left" vertical="top" wrapText="1"/>
    </xf>
    <xf numFmtId="0" fontId="13"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10" fillId="7" borderId="1" applyAlignment="1" pivotButton="0" quotePrefix="0" xfId="0">
      <alignment horizontal="center" vertical="center" wrapText="1"/>
    </xf>
    <xf numFmtId="0" fontId="8" fillId="4" borderId="0" applyAlignment="1" pivotButton="0" quotePrefix="0" xfId="0">
      <alignment horizontal="center" vertical="center" wrapText="1"/>
    </xf>
    <xf numFmtId="0" fontId="14" fillId="0" borderId="0" pivotButton="0" quotePrefix="0" xfId="0"/>
    <xf numFmtId="0" fontId="0" fillId="0" borderId="0" applyAlignment="1" pivotButton="0" quotePrefix="0" xfId="0">
      <alignment horizontal="center" vertical="center"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left" vertical="top" wrapText="1"/>
    </xf>
    <xf numFmtId="0" fontId="13"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5" fillId="0" borderId="0" pivotButton="0" quotePrefix="0" xfId="0"/>
    <xf numFmtId="0" fontId="16" fillId="0" borderId="0" applyAlignment="1" pivotButton="0" quotePrefix="0" xfId="0">
      <alignment horizontal="left" vertical="top" wrapText="1"/>
    </xf>
    <xf numFmtId="0" fontId="11" fillId="4" borderId="2" applyAlignment="1" pivotButton="0" quotePrefix="0" xfId="0">
      <alignment horizontal="center" vertical="center" wrapText="1"/>
    </xf>
    <xf numFmtId="0" fontId="17" fillId="8" borderId="2" applyAlignment="1" pivotButton="0" quotePrefix="0" xfId="0">
      <alignment horizontal="left" vertical="top" wrapText="1"/>
    </xf>
    <xf numFmtId="0" fontId="17" fillId="8" borderId="2" applyAlignment="1" pivotButton="0" quotePrefix="0" xfId="0">
      <alignment horizontal="center" vertical="center" wrapText="1"/>
    </xf>
    <xf numFmtId="0" fontId="17" fillId="0" borderId="2" applyAlignment="1" pivotButton="0" quotePrefix="0" xfId="0">
      <alignment horizontal="left" vertical="top" wrapText="1"/>
    </xf>
    <xf numFmtId="0" fontId="17" fillId="0" borderId="2" applyAlignment="1" pivotButton="0" quotePrefix="0" xfId="0">
      <alignment horizontal="center" vertical="center" wrapText="1"/>
    </xf>
    <xf numFmtId="0" fontId="20" fillId="10" borderId="0" applyAlignment="1" pivotButton="0" quotePrefix="0" xfId="0">
      <alignment vertical="bottom"/>
    </xf>
    <xf numFmtId="0" fontId="21" fillId="0" borderId="0" applyAlignment="1" pivotButton="0" quotePrefix="0" xfId="0">
      <alignment vertical="top" wrapText="1"/>
    </xf>
    <xf numFmtId="0" fontId="22" fillId="11" borderId="0" applyAlignment="1" pivotButton="0" quotePrefix="0" xfId="0">
      <alignment vertical="bottom"/>
    </xf>
    <xf numFmtId="0" fontId="18" fillId="9" borderId="1" applyAlignment="1" pivotButton="0" quotePrefix="0" xfId="0">
      <alignment vertical="center"/>
    </xf>
    <xf numFmtId="0" fontId="10" fillId="5" borderId="1" applyAlignment="1" pivotButton="0" quotePrefix="0" xfId="0">
      <alignment vertical="center" wrapText="1"/>
    </xf>
    <xf numFmtId="0" fontId="6" fillId="0" borderId="1" applyAlignment="1" pivotButton="0" quotePrefix="0" xfId="0">
      <alignment horizontal="center" vertical="center" wrapText="1"/>
    </xf>
    <xf numFmtId="164" fontId="10" fillId="5" borderId="1" applyAlignment="1" pivotButton="0" quotePrefix="0" xfId="0">
      <alignment vertical="center" wrapText="1"/>
    </xf>
    <xf numFmtId="0" fontId="18" fillId="9" borderId="1" pivotButton="0" quotePrefix="0" xfId="0"/>
    <xf numFmtId="0" fontId="0" fillId="0" borderId="5" pivotButton="0" quotePrefix="0" xfId="0"/>
    <xf numFmtId="0" fontId="0" fillId="0" borderId="6" pivotButton="0" quotePrefix="0" xfId="0"/>
    <xf numFmtId="0" fontId="19" fillId="0" borderId="0" pivotButton="0" quotePrefix="0" xfId="0"/>
    <xf numFmtId="0" fontId="29" fillId="0" borderId="0" applyAlignment="1" pivotButton="0" quotePrefix="0" xfId="0">
      <alignment vertical="center"/>
    </xf>
    <xf numFmtId="0" fontId="23" fillId="10" borderId="0" applyAlignment="1" pivotButton="0" quotePrefix="0" xfId="0">
      <alignment vertical="center"/>
    </xf>
    <xf numFmtId="0" fontId="0" fillId="10" borderId="0" pivotButton="0" quotePrefix="0" xfId="0"/>
    <xf numFmtId="0" fontId="24" fillId="0" borderId="0" applyAlignment="1" pivotButton="0" quotePrefix="0" xfId="0">
      <alignment vertical="top" wrapText="1"/>
    </xf>
    <xf numFmtId="0" fontId="25" fillId="0" borderId="0" pivotButton="0" quotePrefix="0" xfId="0"/>
    <xf numFmtId="0" fontId="25" fillId="14" borderId="7" applyAlignment="1" pivotButton="0" quotePrefix="0" xfId="0">
      <alignment horizontal="center" vertical="center" wrapText="1"/>
    </xf>
    <xf numFmtId="0" fontId="26" fillId="12" borderId="7" applyAlignment="1" pivotButton="0" quotePrefix="0" xfId="0">
      <alignment horizontal="center" vertical="center" wrapText="1"/>
    </xf>
    <xf numFmtId="0" fontId="27" fillId="0" borderId="0" applyAlignment="1" pivotButton="0" quotePrefix="0" xfId="0">
      <alignment vertical="top" wrapText="1"/>
    </xf>
    <xf numFmtId="0" fontId="27" fillId="13" borderId="7" applyAlignment="1" pivotButton="0" quotePrefix="0" xfId="0">
      <alignment vertical="top" wrapText="1"/>
    </xf>
    <xf numFmtId="0" fontId="27" fillId="14" borderId="7" applyAlignment="1" pivotButton="0" quotePrefix="0" xfId="0">
      <alignment vertical="top" wrapText="1"/>
    </xf>
    <xf numFmtId="0" fontId="28" fillId="13" borderId="7" applyAlignment="1" pivotButton="0" quotePrefix="0" xfId="0">
      <alignment vertical="top" wrapText="1"/>
    </xf>
    <xf numFmtId="0" fontId="27" fillId="15" borderId="7" applyAlignment="1" applyProtection="1" pivotButton="0" quotePrefix="0" xfId="0">
      <alignment vertical="top" wrapText="1"/>
      <protection locked="0" hidden="0"/>
    </xf>
    <xf numFmtId="0" fontId="0" fillId="0" borderId="0" applyProtection="1" pivotButton="0" quotePrefix="0" xfId="0">
      <protection locked="0" hidden="0"/>
    </xf>
    <xf numFmtId="0" fontId="0" fillId="0" borderId="7" pivotButton="0" quotePrefix="0" xfId="0"/>
    <xf numFmtId="0" fontId="25" fillId="0" borderId="7" pivotButton="0" quotePrefix="0" xfId="0"/>
    <xf numFmtId="0" fontId="0" fillId="13" borderId="7" applyAlignment="1" pivotButton="0" quotePrefix="0" xfId="0">
      <alignment horizontal="center" vertical="center" wrapText="1"/>
    </xf>
    <xf numFmtId="0" fontId="0" fillId="13" borderId="0" pivotButton="0" quotePrefix="0" xfId="0"/>
    <xf numFmtId="0" fontId="24" fillId="0" borderId="0" pivotButton="0" quotePrefix="0" xfId="0"/>
    <xf numFmtId="0" fontId="27" fillId="0" borderId="7" applyAlignment="1" pivotButton="0" quotePrefix="0" xfId="0">
      <alignment vertical="top" wrapText="1"/>
    </xf>
    <xf numFmtId="0" fontId="0" fillId="0" borderId="7"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1">
    <dxf>
      <fill>
        <patternFill patternType="solid">
          <fgColor rgb="FF2E5395"/>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808080"/>
          <bgColor rgb="FF000000"/>
        </patternFill>
      </fill>
    </dxf>
    <dxf>
      <font>
        <name val="Arial"/>
        <charset val="1"/>
        <family val="0"/>
        <i val="1"/>
        <color rgb="FF808080"/>
        <sz val="9"/>
      </font>
      <fill>
        <patternFill>
          <bgColor rgb="FFEDEDED"/>
        </patternFill>
      </fill>
    </dxf>
    <dxf>
      <fill>
        <patternFill>
          <bgColor rgb="FFF8CBAD"/>
        </patternFill>
      </fill>
    </dxf>
    <dxf>
      <fill>
        <patternFill>
          <bgColor rgb="FFFFE699"/>
        </patternFill>
      </fill>
    </dxf>
    <dxf>
      <fill>
        <patternFill>
          <bgColor rgb="FFC6E0B4"/>
        </patternFill>
      </fill>
    </dxf>
    <dxf>
      <fill>
        <patternFill patternType="solid">
          <fgColor rgb="FFFFC7CE"/>
          <bgColor rgb="FFFFC7CE"/>
        </patternFill>
      </fill>
    </dxf>
    <dxf>
      <fill>
        <patternFill patternType="solid">
          <fgColor rgb="FFFFE0B2"/>
          <bgColor rgb="FFFFE0B2"/>
        </patternFill>
      </fill>
    </dxf>
    <dxf>
      <fill>
        <patternFill patternType="solid">
          <fgColor rgb="FFFFEB9C"/>
          <bgColor rgb="FFFFEB9C"/>
        </patternFill>
      </fill>
    </dxf>
    <dxf>
      <fill>
        <patternFill patternType="solid">
          <fgColor rgb="FFF2F2F2"/>
          <bgColor rgb="FFF2F2F2"/>
        </patternFill>
      </fill>
    </dxf>
    <dxf>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808080"/>
      </font>
      <fill>
        <patternFill patternType="solid">
          <fgColor rgb="FFF2F2F2"/>
          <bgColor rgb="FFF2F2F2"/>
        </patternFill>
      </fill>
    </dxf>
    <dxf>
      <fill>
        <patternFill patternType="solid">
          <fgColor rgb="FFE7E6E6"/>
          <bgColor rgb="FFE7E6E6"/>
        </patternFill>
      </fill>
    </dxf>
    <dxf>
      <font>
        <b val="1"/>
        <color rgb="FF1F4E78"/>
      </font>
      <fill>
        <patternFill patternType="solid">
          <fgColor rgb="FFDDEBF7"/>
          <bgColor rgb="FFDDEBF7"/>
        </patternFill>
      </fill>
    </dxf>
    <dxf>
      <font>
        <color rgb="FF808080"/>
      </font>
    </dxf>
    <dxf>
      <font>
        <i val="1"/>
        <color rgb="0080808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2E5395"/>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 Id="rIdMeta1" Type="http://schemas.openxmlformats.org/officeDocument/2006/relationships/sheetMetadata" Target="metadata.xml"/></Relationships>
</file>

<file path=xl/comments/comment1.xml><?xml version="1.0" encoding="utf-8"?>
<comments xmlns="http://schemas.openxmlformats.org/spreadsheetml/2006/main">
  <authors>
    <author>Hardening Baseline</author>
    <author>Baseline</author>
  </authors>
  <commentList>
    <comment ref="C4" authorId="0" shapeId="0">
      <text>
        <t>All OWASP ASVS 5.0.0 requirements consolidated into this control (from column I of 'ASVS Checklist').</t>
      </text>
    </comment>
    <comment ref="D4" authorId="0" shapeId="0">
      <text>
        <t>Lowest ASVS level among the referenced requirements.</t>
      </text>
    </comment>
    <comment ref="F4" authorId="0" shapeId="0">
      <text>
        <t>Referenced ASVS requirements that apply to this application (ASVS chapter applicable and level &lt;= target level). Assess the control against these.</t>
      </text>
    </comment>
    <comment ref="G4" authorId="0" shapeId="0">
      <text>
        <t>Number of referenced ASVS requirements in scope. The control is Applicable when this is at least 1.</t>
      </text>
    </comment>
    <comment ref="O4" authorId="0" shapeId="0">
      <text>
        <t>Highest Requirement Impact among the referenced ASVS requirements.</t>
      </text>
    </comment>
    <comment ref="Q4" authorId="1" shapeId="0">
      <text>
        <t>Remediation Owner — who can close this gap. Fill only for rows with Coverage Status 'Partial coverage' or 'Gap'.
Internal dev: code change by our developers.
Configuration: a setting in the product, platform or infrastructure.
Vendor: only the vendor can fix it (product change or patch).
Compensating: fixed outside the product (WAF, segmentation, PAM, monitoring).
Risk acceptance: formally accepted instead of fixed.
For COTS, most application-level gaps are Vendor or Configuration.</t>
      </text>
    </comment>
    <comment ref="R4" authorId="1" shapeId="0">
      <text>
        <t>Number of threats that apply to this application and are mitigated by this control (from 'Threat-Control Map').</t>
      </text>
    </comment>
    <comment ref="S4" authorId="1" shapeId="0">
      <text>
        <t>Highest Risk among those threats (Low / Medium / High / Critical). Blank if none.</t>
      </text>
    </comment>
    <comment ref="T4" authorId="1" shapeId="0">
      <text>
        <t>Yes = applicable, not yet assessed, and linked to an applicable threat. Assess these rows first (see the 'Controls to Verify' sheet).</t>
      </text>
    </comment>
    <comment ref="U4" authorId="1" shapeId="0">
      <text>
        <t>Only for Gap / Partial coverage rows: the higher of Criticality (P) and Threat priority (S). Drives the order of the 'Backlog' sheet.</t>
      </text>
    </comment>
    <comment ref="V4" authorId="1" shapeId="0">
      <text>
        <t>IDs of the applicable threats linked to this control.</t>
      </text>
    </comment>
  </commentList>
</comments>
</file>

<file path=xl/comments/comment2.xml><?xml version="1.0" encoding="utf-8"?>
<comments xmlns="http://schemas.openxmlformats.org/spreadsheetml/2006/main">
  <authors>
    <author>Hardening Baseline</author>
  </authors>
  <commentList>
    <comment ref="I4" authorId="0" shapeId="0">
      <text>
        <t>Hardening Baseline control that consolidates this requirement, or 'Excluded'. Maintained centrally.</t>
      </text>
    </comment>
    <comment ref="K4" authorId="0" shapeId="0">
      <text>
        <t>Coverage Status of the baseline control (N/A when this requirement is out of scope for the application).</t>
      </text>
    </comment>
  </commentList>
</comments>
</file>

<file path=xl/comments/comment3.xml><?xml version="1.0" encoding="utf-8"?>
<comments xmlns="http://schemas.openxmlformats.org/spreadsheetml/2006/main">
  <authors>
    <author>Baseline</author>
  </authors>
  <commentList>
    <comment ref="Q4" authorId="0" shapeId="0">
      <text>
        <t>Remediation Owner — who can close this gap. Fill only for rows with Coverage Status 'Partial coverage' or 'Gap'.
Internal dev: code change by our developers.
Configuration: a setting in the product, platform or infrastructure.
Vendor: only the vendor can fix it (product change or patch).
Compensating: fixed outside the product (WAF, segmentation, PAM, monitoring).
Risk acceptance: formally accepted instead of fixed.
For COTS, most application-level gaps are Vendor or Configuration.</t>
      </text>
    </comment>
    <comment ref="R4" authorId="0" shapeId="0">
      <text>
        <t>Number of threats that apply to this application and are mitigated by this control (from 'Threat-Control Map').</t>
      </text>
    </comment>
    <comment ref="S4" authorId="0" shapeId="0">
      <text>
        <t>Highest Risk among those threats (Low / Medium / High / Critical). Blank if none.</t>
      </text>
    </comment>
    <comment ref="T4" authorId="0" shapeId="0">
      <text>
        <t>Yes = applicable, not yet assessed, and linked to an applicable threat. Assess these rows first (see the 'Controls to Verify' sheet).</t>
      </text>
    </comment>
    <comment ref="U4" authorId="0" shapeId="0">
      <text>
        <t>Only for Gap / Partial coverage rows: the higher of Criticality (P) and Threat priority (S). Drives the order of the 'Backlog' sheet.</t>
      </text>
    </comment>
    <comment ref="V4" authorId="0" shapeId="0">
      <text>
        <t>IDs of the applicable threats linked to this control.</t>
      </text>
    </comment>
  </commentList>
</comments>
</file>

<file path=xl/tables/table1.xml><?xml version="1.0" encoding="utf-8"?>
<table xmlns="http://schemas.openxmlformats.org/spreadsheetml/2006/main" id="1" name="tblThreats" displayName="tblThreats" ref="A4:Z21" headerRowCount="1">
  <tableColumns count="26">
    <tableColumn id="1" name="Threat ID"/>
    <tableColumn id="2" name="STRIDE"/>
    <tableColumn id="3" name="Title"/>
    <tableColumn id="4" name="Description"/>
    <tableColumn id="5" name="Archetypes"/>
    <tableColumn id="6" name="Applicability condition"/>
    <tableColumn id="7" name="Applicability formula"/>
    <tableColumn id="8" name="Archetype match">
      <calculatedColumnFormula>IF(TRIM(tblThreats[[#This Row],[Archetypes]])="All",TRUE,OR(AND(ARCHETYPE_PRIMARY_ID&lt;&gt;"",ISNUMBER(SEARCH(";"&amp;ARCHETYPE_PRIMARY_ID&amp;";",";"&amp;SUBSTITUTE(tblThreats[[#This Row],[Archetypes]]," ","")&amp;";"))),AND(ARCHETYPE_SECONDARY_ID&lt;&gt;"",ISNUMBER(SEARCH(";"&amp;ARCHETYPE_SECONDARY_ID&amp;";",";"&amp;SUBSTITUTE(tblThreats[[#This Row],[Archetypes]]," ","")&amp;";")))))</calculatedColumnFormula>
    </tableColumn>
    <tableColumn id="9" name="Applies">
      <calculatedColumnFormula>IF(ISERROR(tblThreats[[#This Row],[Applicability formula]]),"Error",IF(AND(tblThreats[[#This Row],[Archetype match]],tblThreats[[#This Row],[Applicability formula]]=TRUE),"Applies","N/A"))</calculatedColumnFormula>
    </tableColumn>
    <tableColumn id="10" name="References"/>
    <tableColumn id="11" name="Likelihood"/>
    <tableColumn id="12" name="Impact"/>
    <tableColumn id="13" name="Base risk">
      <calculatedColumnFormula>IFERROR(INDEX(BASE_RISK_MATRIX,MATCH(tblThreats[[#This Row],[Impact]],BASE_RISK_ROWS,0),MATCH(tblThreats[[#This Row],[Likelihood]],BASE_RISK_COLS,0)),"")</calculatedColumnFormula>
    </tableColumn>
    <tableColumn id="14" name="Risk">
      <calculatedColumnFormula>IF(tblThreats[[#This Row],[Applies]]&lt;&gt;"Applies","N/A",IFERROR(INDEX(FINAL_RISK_MATRIX,MATCH(tblThreats[[#This Row],[Base risk]],FINAL_RISK_ROWS,0),MATCH(APP_RISK_TIER,FINAL_RISK_COLS,0)),""))</calculatedColumnFormula>
    </tableColumn>
    <tableColumn id="15" name="Risk score">
      <calculatedColumnFormula>IFERROR(MATCH(tblThreats[[#This Row],[Risk]],RISK_SCALE_NAMES,0),0)</calculatedColumnFormula>
    </tableColumn>
    <tableColumn id="16" name="Controls linked">
      <calculatedColumnFormula>COUNTIF(tblThreatControls[Threat ID],tblThreats[[#This Row],[Threat ID]])</calculatedColumnFormula>
    </tableColumn>
    <tableColumn id="17" name="Full">
      <calculatedColumnFormula>COUNTIFS(tblThreatControls[Threat ID],tblThreats[[#This Row],[Threat ID]],tblThreatControls[Coverage status],"Full coverage")</calculatedColumnFormula>
    </tableColumn>
    <tableColumn id="18" name="Partial">
      <calculatedColumnFormula>COUNTIFS(tblThreatControls[Threat ID],tblThreats[[#This Row],[Threat ID]],tblThreatControls[Coverage status],"Partial coverage")</calculatedColumnFormula>
    </tableColumn>
    <tableColumn id="19" name="Gap">
      <calculatedColumnFormula>COUNTIFS(tblThreatControls[Threat ID],tblThreats[[#This Row],[Threat ID]],tblThreatControls[Coverage status],"Gap")</calculatedColumnFormula>
    </tableColumn>
    <tableColumn id="20" name="Not assessed">
      <calculatedColumnFormula>COUNTIFS(tblThreatControls[Threat ID],tblThreats[[#This Row],[Threat ID]],tblThreatControls[Coverage status],"Not assessed")</calculatedColumnFormula>
    </tableColumn>
    <tableColumn id="21" name="NA controls">
      <calculatedColumnFormula>COUNTIFS(tblThreatControls[Threat ID],tblThreats[[#This Row],[Threat ID]],tblThreatControls[Coverage status],"N/A")</calculatedColumnFormula>
    </tableColumn>
    <tableColumn id="22" name="Mitigation status">
      <calculatedColumnFormula>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calculatedColumnFormula>
    </tableColumn>
    <tableColumn id="23" name="Detections linked">
      <calculatedColumnFormula>COUNTIF(tblThreatDetections[Threat ID],tblThreats[[#This Row],[Threat ID]])</calculatedColumnFormula>
    </tableColumn>
    <tableColumn id="24" name="Archetypes valid">
      <calculatedColumnFormula>IF(TRIM(tblThreats[[#This Row],[Archetypes]])="All","Yes",IF(SUMPRODUCT(--(ARCHETYPE_IDS&lt;&gt;""),--ISNUMBER(SEARCH(";"&amp;ARCHETYPE_IDS&amp;";",";"&amp;SUBSTITUTE(tblThreats[[#This Row],[Archetypes]]," ","")&amp;";")))=LEN(SUBSTITUTE(tblThreats[[#This Row],[Archetypes]]," ",""))-LEN(SUBSTITUTE(SUBSTITUTE(tblThreats[[#This Row],[Archetypes]]," ",""),";",""))+1,"Yes","No"))</calculatedColumnFormula>
    </tableColumn>
    <tableColumn id="25" name="Review status"/>
    <tableColumn id="26" name="Notes"/>
  </tableColumns>
  <tableStyleInfo name="TableStyleLight1" showRowStripes="1"/>
</table>
</file>

<file path=xl/tables/table2.xml><?xml version="1.0" encoding="utf-8"?>
<table xmlns="http://schemas.openxmlformats.org/spreadsheetml/2006/main" id="2" name="tblThreatControls" displayName="tblThreatControls" ref="A4:P46" headerRowCount="1">
  <tableColumns count="16">
    <tableColumn id="1" name="Threat ID"/>
    <tableColumn id="2" name="Control ID"/>
    <tableColumn id="3" name="Default owner"/>
    <tableColumn id="4" name="How it mitigates"/>
    <tableColumn id="5" name="Control source">
      <calculatedColumnFormula>IF(ISNUMBER(MATCH(tblThreatControls[[#This Row],[Control ID]],BL_IDS,0)),"Baseline",IF(ISNUMBER(MATCH(tblThreatControls[[#This Row],[Control ID]],CC_IDS,0)),"Custom","NOT FOUND"))</calculatedColumnFormula>
    </tableColumn>
    <tableColumn id="6" name="Control applicable">
      <calculatedColumnFormula>IF(tblThreatControls[[#This Row],[Control source]]="Baseline",INDEX(BL_APPLICABLE,tblThreatControls[[#This Row],[Source row]])&amp;"",IF(tblThreatControls[[#This Row],[Control source]]="Custom",INDEX(CC_APPLICABLE,tblThreatControls[[#This Row],[Source row]])&amp;"","NOT FOUND"))</calculatedColumnFormula>
    </tableColumn>
    <tableColumn id="7" name="Coverage status">
      <calculatedColumnFormula>IF(tblThreatControls[[#This Row],[Control applicable]]&lt;&gt;"Applicable","N/A",IF(tblThreatControls[[#This Row],[Raw coverage]]="","Not assessed",tblThreatControls[[#This Row],[Raw coverage]]))</calculatedColumnFormula>
    </tableColumn>
    <tableColumn id="8" name="Effective owner">
      <calculatedColumnFormula>IF(tblThreatControls[[#This Row],[Raw owner]]="",tblThreatControls[[#This Row],[Default owner]],tblThreatControls[[#This Row],[Raw owner]])</calculatedColumnFormula>
    </tableColumn>
    <tableColumn id="9" name="Threat applies">
      <calculatedColumnFormula>IFERROR(INDEX(tblThreats[Applies],MATCH(tblThreatControls[[#This Row],[Threat ID]],tblThreats[Threat ID],0)),"NOT FOUND")</calculatedColumnFormula>
    </tableColumn>
    <tableColumn id="10" name="Threat risk">
      <calculatedColumnFormula>IFERROR(INDEX(tblThreats[Risk],MATCH(tblThreatControls[[#This Row],[Threat ID]],tblThreats[Threat ID],0)),"")</calculatedColumnFormula>
    </tableColumn>
    <tableColumn id="11" name="Threat risk score">
      <calculatedColumnFormula>IF(tblThreatControls[[#This Row],[Threat applies]]="Applies",IFERROR(INDEX(tblThreats[Risk score],MATCH(tblThreatControls[[#This Row],[Threat ID]],tblThreats[Threat ID],0)),0),0)</calculatedColumnFormula>
    </tableColumn>
    <tableColumn id="12" name="Warning">
      <calculatedColumnFormula>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calculatedColumnFormula>
    </tableColumn>
    <tableColumn id="13" name="Source row">
      <calculatedColumnFormula>IF(tblThreatControls[[#This Row],[Control source]]="Baseline",MATCH(tblThreatControls[[#This Row],[Control ID]],BL_IDS,0),IF(tblThreatControls[[#This Row],[Control source]]="Custom",MATCH(tblThreatControls[[#This Row],[Control ID]],CC_IDS,0),0))</calculatedColumnFormula>
    </tableColumn>
    <tableColumn id="14" name="Raw coverage">
      <calculatedColumnFormula>IF(tblThreatControls[[#This Row],[Control source]]="Baseline",INDEX(BL_COVERAGE,tblThreatControls[[#This Row],[Source row]])&amp;"",IF(tblThreatControls[[#This Row],[Control source]]="Custom",INDEX(CC_COVERAGE,tblThreatControls[[#This Row],[Source row]])&amp;"",""))</calculatedColumnFormula>
    </tableColumn>
    <tableColumn id="15" name="Raw level">
      <calculatedColumnFormula>IF(tblThreatControls[[#This Row],[Control source]]="Baseline",INDEX(BL_LEVEL,tblThreatControls[[#This Row],[Source row]]),IF(tblThreatControls[[#This Row],[Control source]]="Custom",INDEX(CC_LEVEL,tblThreatControls[[#This Row],[Source row]]),0))</calculatedColumnFormula>
    </tableColumn>
    <tableColumn id="16" name="Raw owner">
      <calculatedColumnFormula>IF(tblThreatControls[[#This Row],[Control source]]="Baseline",INDEX(BL_OWNER,tblThreatControls[[#This Row],[Source row]])&amp;"",IF(tblThreatControls[[#This Row],[Control source]]="Custom",INDEX(CC_OWNER,tblThreatControls[[#This Row],[Source row]])&amp;"",""))</calculatedColumnFormula>
    </tableColumn>
  </tableColumns>
  <tableStyleInfo name="TableStyleLight1" showRowStripes="1"/>
</table>
</file>

<file path=xl/tables/table3.xml><?xml version="1.0" encoding="utf-8"?>
<table xmlns="http://schemas.openxmlformats.org/spreadsheetml/2006/main" id="3" name="tblDetections" displayName="tblDetections" ref="A4:N14" headerRowCount="1">
  <tableColumns count="14">
    <tableColumn id="1" name="Detection ID"/>
    <tableColumn id="2" name="Title"/>
    <tableColumn id="3" name="What it detects"/>
    <tableColumn id="4" name="Sigma rule"/>
    <tableColumn id="5" name="Required log sources"/>
    <tableColumn id="6" name="Missing log sources">
      <calculatedColumnFormula>_xlfn.TEXTJOIN("; ",TRUE,_xlfn._xlws.FILTER(tblLogSources[Log source ID],ISNUMBER(SEARCH(";"&amp;tblLogSources[Log source ID]&amp;";",";"&amp;SUBSTITUTE(tblDetections[[#This Row],[Required log sources]]," ","")&amp;";"))*(tblLogSources[Available]&lt;&gt;"Yes"),""))</calculatedColumnFormula>
    </tableColumn>
    <tableColumn id="7" name="Linked threats">
      <calculatedColumnFormula>_xlfn.TEXTJOIN("; ",TRUE,_xlfn._xlws.FILTER(tblThreatDetections[Threat ID],(tblThreatDetections[Detection ID]=tblDetections[[#This Row],[Detection ID]])*(tblThreatDetections[Threat applies]="Applies"),""))</calculatedColumnFormula>
    </tableColumn>
    <tableColumn id="8" name="Relevant">
      <calculatedColumnFormula>IF(COUNTIFS(tblThreatDetections[Detection ID],tblDetections[[#This Row],[Detection ID]],tblThreatDetections[Threat applies],"Applies",tblThreatDetections[Threat mitigation],"&lt;&gt;Mitigated")&gt;0,"Yes","No")</calculatedColumnFormula>
    </tableColumn>
    <tableColumn id="9" name="Highest threat risk">
      <calculatedColumnFormula>IF(tblDetections[[#This Row],[Risk score]]=0,"",INDEX(RISK_SCALE_NAMES,tblDetections[[#This Row],[Risk score]]))</calculatedColumnFormula>
    </tableColumn>
    <tableColumn id="10" name="Risk score">
      <calculatedColumnFormula>_xlfn.MAXIFS(tblThreatDetections[Threat risk score],tblThreatDetections[Detection ID],tblDetections[[#This Row],[Detection ID]])</calculatedColumnFormula>
    </tableColumn>
    <tableColumn id="11" name="Deployment status"/>
    <tableColumn id="12" name="Log sources known">
      <calculatedColumnFormula>IF(SUMPRODUCT(--ISNUMBER(SEARCH(";"&amp;tblLogSources[Log source ID]&amp;";",";"&amp;SUBSTITUTE(tblDetections[[#This Row],[Required log sources]]," ","")&amp;";")))=LEN(SUBSTITUTE(tblDetections[[#This Row],[Required log sources]]," ",""))-LEN(SUBSTITUTE(SUBSTITUTE(tblDetections[[#This Row],[Required log sources]]," ",""),";",""))+1,"Yes","No")</calculatedColumnFormula>
    </tableColumn>
    <tableColumn id="13" name="Review status"/>
    <tableColumn id="14" name="Notes"/>
  </tableColumns>
  <tableStyleInfo name="TableStyleLight1" showRowStripes="1"/>
</table>
</file>

<file path=xl/tables/table4.xml><?xml version="1.0" encoding="utf-8"?>
<table xmlns="http://schemas.openxmlformats.org/spreadsheetml/2006/main" id="4" name="tblThreatDetections" displayName="tblThreatDetections" ref="A4:G22" headerRowCount="1">
  <tableColumns count="7">
    <tableColumn id="1" name="Threat ID"/>
    <tableColumn id="2" name="Detection ID"/>
    <tableColumn id="3" name="Threat applies">
      <calculatedColumnFormula>IFERROR(INDEX(tblThreats[Applies],MATCH(tblThreatDetections[[#This Row],[Threat ID]],tblThreats[Threat ID],0)),"NOT FOUND")</calculatedColumnFormula>
    </tableColumn>
    <tableColumn id="4" name="Threat risk">
      <calculatedColumnFormula>IFERROR(INDEX(tblThreats[Risk],MATCH(tblThreatDetections[[#This Row],[Threat ID]],tblThreats[Threat ID],0)),"")</calculatedColumnFormula>
    </tableColumn>
    <tableColumn id="5" name="Threat risk score">
      <calculatedColumnFormula>IF(tblThreatDetections[[#This Row],[Threat applies]]="Applies",IFERROR(INDEX(tblThreats[Risk score],MATCH(tblThreatDetections[[#This Row],[Threat ID]],tblThreats[Threat ID],0)),0),0)</calculatedColumnFormula>
    </tableColumn>
    <tableColumn id="6" name="Threat mitigation">
      <calculatedColumnFormula>IFERROR(INDEX(tblThreats[Mitigation status],MATCH(tblThreatDetections[[#This Row],[Threat ID]],tblThreats[Threat ID],0)),"")</calculatedColumnFormula>
    </tableColumn>
    <tableColumn id="7" name="Detection found">
      <calculatedColumnFormula>IF(COUNTIF(tblDetections[Detection ID],tblThreatDetections[[#This Row],[Detection ID]])&gt;0,"Yes","No")</calculatedColumnFormula>
    </tableColumn>
  </tableColumns>
  <tableStyleInfo name="TableStyleLight1" showRowStripes="1"/>
</table>
</file>

<file path=xl/tables/table5.xml><?xml version="1.0" encoding="utf-8"?>
<table xmlns="http://schemas.openxmlformats.org/spreadsheetml/2006/main" id="5" name="tblLogSources" displayName="tblLogSources" ref="A4:H10" headerRowCount="1">
  <tableColumns count="8">
    <tableColumn id="1" name="Log source ID"/>
    <tableColumn id="2" name="Name"/>
    <tableColumn id="3" name="Description"/>
    <tableColumn id="4" name="Availability condition"/>
    <tableColumn id="5" name="Available"/>
    <tableColumn id="6" name="Needed by detections">
      <calculatedColumnFormula>_xlfn.TEXTJOIN("; ",TRUE,_xlfn._xlws.FILTER(tblDetections[Detection ID],(tblDetections[Relevant]="Yes")*ISNUMBER(SEARCH(";"&amp;tblLogSources[[#This Row],[Log source ID]]&amp;";",";"&amp;SUBSTITUTE(tblDetections[Required log sources]," ","")&amp;";")),""))</calculatedColumnFormula>
    </tableColumn>
    <tableColumn id="7" name="Risk score">
      <calculatedColumnFormula>MAX(_xlfn._xlws.FILTER(tblDetections[Risk score],(tblDetections[Relevant]="Yes")*ISNUMBER(SEARCH(";"&amp;tblLogSources[[#This Row],[Log source ID]]&amp;";",";"&amp;SUBSTITUTE(tblDetections[Required log sources]," ","")&amp;";")),0))</calculatedColumnFormula>
    </tableColumn>
    <tableColumn id="8" name="Highest threat risk">
      <calculatedColumnFormula>IF(tblLogSources[[#This Row],[Risk score]]=0,"",INDEX(RISK_SCALE_NAMES,tblLogSources[[#This Row],[Risk score]]))</calculatedColumnFormula>
    </tableColumn>
  </tableColumns>
  <tableStyleInfo name="TableStyleLight1" showRowStripes="1"/>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table" Target="/xl/tables/table1.xml" Id="rId1" /></Relationships>
</file>

<file path=xl/worksheets/_rels/sheet12.xml.rels><Relationships xmlns="http://schemas.openxmlformats.org/package/2006/relationships"><Relationship Type="http://schemas.openxmlformats.org/officeDocument/2006/relationships/table" Target="/xl/tables/table2.xml" Id="rId1" /></Relationships>
</file>

<file path=xl/worksheets/_rels/sheet13.xml.rels><Relationships xmlns="http://schemas.openxmlformats.org/package/2006/relationships"><Relationship Type="http://schemas.openxmlformats.org/officeDocument/2006/relationships/hyperlink" Target="https://github.com/Zzanoni/app-hardening-baseline/blob/main/detections/sigma/det-auth-001-login-failure-spike.yml" TargetMode="External" Id="rId1" /><Relationship Type="http://schemas.openxmlformats.org/officeDocument/2006/relationships/hyperlink" Target="https://github.com/Zzanoni/app-hardening-baseline/blob/main/detections/sigma/det-auth-002-default-account-login.yml" TargetMode="External" Id="rId2" /><Relationship Type="http://schemas.openxmlformats.org/officeDocument/2006/relationships/hyperlink" Target="https://github.com/Zzanoni/app-hardening-baseline/blob/main/detections/sigma/det-admin-001-admin-access-unusual-source.yml" TargetMode="External" Id="rId3" /><Relationship Type="http://schemas.openxmlformats.org/officeDocument/2006/relationships/hyperlink" Target="https://github.com/Zzanoni/app-hardening-baseline/blob/main/detections/sigma/det-admin-002-config-change.yml" TargetMode="External" Id="rId4" /><Relationship Type="http://schemas.openxmlformats.org/officeDocument/2006/relationships/hyperlink" Target="https://github.com/Zzanoni/app-hardening-baseline/blob/main/detections/sigma/det-vendor-001-vendor-session-outside-window.yml" TargetMode="External" Id="rId5" /><Relationship Type="http://schemas.openxmlformats.org/officeDocument/2006/relationships/hyperlink" Target="https://github.com/Zzanoni/app-hardening-baseline/blob/main/detections/sigma/det-net-001-unexpected-outbound.yml" TargetMode="External" Id="rId6" /><Relationship Type="http://schemas.openxmlformats.org/officeDocument/2006/relationships/hyperlink" Target="https://github.com/Zzanoni/app-hardening-baseline/blob/main/detections/sigma/det-host-001-new-process.yml" TargetMode="External" Id="rId7" /><Relationship Type="http://schemas.openxmlformats.org/officeDocument/2006/relationships/hyperlink" Target="https://github.com/Zzanoni/app-hardening-baseline/blob/main/detections/sigma/det-host-002-binary-integrity-change.yml" TargetMode="External" Id="rId8" /><Relationship Type="http://schemas.openxmlformats.org/officeDocument/2006/relationships/hyperlink" Target="https://github.com/Zzanoni/app-hardening-baseline/blob/main/detections/sigma/det-waf-001-error-spike.yml" TargetMode="External" Id="rId9" /><Relationship Type="http://schemas.openxmlformats.org/officeDocument/2006/relationships/hyperlink" Target="https://github.com/Zzanoni/app-hardening-baseline/blob/main/detections/sigma/det-app-001-mass-object-access.yml" TargetMode="External" Id="rId10" /><Relationship Type="http://schemas.openxmlformats.org/officeDocument/2006/relationships/table" Target="/xl/tables/table3.xml" Id="rId11" /></Relationships>
</file>

<file path=xl/worksheets/_rels/sheet14.xml.rels><Relationships xmlns="http://schemas.openxmlformats.org/package/2006/relationships"><Relationship Type="http://schemas.openxmlformats.org/officeDocument/2006/relationships/table" Target="/xl/tables/table4.xml" Id="rId1" /></Relationships>
</file>

<file path=xl/worksheets/_rels/sheet1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filterMode="0">
    <outlinePr summaryBelow="1" summaryRight="1"/>
    <pageSetUpPr fitToPage="0"/>
  </sheetPr>
  <dimension ref="A1:A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18" min="1" max="1"/>
  </cols>
  <sheetData>
    <row r="1" ht="27.75" customHeight="1" s="19">
      <c r="A1" s="51" t="inlineStr">
        <is>
          <t>Application Hardening Baseline + Threat Modeling — User Guide</t>
        </is>
      </c>
    </row>
    <row r="2" ht="34" customHeight="1" s="19">
      <c r="A2" s="52" t="inlineStr">
        <is>
          <t>Template v4.0.0 (OWASP ASVS 5.0.0) — Excel for Microsoft 365. No macros, no scripts: everything is calculated by formulas in this file.</t>
        </is>
      </c>
    </row>
    <row r="3" ht="20" customHeight="1" s="19">
      <c r="A3" s="62" cm="1">
        <f t="array" ref="A3">"Template self-check — catalog health: "&amp;CATALOG_HEALTH&amp;IF(CATALOG_HEALTH="OK",""," (see the Catalog Health sheet)")</f>
        <v/>
      </c>
    </row>
    <row r="4"/>
    <row r="5" ht="18" customHeight="1" s="19">
      <c r="A5" s="53" t="inlineStr">
        <is>
          <t>What this file is</t>
        </is>
      </c>
    </row>
    <row r="6" ht="76" customHeight="1" s="19">
      <c r="A6" s="52" t="inlineStr">
        <is>
          <t>One workbook per application covers both the hardening baseline and the threat model. The hardening checklist ('Hardening Baseline') is 59 consolidated controls that together cover the OWASP ASVS 5.0.0 requirement set (345 requirements; every requirement is traced to the control that covers it, or recorded as excluded with a reason), plus the organization's own Custom Controls; it filters itself to what applies to the application and ranks each item by criticality. The threat model is computed from the same answers: which threats apply, how risky they are, which controls mitigate them, which detections the SOC should deploy and which log sources they need.</t>
        </is>
      </c>
    </row>
    <row r="7" ht="20" customHeight="1" s="19">
      <c r="A7" s="52" t="inlineStr">
        <is>
          <t>Source — OWASP Application Security Verification Standard (ASVS) v5.0.0 — https://github.com/OWASP/ASVS</t>
        </is>
      </c>
    </row>
    <row r="8" ht="18" customHeight="1" s="19">
      <c r="A8" s="53" t="inlineStr">
        <is>
          <t>How to use it for one application</t>
        </is>
      </c>
    </row>
    <row r="9" ht="20" customHeight="1" s="19">
      <c r="A9" s="52" t="inlineStr">
        <is>
          <t>Step 1 — Make a copy of this file named after the application (e.g., Hardening_AppX.xlsx).</t>
        </is>
      </c>
    </row>
    <row r="10" ht="34" customHeight="1" s="19">
      <c r="A10" s="52" t="inlineStr">
        <is>
          <t>Step 2 — Answer the yellow cells of 'Characterization Form' (target ASVS level, API, sessions, data sensitivity, exposure, business impact, ...). Use only the dropdown values.</t>
        </is>
      </c>
    </row>
    <row r="11" ht="48" customHeight="1" s="19">
      <c r="A11" s="52" t="inlineStr">
        <is>
          <t>Step 3 — Answer the yellow cells of 'Extended Characterization' whose row is 'Applicable' (greyed-out rows don't apply given earlier answers). Column I (Status) must show no 'Missing'. 'Don't know' is allowed; on a mandatory question it shows 'Review'. The 'Archetypes' sheet describes each architecture pattern.</t>
        </is>
      </c>
    </row>
    <row r="12" ht="34" customHeight="1" s="19">
      <c r="A12" s="52" t="inlineStr">
        <is>
          <t>Step 4 — Check the result block at the bottom of 'Extended Characterization': if NEEDS_SECURITY_REVIEW is Yes (reasons listed below it), involve the Security team — the automatic threat model can't judge this application alone.</t>
        </is>
      </c>
    </row>
    <row r="13" ht="48" customHeight="1" s="19">
      <c r="A13" s="52" t="inlineStr">
        <is>
          <t>Step 5 — Open 'Threat Model' and 'Controls to Verify'. They are always up to date — there is nothing to run. Right after the characterization (about 20-30 minutes), the threat model already lists the applicable threats (mode 'Characterization-only') and 'Controls to Verify' lists the checklist rows to assess first.</t>
        </is>
      </c>
    </row>
    <row r="14" ht="62" customHeight="1" s="19">
      <c r="A14" s="52" t="inlineStr">
        <is>
          <t>Step 6 — Assess the controls. In 'Hardening Baseline' and 'Custom Controls', filter column H to 'Applicable' and fill in column L (Coverage Status), M (Tool / Evidence) and N (Notes). In 'Hardening Baseline', column F lists the ASVS requirements the control must meet for this application. Start with the rows marked 'Verify first?' = Yes (column T), then go through the remaining applicable rows. As soon as a linked control is assessed, the threat model switches to mode 'Full' and shows each threat's mitigation status.</t>
        </is>
      </c>
    </row>
    <row r="15" ht="48" customHeight="1" s="19">
      <c r="A15" s="52" t="inlineStr">
        <is>
          <t>Step 7 — For every row marked 'Partial coverage' or 'Gap', fill in column Q (Remediation Owner): Internal dev, Configuration, Vendor, Compensating (fixed outside the product: WAF, segmentation, PAM) or Risk acceptance. For vendor (COTS) products, most application-level gaps are Vendor or Configuration.</t>
        </is>
      </c>
    </row>
    <row r="16" ht="34" customHeight="1" s="19">
      <c r="A16" s="52" t="inlineStr">
        <is>
          <t>Step 8 — Open 'Backlog' (controls to fix, in priority order, and log sources to enable) and 'Detection Plan' (detections for the SOC). Record each detection's deployment status in the 'Deployment status' column of the 'Detections' sheet.</t>
        </is>
      </c>
    </row>
    <row r="17" ht="34" customHeight="1" s="19">
      <c r="A17" s="52" t="inlineStr">
        <is>
          <t>Step 9 — Publish the result on the application's Confluence page (see docs/confluence-page-template.md): characterization, checklist, Threat Model, Detection Plan and Backlog.</t>
        </is>
      </c>
    </row>
    <row r="18"/>
    <row r="19" ht="18" customHeight="1" s="19">
      <c r="A19" s="53" t="inlineStr">
        <is>
          <t>Reading the results</t>
        </is>
      </c>
    </row>
    <row r="20" ht="34" customHeight="1" s="19">
      <c r="A20" s="52" t="inlineStr">
        <is>
          <t>Criticality (Hardening Baseline / Custom Controls, column P) — how urgent a checklist item is for this application: the control's inherent impact (column O) crossed with the application's Risk Tier.</t>
        </is>
      </c>
    </row>
    <row r="21" ht="34" customHeight="1" s="19">
      <c r="A21" s="52" t="inlineStr">
        <is>
          <t>Threat priority (column S) — the highest risk among the applicable threats a control mitigates. Backlog priority (column U) — for gaps, the higher of Criticality and Threat priority.</t>
        </is>
      </c>
    </row>
    <row r="22" ht="34" customHeight="1" s="19">
      <c r="A22" s="52" t="inlineStr">
        <is>
          <t>Mitigation status (Threat Model) — Mitigated (all applicable linked controls fully covered), Partially mitigated, Unmitigated, Not verified (linked controls not assessed yet), No applicable controls, No controls mapped.</t>
        </is>
      </c>
    </row>
    <row r="23" ht="48" customHeight="1" s="19">
      <c r="A23" s="52" t="inlineStr">
        <is>
          <t>Controls marked 'N/A' need no status — they stay on record as 'considered and excluded by criterion', which is itself audit evidence. Applicability comes from the control's ASVS requirements (ASVS chapter + target level); a control that doesn't really apply can be set to 'N/A' manually in column L with a justification in column N. 'ASVS Checklist' is the traceability view: for each ASVS requirement, the baseline control that covers it and its Coverage Status.</t>
        </is>
      </c>
    </row>
    <row r="24" ht="18" customHeight="1" s="19">
      <c r="A24" s="53" t="inlineStr">
        <is>
          <t>Sheets and colors</t>
        </is>
      </c>
    </row>
    <row r="25" ht="48" customHeight="1" s="19">
      <c r="A25" s="52" t="inlineStr">
        <is>
          <t>Yellow cells — input. Grey cells — calculated, do not edit. Blue tabs — views (Threat Model, Controls to Verify, Backlog, Detection Plan, Catalog Health): formulas only. Purple tabs — central catalog (Threat Library, Threat-Control Map, Detections, Threat-Detection Map, Log Sources, TM Config): protected without password, maintained centrally.</t>
        </is>
      </c>
    </row>
    <row r="26" ht="34" customHeight="1" s="19">
      <c r="A26" s="52" t="inlineStr">
        <is>
          <t>Catalog sheets are maintained centrally, in the master template only — do not edit them in an application copy. The one exception is the 'Deployment status' column on 'Detections', which is per application.</t>
        </is>
      </c>
    </row>
    <row r="27" ht="34" customHeight="1" s="19">
      <c r="A27" s="52" t="inlineStr">
        <is>
          <t>Red / Yellow / Green (column L) — Gap, Partial coverage, Full coverage. Red / Orange / Yellow (Criticality, Threat priority, Risk) — Critical, High, Medium.</t>
        </is>
      </c>
    </row>
    <row r="28" ht="18" customHeight="1" s="19">
      <c r="A28" s="53" t="inlineStr">
        <is>
          <t>Maintaining the master template</t>
        </is>
      </c>
    </row>
    <row r="29" ht="76" customHeight="1" s="19">
      <c r="A29" s="52" t="inlineStr">
        <is>
          <t>Everything is maintained directly in Excel — see docs/threat-modeling-method.md (maintainer guide) and docs/workbook-structure.md. Never rename sheets, keys, named ranges, table names or column headers. After any change, 'Catalog Health' must show OK; bump TEMPLATE_VERSION (hidden _meta sheet) and add a CHANGELOG entry. Hardening Baseline IDs: HB-&lt;AREA&gt;-NN; every ASVS requirement must point to one of them (column I of 'ASVS Checklist') or be 'Excluded' with a rationale. Custom Controls IDs: CUSTOM-NN for organization rules, TMX-&lt;AREA&gt;-NNN for controls that come from threat modeling. ASVS Checklist columns A–G stay a verbatim copy of ASVS: never add rows to it.</t>
        </is>
      </c>
    </row>
  </sheetData>
  <conditionalFormatting sqref="A3">
    <cfRule type="expression" priority="1" dxfId="9">
      <formula>CATALOG_HEALTH&lt;&gt;"OK"</formula>
    </cfRule>
    <cfRule type="expression" priority="2" dxfId="13">
      <formula>CATALOG_HEALTH="OK"</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8" min="1" max="1"/>
    <col width="50" customWidth="1" style="18" min="2" max="2"/>
    <col width="26" customWidth="1" style="18" min="3" max="3"/>
    <col width="16" customWidth="1" style="18" min="4" max="4"/>
    <col width="50" customWidth="1" style="18" min="5" max="5"/>
  </cols>
  <sheetData>
    <row r="1" ht="25.5" customHeight="1" s="19">
      <c r="A1" s="20" t="inlineStr">
        <is>
          <t>Application Characterization Form</t>
        </is>
      </c>
    </row>
    <row r="2" ht="36" customHeight="1" s="19">
      <c r="A2" s="23" t="inlineStr">
        <is>
          <t>Fill in the 'Answer' column (yellow) for the application under assessment. Use only the dropdown options for each row — the closed vocabulary is what drives the automatic filtering of the 'ASVS Checklist' and 'Hardening Baseline' sheets. Applicability is scored per ASVS chapter (17 chapters), so each answer here gates one or more whole chapters.</t>
        </is>
      </c>
    </row>
    <row r="3"/>
    <row r="4" ht="21.75" customHeight="1" s="19">
      <c r="A4" s="24" t="inlineStr">
        <is>
          <t>Key (internal use)</t>
        </is>
      </c>
      <c r="B4" s="24" t="inlineStr">
        <is>
          <t>Question</t>
        </is>
      </c>
      <c r="C4" s="24" t="inlineStr">
        <is>
          <t>Possible options</t>
        </is>
      </c>
      <c r="D4" s="24" t="inlineStr">
        <is>
          <t>Answer</t>
        </is>
      </c>
      <c r="E4" s="24" t="inlineStr">
        <is>
          <t>Notes / Help</t>
        </is>
      </c>
    </row>
    <row r="5" ht="45.75" customHeight="1" s="19">
      <c r="A5" s="29" t="inlineStr">
        <is>
          <t>APP_NAME</t>
        </is>
      </c>
      <c r="B5" s="30" t="inlineStr">
        <is>
          <t>Application name</t>
        </is>
      </c>
      <c r="C5" s="30" t="inlineStr">
        <is>
          <t>—</t>
        </is>
      </c>
      <c r="D5" s="31" t="n"/>
      <c r="E5" s="32" t="inlineStr">
        <is>
          <t>Free text — identifies the application being assessed.</t>
        </is>
      </c>
    </row>
    <row r="6" ht="45.75" customHeight="1" s="19">
      <c r="A6" s="29" t="inlineStr">
        <is>
          <t>TARGET_LEVEL</t>
        </is>
      </c>
      <c r="B6" s="30" t="inlineStr">
        <is>
          <t>Target ASVS verification level for this application</t>
        </is>
      </c>
      <c r="C6" s="30" t="inlineStr">
        <is>
          <t>L1, L2, L3</t>
        </is>
      </c>
      <c r="D6" s="31" t="n"/>
      <c r="E6" s="32" t="inlineStr">
        <is>
          <t>L1 = baseline, automatable, applies to every application. L2 = standard for applications handling sensitive data (recommended corporate default). L3 = high-assurance applications (financial, health, critical infrastructure). This gates which requirement LEVELS are in scope, in addition to chapter gating.</t>
        </is>
      </c>
    </row>
    <row r="7" ht="45.75" customHeight="1" s="19">
      <c r="A7" s="29" t="inlineStr">
        <is>
          <t>API_EXPOSED</t>
        </is>
      </c>
      <c r="B7" s="30" t="inlineStr">
        <is>
          <t>Does the application expose an API (REST/GraphQL/WebSocket/RPC) for external or service-to-service consumption?</t>
        </is>
      </c>
      <c r="C7" s="30" t="inlineStr">
        <is>
          <t>Yes, No</t>
        </is>
      </c>
      <c r="D7" s="31" t="n"/>
      <c r="E7" s="32" t="inlineStr">
        <is>
          <t>Gates ASVS Chapter V4 (API and Web Service). Includes internal APIs consumed by other teams/services.</t>
        </is>
      </c>
    </row>
    <row r="8" ht="45.75" customHeight="1" s="19">
      <c r="A8" s="29" t="inlineStr">
        <is>
          <t>SPA_FRONTEND</t>
        </is>
      </c>
      <c r="B8" s="30" t="inlineStr">
        <is>
          <t>Does the application have a client-side front end (SPA) that executes logic in the user's browser?</t>
        </is>
      </c>
      <c r="C8" s="30" t="inlineStr">
        <is>
          <t>Yes, No</t>
        </is>
      </c>
      <c r="D8" s="31" t="n"/>
      <c r="E8" s="32" t="inlineStr">
        <is>
          <t>Gates ASVS Chapter V3 (Web Frontend Security). Distinct from pure server-side rendering.</t>
        </is>
      </c>
    </row>
    <row r="9" ht="45.75" customHeight="1" s="19">
      <c r="A9" s="29" t="inlineStr">
        <is>
          <t>SESSION_STATEFUL</t>
        </is>
      </c>
      <c r="B9" s="30" t="inlineStr">
        <is>
          <t>Does the application maintain server-side stateful sessions (session ID + store)?</t>
        </is>
      </c>
      <c r="C9" s="30" t="inlineStr">
        <is>
          <t>Yes, No</t>
        </is>
      </c>
      <c r="D9" s="31" t="n"/>
      <c r="E9" s="32" t="inlineStr">
        <is>
          <t>Gates ASVS Chapter V7 (Session Management) when 'Yes', and Chapter V9 (Self-contained Tokens) when 'No' (i.e., a stateless/JWT-only model).</t>
        </is>
      </c>
    </row>
    <row r="10" ht="45.75" customHeight="1" s="19">
      <c r="A10" s="29" t="inlineStr">
        <is>
          <t>FILE_HANDLING</t>
        </is>
      </c>
      <c r="B10" s="30" t="inlineStr">
        <is>
          <t>Does the application handle file upload, storage, or download of user-provided files?</t>
        </is>
      </c>
      <c r="C10" s="30" t="inlineStr">
        <is>
          <t>Yes, No</t>
        </is>
      </c>
      <c r="D10" s="31" t="n"/>
      <c r="E10" s="32" t="inlineStr">
        <is>
          <t>Gates ASVS Chapter V5 (File Handling).</t>
        </is>
      </c>
    </row>
    <row r="11" ht="45.75" customHeight="1" s="19">
      <c r="A11" s="29" t="inlineStr">
        <is>
          <t>OAUTH_OIDC_USED</t>
        </is>
      </c>
      <c r="B11" s="30" t="inlineStr">
        <is>
          <t>Does the application use OAuth 2.0 or OpenID Connect, in any role (client, authorization server, resource server, or OpenID Provider)?</t>
        </is>
      </c>
      <c r="C11" s="30" t="inlineStr">
        <is>
          <t>Yes, No</t>
        </is>
      </c>
      <c r="D11" s="31" t="n"/>
      <c r="E11" s="32" t="inlineStr">
        <is>
          <t>Gates ASVS Chapter V10 (OAuth and OIDC). Enterprise SSO via OIDC/SAML counts as 'Yes'.</t>
        </is>
      </c>
    </row>
    <row r="12" ht="45.75" customHeight="1" s="19">
      <c r="A12" s="29" t="inlineStr">
        <is>
          <t>DATA_SENSITIVITY</t>
        </is>
      </c>
      <c r="B12" s="30" t="inlineStr">
        <is>
          <t>Data classification the application stores or processes</t>
        </is>
      </c>
      <c r="C12" s="30" t="inlineStr">
        <is>
          <t>None, Internal, Confidential, Regulated</t>
        </is>
      </c>
      <c r="D12" s="31" t="n"/>
      <c r="E12" s="32" t="inlineStr">
        <is>
          <t>Gates ASVS Chapter V14 (Data Protection) when 'Confidential' or 'Regulated'. Regulated = PII, PCI, PHI, financial, or other regulated data. Also feeds the Application Risk Tier used to compute per-item Criticality (see rows 17-22 and the Criticality Matrix below).</t>
        </is>
      </c>
    </row>
    <row r="13" ht="45.75" customHeight="1" s="19">
      <c r="A13" s="29" t="inlineStr">
        <is>
          <t>WEBRTC_USED</t>
        </is>
      </c>
      <c r="B13" s="30" t="inlineStr">
        <is>
          <t>Does the application use WebRTC (real-time audio/video/data channels)?</t>
        </is>
      </c>
      <c r="C13" s="30" t="inlineStr">
        <is>
          <t>Yes, No</t>
        </is>
      </c>
      <c r="D13" s="31" t="n"/>
      <c r="E13" s="32" t="inlineStr">
        <is>
          <t>Gates ASVS Chapter V17 (WebRTC).</t>
        </is>
      </c>
    </row>
    <row r="14" ht="45.75" customHeight="1" s="19">
      <c r="A14" s="29" t="inlineStr">
        <is>
          <t>EXPOSURE</t>
        </is>
      </c>
      <c r="B14" s="30" t="inlineStr">
        <is>
          <t>Network exposure of the application</t>
        </is>
      </c>
      <c r="C14" s="30" t="inlineStr">
        <is>
          <t>Internal only, Partner/B2B network, Public internet</t>
        </is>
      </c>
      <c r="D14" s="31" t="n"/>
      <c r="E14" s="32" t="inlineStr">
        <is>
          <t>Informational for risk tiering only (does not gate any ASVS chapter). Public internet = reachable by unauthenticated external users. Partner/B2B = reachable only by authenticated external organizations/services. Internal only = reachable solely from the corporate network.</t>
        </is>
      </c>
    </row>
    <row r="15" ht="45.75" customHeight="1" s="19">
      <c r="A15" s="29" t="inlineStr">
        <is>
          <t>BUSINESS_IMPACT</t>
        </is>
      </c>
      <c r="B15" s="30" t="inlineStr">
        <is>
          <t>Business impact if this application is breached or made unavailable</t>
        </is>
      </c>
      <c r="C15" s="30" t="inlineStr">
        <is>
          <t>Low, Medium, High, Critical</t>
        </is>
      </c>
      <c r="D15" s="31" t="n"/>
      <c r="E15" s="32" t="inlineStr">
        <is>
          <t>Informational for risk tiering only (does not gate any ASVS chapter). Consider revenue impact, safety impact, regulatory/legal penalty exposure, and reputational impact. When in doubt, use the company's existing business-impact or data-classification tier for this application if one already exists.</t>
        </is>
      </c>
    </row>
    <row r="16" ht="15" customHeight="1" s="19"/>
    <row r="17" ht="45.75" customHeight="1" s="19">
      <c r="A17" s="29" t="inlineStr">
        <is>
          <t>TARGET_LEVEL_NUM</t>
        </is>
      </c>
      <c r="B17" s="30" t="inlineStr">
        <is>
          <t>Computed numeric value of the target level above (do not edit).</t>
        </is>
      </c>
      <c r="C17" s="30" t="n"/>
      <c r="D17" s="33">
        <f>IF(D6="L1",1,IF(D6="L2",2,IF(D6="L3",3,0)))</f>
        <v/>
      </c>
      <c r="E17" s="32" t="n"/>
    </row>
    <row r="18" ht="45.75" customHeight="1" s="19">
      <c r="A18" s="29" t="inlineStr">
        <is>
          <t>DATA_SENSITIVITY_SCORE</t>
        </is>
      </c>
      <c r="B18" s="30" t="inlineStr">
        <is>
          <t>Computed numeric score for Data Sensitivity (do not edit).</t>
        </is>
      </c>
      <c r="C18" s="30" t="n"/>
      <c r="D18" s="33">
        <f>IF(D12="None",0,IF(D12="Internal",1,IF(D12="Confidential",2,IF(D12="Regulated",3,0))))</f>
        <v/>
      </c>
      <c r="E18" s="32" t="n"/>
    </row>
    <row r="19" ht="45.75" customHeight="1" s="19">
      <c r="A19" s="29" t="inlineStr">
        <is>
          <t>EXPOSURE_SCORE</t>
        </is>
      </c>
      <c r="B19" s="30" t="inlineStr">
        <is>
          <t>Computed numeric score for network Exposure (do not edit).</t>
        </is>
      </c>
      <c r="C19" s="30" t="n"/>
      <c r="D19" s="33">
        <f>IF(D14="Internal only",0,IF(D14="Partner/B2B network",1,IF(D14="Public internet",2,0)))</f>
        <v/>
      </c>
      <c r="E19" s="32" t="n"/>
    </row>
    <row r="20" ht="45.75" customHeight="1" s="19">
      <c r="A20" s="29" t="inlineStr">
        <is>
          <t>BUSINESS_IMPACT_SCORE</t>
        </is>
      </c>
      <c r="B20" s="30" t="inlineStr">
        <is>
          <t>Computed numeric score for Business Impact (do not edit).</t>
        </is>
      </c>
      <c r="C20" s="30" t="n"/>
      <c r="D20" s="33">
        <f>IF(D15="Low",0,IF(D15="Medium",1,IF(D15="High",2,IF(D15="Critical",3,0))))</f>
        <v/>
      </c>
      <c r="E20" s="32" t="n"/>
    </row>
    <row r="21" ht="45.75" customHeight="1" s="19">
      <c r="A21" s="29" t="inlineStr">
        <is>
          <t>APP_RISK_SCORE</t>
        </is>
      </c>
      <c r="B21" s="30" t="inlineStr">
        <is>
          <t>Computed application risk score = worst of the three factors above (do not edit).</t>
        </is>
      </c>
      <c r="C21" s="30" t="n"/>
      <c r="D21" s="33">
        <f>MAX(D18,D19,D20)</f>
        <v/>
      </c>
      <c r="E21" s="32" t="n"/>
    </row>
    <row r="22" ht="45.75" customHeight="1" s="19">
      <c r="A22" s="29" t="inlineStr">
        <is>
          <t>APP_RISK_TIER</t>
        </is>
      </c>
      <c r="B22" s="30" t="inlineStr">
        <is>
          <t>Computed Application Risk Tier used by the Criticality matrix below (do not edit).</t>
        </is>
      </c>
      <c r="C22" s="30" t="n"/>
      <c r="D22" s="33">
        <f>IF(D21=0,"Low",IF(D21=1,"Medium",IF(D21=2,"High","Critical")))</f>
        <v/>
      </c>
      <c r="E22" s="32" t="n"/>
    </row>
    <row r="23"/>
    <row r="24">
      <c r="A24" s="18" t="inlineStr">
        <is>
          <t>Criticality Matrix (Requirement Impact x Application Risk Tier) - reference table, do not edit</t>
        </is>
      </c>
    </row>
    <row r="25">
      <c r="A25" s="34" t="inlineStr">
        <is>
          <t>Requirement Impact \ App Risk Tier</t>
        </is>
      </c>
      <c r="B25" s="34" t="inlineStr">
        <is>
          <t>Low</t>
        </is>
      </c>
      <c r="C25" s="34" t="inlineStr">
        <is>
          <t>Medium</t>
        </is>
      </c>
      <c r="D25" s="34" t="inlineStr">
        <is>
          <t>High</t>
        </is>
      </c>
      <c r="E25" s="34" t="inlineStr">
        <is>
          <t>Critical</t>
        </is>
      </c>
    </row>
    <row r="26">
      <c r="A26" s="35" t="inlineStr">
        <is>
          <t>High</t>
        </is>
      </c>
      <c r="B26" s="36" t="inlineStr">
        <is>
          <t>Medium</t>
        </is>
      </c>
      <c r="C26" s="36" t="inlineStr">
        <is>
          <t>High</t>
        </is>
      </c>
      <c r="D26" s="36" t="inlineStr">
        <is>
          <t>High</t>
        </is>
      </c>
      <c r="E26" s="36" t="inlineStr">
        <is>
          <t>Critical</t>
        </is>
      </c>
    </row>
    <row r="27">
      <c r="A27" s="35" t="inlineStr">
        <is>
          <t>Medium</t>
        </is>
      </c>
      <c r="B27" s="36" t="inlineStr">
        <is>
          <t>Low</t>
        </is>
      </c>
      <c r="C27" s="36" t="inlineStr">
        <is>
          <t>Medium</t>
        </is>
      </c>
      <c r="D27" s="36" t="inlineStr">
        <is>
          <t>Medium</t>
        </is>
      </c>
      <c r="E27" s="36" t="inlineStr">
        <is>
          <t>High</t>
        </is>
      </c>
    </row>
    <row r="28">
      <c r="A28" s="35" t="inlineStr">
        <is>
          <t>Low</t>
        </is>
      </c>
      <c r="B28" s="36" t="inlineStr">
        <is>
          <t>Low</t>
        </is>
      </c>
      <c r="C28" s="36" t="inlineStr">
        <is>
          <t>Low</t>
        </is>
      </c>
      <c r="D28" s="36" t="inlineStr">
        <is>
          <t>Low</t>
        </is>
      </c>
      <c r="E28" s="36" t="inlineStr">
        <is>
          <t>Medium</t>
        </is>
      </c>
    </row>
  </sheetData>
  <mergeCells count="2">
    <mergeCell ref="A2:E2"/>
    <mergeCell ref="A1:E1"/>
  </mergeCells>
  <dataValidations count="10">
    <dataValidation sqref="D6" showDropDown="0" showInputMessage="0" showErrorMessage="0" allowBlank="1" error="Please select one of the listed options." prompt="Choose an option." type="list" errorStyle="stop" operator="between">
      <formula1>"L1,L2,L3"</formula1>
      <formula2>0</formula2>
    </dataValidation>
    <dataValidation sqref="D7" showDropDown="0" showInputMessage="0" showErrorMessage="0" allowBlank="1" error="Please select one of the listed options." prompt="Choose an option." type="list" errorStyle="stop" operator="between">
      <formula1>"Yes,No"</formula1>
      <formula2>0</formula2>
    </dataValidation>
    <dataValidation sqref="D8" showDropDown="0" showInputMessage="0" showErrorMessage="0" allowBlank="1" error="Please select one of the listed options." prompt="Choose an option." type="list" errorStyle="stop" operator="between">
      <formula1>"Yes,No"</formula1>
      <formula2>0</formula2>
    </dataValidation>
    <dataValidation sqref="D9" showDropDown="0" showInputMessage="0" showErrorMessage="0" allowBlank="1" error="Please select one of the listed options." prompt="Choose an option." type="list" errorStyle="stop" operator="between">
      <formula1>"Yes,No"</formula1>
      <formula2>0</formula2>
    </dataValidation>
    <dataValidation sqref="D10" showDropDown="0" showInputMessage="0" showErrorMessage="0" allowBlank="1" error="Please select one of the listed options." prompt="Choose an option." type="list" errorStyle="stop" operator="between">
      <formula1>"Yes,No"</formula1>
      <formula2>0</formula2>
    </dataValidation>
    <dataValidation sqref="D11" showDropDown="0" showInputMessage="0" showErrorMessage="0" allowBlank="1" error="Please select one of the listed options." prompt="Choose an option." type="list" errorStyle="stop" operator="between">
      <formula1>"Yes,No"</formula1>
      <formula2>0</formula2>
    </dataValidation>
    <dataValidation sqref="D13" showDropDown="0" showInputMessage="0" showErrorMessage="0" allowBlank="1" error="Please select one of the listed options." prompt="Choose an option." type="list" errorStyle="stop" operator="between">
      <formula1>"Yes,No"</formula1>
      <formula2>0</formula2>
    </dataValidation>
    <dataValidation sqref="D12" showDropDown="0" showInputMessage="0" showErrorMessage="0" allowBlank="1" type="list">
      <formula1>"None,Internal,Confidential,Regulated"</formula1>
    </dataValidation>
    <dataValidation sqref="D14" showDropDown="0" showInputMessage="0" showErrorMessage="0" allowBlank="1" type="list">
      <formula1>"Internal only,Partner/B2B network,Public internet"</formula1>
    </dataValidation>
    <dataValidation sqref="D15" showDropDown="0" showInputMessage="0" showErrorMessage="0" allowBlank="1" type="list">
      <formula1>"Low,Medium,High,Critical"</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I86"/>
  <sheetViews>
    <sheetView showGridLines="0" tabSelected="0" workbookViewId="0">
      <pane ySplit="4" topLeftCell="A5" activePane="bottomLeft" state="frozen"/>
      <selection pane="bottomLeft" activeCell="A1" sqref="A1"/>
    </sheetView>
  </sheetViews>
  <sheetFormatPr baseColWidth="8" defaultRowHeight="15"/>
  <cols>
    <col width="30" customWidth="1" style="19" min="1" max="1"/>
    <col width="50" customWidth="1" style="19" min="2" max="2"/>
    <col width="34" customWidth="1" style="19" min="3" max="3"/>
    <col width="30" customWidth="1" style="19" min="4" max="4"/>
    <col width="40" customWidth="1" style="19" min="5" max="5"/>
    <col width="11" customWidth="1" style="19" min="6" max="6"/>
    <col width="34" customWidth="1" style="19" min="7" max="7"/>
    <col width="12" customWidth="1" style="19" min="8" max="8"/>
    <col width="11" customWidth="1" style="19" min="9" max="9"/>
  </cols>
  <sheetData>
    <row r="1" ht="25.5" customHeight="1" s="19">
      <c r="A1" s="20" t="inlineStr">
        <is>
          <t>Extended Characterization</t>
        </is>
      </c>
    </row>
    <row r="2" ht="48" customHeight="1" s="19">
      <c r="A2" s="23" t="inlineStr">
        <is>
          <t>Fill in the 'Answer' column (yellow) for every row whose 'Applicable' column says Applicable; greyed-out rows don't apply given earlier answers and can stay blank. When done, the 'Status' column must show no 'Missing'. 'Don't know' is allowed, but on a mandatory question it sets Status to 'Review' and sends the application to Security review. These answers complement the 'Characterization Form' (not repeated here) and feed the threat model. See the 'Archetypes' sheet for the architecture patterns.</t>
        </is>
      </c>
    </row>
    <row r="3"/>
    <row r="4" ht="21.75" customHeight="1" s="19">
      <c r="A4" s="24" t="inlineStr">
        <is>
          <t>Key</t>
        </is>
      </c>
      <c r="B4" s="24" t="inlineStr">
        <is>
          <t>Question</t>
        </is>
      </c>
      <c r="C4" s="24" t="inlineStr">
        <is>
          <t>Possible options</t>
        </is>
      </c>
      <c r="D4" s="24" t="inlineStr">
        <is>
          <t>Answer</t>
        </is>
      </c>
      <c r="E4" s="24" t="inlineStr">
        <is>
          <t>Notes / Help</t>
        </is>
      </c>
      <c r="F4" s="24" t="inlineStr">
        <is>
          <t>Mandatory</t>
        </is>
      </c>
      <c r="G4" s="24" t="inlineStr">
        <is>
          <t>Shown when</t>
        </is>
      </c>
      <c r="H4" s="24" t="inlineStr">
        <is>
          <t>Applicable</t>
        </is>
      </c>
      <c r="I4" s="24" t="inlineStr">
        <is>
          <t>Status</t>
        </is>
      </c>
    </row>
    <row r="5" ht="18" customHeight="1" s="19">
      <c r="A5" s="54" t="inlineStr">
        <is>
          <t>A. Application identification</t>
        </is>
      </c>
      <c r="B5" s="54" t="n"/>
      <c r="C5" s="54" t="n"/>
      <c r="D5" s="54" t="n"/>
      <c r="E5" s="54" t="n"/>
      <c r="F5" s="54" t="n"/>
      <c r="G5" s="54" t="n"/>
      <c r="H5" s="54" t="n"/>
      <c r="I5" s="54" t="n"/>
    </row>
    <row r="6" ht="45.75" customHeight="1" s="19">
      <c r="A6" s="29" t="inlineStr">
        <is>
          <t>APP_ID</t>
        </is>
      </c>
      <c r="B6" s="30" t="inlineStr">
        <is>
          <t>Application ID in the CMDB / inventory</t>
        </is>
      </c>
      <c r="C6" s="30" t="inlineStr">
        <is>
          <t>Free text</t>
        </is>
      </c>
      <c r="D6" s="55" t="n"/>
      <c r="E6" s="32" t="n"/>
      <c r="F6" s="56" t="inlineStr">
        <is>
          <t>Yes</t>
        </is>
      </c>
      <c r="G6" s="32" t="n"/>
      <c r="H6" s="33" t="inlineStr">
        <is>
          <t>Applicable</t>
        </is>
      </c>
      <c r="I6" s="33">
        <f>IF(H6="N/A","N/A",IF(D6="",IF(F6="Yes","Missing","Optional"),IF(AND(F6="Yes",D6="Don't know"),"Review","OK")))</f>
        <v/>
      </c>
    </row>
    <row r="7" ht="60" customHeight="1" s="19">
      <c r="A7" s="29" t="inlineStr">
        <is>
          <t>APP_DESCRIPTION</t>
        </is>
      </c>
      <c r="B7" s="30" t="inlineStr">
        <is>
          <t>What does the application do, and for whom?</t>
        </is>
      </c>
      <c r="C7" s="30" t="inlineStr">
        <is>
          <t>Free text (2-3 lines)</t>
        </is>
      </c>
      <c r="D7" s="55" t="n"/>
      <c r="E7" s="32" t="inlineStr">
        <is>
          <t>Plain language.</t>
        </is>
      </c>
      <c r="F7" s="56" t="inlineStr">
        <is>
          <t>Yes</t>
        </is>
      </c>
      <c r="G7" s="32" t="n"/>
      <c r="H7" s="33" t="inlineStr">
        <is>
          <t>Applicable</t>
        </is>
      </c>
      <c r="I7" s="33">
        <f>IF(H7="N/A","N/A",IF(D7="",IF(F7="Yes","Missing","Optional"),IF(AND(F7="Yes",D7="Don't know"),"Review","OK")))</f>
        <v/>
      </c>
    </row>
    <row r="8" ht="45.75" customHeight="1" s="19">
      <c r="A8" s="29" t="inlineStr">
        <is>
          <t>BUSINESS_OWNER</t>
        </is>
      </c>
      <c r="B8" s="30" t="inlineStr">
        <is>
          <t>Business owner (name / area)</t>
        </is>
      </c>
      <c r="C8" s="30" t="inlineStr">
        <is>
          <t>Free text</t>
        </is>
      </c>
      <c r="D8" s="55" t="n"/>
      <c r="E8" s="32" t="n"/>
      <c r="F8" s="56" t="inlineStr">
        <is>
          <t>Yes</t>
        </is>
      </c>
      <c r="G8" s="32" t="n"/>
      <c r="H8" s="33" t="inlineStr">
        <is>
          <t>Applicable</t>
        </is>
      </c>
      <c r="I8" s="33">
        <f>IF(H8="N/A","N/A",IF(D8="",IF(F8="Yes","Missing","Optional"),IF(AND(F8="Yes",D8="Don't know"),"Review","OK")))</f>
        <v/>
      </c>
    </row>
    <row r="9" ht="45.75" customHeight="1" s="19">
      <c r="A9" s="29" t="inlineStr">
        <is>
          <t>TECHNICAL_OWNER</t>
        </is>
      </c>
      <c r="B9" s="30" t="inlineStr">
        <is>
          <t>Technical owner (name / team)</t>
        </is>
      </c>
      <c r="C9" s="30" t="inlineStr">
        <is>
          <t>Free text</t>
        </is>
      </c>
      <c r="D9" s="55" t="n"/>
      <c r="E9" s="32" t="n"/>
      <c r="F9" s="56" t="inlineStr">
        <is>
          <t>Yes</t>
        </is>
      </c>
      <c r="G9" s="32" t="n"/>
      <c r="H9" s="33" t="inlineStr">
        <is>
          <t>Applicable</t>
        </is>
      </c>
      <c r="I9" s="33">
        <f>IF(H9="N/A","N/A",IF(D9="",IF(F9="Yes","Missing","Optional"),IF(AND(F9="Yes",D9="Don't know"),"Review","OK")))</f>
        <v/>
      </c>
    </row>
    <row r="10" ht="45.75" customHeight="1" s="19">
      <c r="A10" s="29" t="inlineStr">
        <is>
          <t>LIFECYCLE_STATUS</t>
        </is>
      </c>
      <c r="B10" s="30" t="inlineStr">
        <is>
          <t>Lifecycle status</t>
        </is>
      </c>
      <c r="C10" s="30" t="inlineStr">
        <is>
          <t>In development, In production, Legacy (no new features), Being decommissioned</t>
        </is>
      </c>
      <c r="D10" s="55" t="n"/>
      <c r="E10" s="32" t="n"/>
      <c r="F10" s="56" t="inlineStr">
        <is>
          <t>Yes</t>
        </is>
      </c>
      <c r="G10" s="32" t="n"/>
      <c r="H10" s="33" t="inlineStr">
        <is>
          <t>Applicable</t>
        </is>
      </c>
      <c r="I10" s="33">
        <f>IF(H10="N/A","N/A",IF(D10="",IF(F10="Yes","Missing","Optional"),IF(AND(F10="Yes",D10="Don't know"),"Review","OK")))</f>
        <v/>
      </c>
    </row>
    <row r="11" ht="18" customHeight="1" s="19">
      <c r="A11" s="54" t="inlineStr">
        <is>
          <t>B. Business</t>
        </is>
      </c>
      <c r="B11" s="54" t="n"/>
      <c r="C11" s="54" t="n"/>
      <c r="D11" s="54" t="n"/>
      <c r="E11" s="54" t="n"/>
      <c r="F11" s="54" t="n"/>
      <c r="G11" s="54" t="n"/>
      <c r="H11" s="54" t="n"/>
      <c r="I11" s="54" t="n"/>
    </row>
    <row r="12" ht="45.75" customHeight="1" s="19">
      <c r="A12" s="29" t="inlineStr">
        <is>
          <t>FINANCIAL_TRANSACTIONS</t>
        </is>
      </c>
      <c r="B12" s="30" t="inlineStr">
        <is>
          <t>Does it initiate, approve or change financial transactions or payments?</t>
        </is>
      </c>
      <c r="C12" s="30" t="inlineStr">
        <is>
          <t>Yes, No, Don't know</t>
        </is>
      </c>
      <c r="D12" s="55" t="n"/>
      <c r="E12" s="32" t="inlineStr">
        <is>
          <t>Drives fraud / business-logic abuse threats.</t>
        </is>
      </c>
      <c r="F12" s="56" t="inlineStr">
        <is>
          <t>Yes</t>
        </is>
      </c>
      <c r="G12" s="32" t="n"/>
      <c r="H12" s="33" t="inlineStr">
        <is>
          <t>Applicable</t>
        </is>
      </c>
      <c r="I12" s="33">
        <f>IF(H12="N/A","N/A",IF(D12="",IF(F12="Yes","Missing","Optional"),IF(AND(F12="Yes",D12="Don't know"),"Review","OK")))</f>
        <v/>
      </c>
    </row>
    <row r="13" ht="18" customHeight="1" s="19">
      <c r="A13" s="54" t="inlineStr">
        <is>
          <t>C. Sourcing model</t>
        </is>
      </c>
      <c r="B13" s="54" t="n"/>
      <c r="C13" s="54" t="n"/>
      <c r="D13" s="54" t="n"/>
      <c r="E13" s="54" t="n"/>
      <c r="F13" s="54" t="n"/>
      <c r="G13" s="54" t="n"/>
      <c r="H13" s="54" t="n"/>
      <c r="I13" s="54" t="n"/>
    </row>
    <row r="14" ht="73" customHeight="1" s="19">
      <c r="A14" s="29" t="inlineStr">
        <is>
          <t>SOURCING_MODEL</t>
        </is>
      </c>
      <c r="B14" s="30" t="inlineStr">
        <is>
          <t>How is the application built and run?</t>
        </is>
      </c>
      <c r="C14" s="30" t="inlineStr">
        <is>
          <t>In-house (we develop it), COTS (vendor product on our infrastructure), COTS with customizations, Vendor appliance (physical/virtual), SaaS (vendor infrastructure)</t>
        </is>
      </c>
      <c r="D14" s="55" t="n"/>
      <c r="E14" s="32" t="inlineStr">
        <is>
          <t>SaaS is out of scope of the v1 threat archetypes and always goes to Security review.</t>
        </is>
      </c>
      <c r="F14" s="56" t="inlineStr">
        <is>
          <t>Yes</t>
        </is>
      </c>
      <c r="G14" s="32" t="n"/>
      <c r="H14" s="33" t="inlineStr">
        <is>
          <t>Applicable</t>
        </is>
      </c>
      <c r="I14" s="33">
        <f>IF(H14="N/A","N/A",IF(D14="",IF(F14="Yes","Missing","Optional"),IF(AND(F14="Yes",D14="Don't know"),"Review","OK")))</f>
        <v/>
      </c>
    </row>
    <row r="15" ht="18" customHeight="1" s="19">
      <c r="A15" s="54" t="inlineStr">
        <is>
          <t>D. Architecture archetype</t>
        </is>
      </c>
      <c r="B15" s="54" t="n"/>
      <c r="C15" s="54" t="n"/>
      <c r="D15" s="54" t="n"/>
      <c r="E15" s="54" t="n"/>
      <c r="F15" s="54" t="n"/>
      <c r="G15" s="54" t="n"/>
      <c r="H15" s="54" t="n"/>
      <c r="I15" s="54" t="n"/>
    </row>
    <row r="16" ht="45.75" customHeight="1" s="19">
      <c r="A16" s="29" t="inlineStr">
        <is>
          <t>ARCHETYPE_PRIMARY</t>
        </is>
      </c>
      <c r="B16" s="30" t="inlineStr">
        <is>
          <t>Which pattern best describes the application?</t>
        </is>
      </c>
      <c r="C16" s="30" t="inlineStr">
        <is>
          <t>One pattern from the 'Archetypes' sheet, or 'None of these fits'</t>
        </is>
      </c>
      <c r="D16" s="55" t="n"/>
      <c r="E16" s="32" t="inlineStr">
        <is>
          <t>See the 'Archetypes' sheet for descriptions.</t>
        </is>
      </c>
      <c r="F16" s="56" t="inlineStr">
        <is>
          <t>Yes</t>
        </is>
      </c>
      <c r="G16" s="32" t="n"/>
      <c r="H16" s="33" t="inlineStr">
        <is>
          <t>Applicable</t>
        </is>
      </c>
      <c r="I16" s="33">
        <f>IF(H16="N/A","N/A",IF(D16="",IF(F16="Yes","Missing","Optional"),IF(AND(F16="Yes",D16="Don't know"),"Review","OK")))</f>
        <v/>
      </c>
    </row>
    <row r="17" ht="45.75" customHeight="1" s="19">
      <c r="A17" s="29" t="inlineStr">
        <is>
          <t>ARCHETYPE_SECONDARY</t>
        </is>
      </c>
      <c r="B17" s="30" t="inlineStr">
        <is>
          <t>Does it also match a second pattern?</t>
        </is>
      </c>
      <c r="C17" s="30" t="inlineStr">
        <is>
          <t>One pattern from the 'Archetypes' sheet, or 'No second pattern'</t>
        </is>
      </c>
      <c r="D17" s="55" t="n"/>
      <c r="E17" s="32" t="n"/>
      <c r="F17" s="56" t="inlineStr">
        <is>
          <t>No</t>
        </is>
      </c>
      <c r="G17" s="32" t="n"/>
      <c r="H17" s="33" t="inlineStr">
        <is>
          <t>Applicable</t>
        </is>
      </c>
      <c r="I17" s="33">
        <f>IF(H17="N/A","N/A",IF(D17="",IF(F17="Yes","Missing","Optional"),IF(AND(F17="Yes",D17="Don't know"),"Review","OK")))</f>
        <v/>
      </c>
    </row>
    <row r="18" ht="45.75" customHeight="1" s="19">
      <c r="A18" s="29" t="inlineStr">
        <is>
          <t>ARCHETYPE_DEVIATION</t>
        </is>
      </c>
      <c r="B18" s="30" t="inlineStr">
        <is>
          <t>Does it have relevant components or flows not described by the selected pattern(s)?</t>
        </is>
      </c>
      <c r="C18" s="30" t="inlineStr">
        <is>
          <t>Yes, No, Don't know</t>
        </is>
      </c>
      <c r="D18" s="55" t="n"/>
      <c r="E18" s="32" t="inlineStr">
        <is>
          <t>e.g., an extra external integration, a component the pattern doesn't show.</t>
        </is>
      </c>
      <c r="F18" s="56" t="inlineStr">
        <is>
          <t>Yes</t>
        </is>
      </c>
      <c r="G18" s="32" t="n"/>
      <c r="H18" s="33" t="inlineStr">
        <is>
          <t>Applicable</t>
        </is>
      </c>
      <c r="I18" s="33">
        <f>IF(H18="N/A","N/A",IF(D18="",IF(F18="Yes","Missing","Optional"),IF(AND(F18="Yes",D18="Don't know"),"Review","OK")))</f>
        <v/>
      </c>
    </row>
    <row r="19" ht="60" customHeight="1" s="19">
      <c r="A19" s="29" t="inlineStr">
        <is>
          <t>ARCHETYPE_DEVIATION_DETAILS</t>
        </is>
      </c>
      <c r="B19" s="30" t="inlineStr">
        <is>
          <t>Describe what is different</t>
        </is>
      </c>
      <c r="C19" s="30" t="inlineStr">
        <is>
          <t>Free text (2-3 lines)</t>
        </is>
      </c>
      <c r="D19" s="55" t="n"/>
      <c r="E19" s="32" t="n"/>
      <c r="F19" s="56" t="inlineStr">
        <is>
          <t>Yes</t>
        </is>
      </c>
      <c r="G19" s="32" t="inlineStr">
        <is>
          <t>ARCHETYPE_DEVIATION = Yes</t>
        </is>
      </c>
      <c r="H19" s="33">
        <f>IF(ARCHETYPE_DEVIATION="Yes","Applicable","N/A")</f>
        <v/>
      </c>
      <c r="I19" s="33">
        <f>IF(H19="N/A","N/A",IF(D19="",IF(F19="Yes","Missing","Optional"),IF(AND(F19="Yes",D19="Don't know"),"Review","OK")))</f>
        <v/>
      </c>
    </row>
    <row r="20" ht="18" customHeight="1" s="19">
      <c r="A20" s="54" t="inlineStr">
        <is>
          <t>E. Users and admin access</t>
        </is>
      </c>
      <c r="B20" s="54" t="n"/>
      <c r="C20" s="54" t="n"/>
      <c r="D20" s="54" t="n"/>
      <c r="E20" s="54" t="n"/>
      <c r="F20" s="54" t="n"/>
      <c r="G20" s="54" t="n"/>
      <c r="H20" s="54" t="n"/>
      <c r="I20" s="54" t="n"/>
    </row>
    <row r="21" ht="45.75" customHeight="1" s="19">
      <c r="A21" s="29" t="inlineStr">
        <is>
          <t>USERS_CUSTOMERS</t>
        </is>
      </c>
      <c r="B21" s="30" t="inlineStr">
        <is>
          <t>Is it used by customers (end users outside the company)?</t>
        </is>
      </c>
      <c r="C21" s="30" t="inlineStr">
        <is>
          <t>Yes, No</t>
        </is>
      </c>
      <c r="D21" s="55" t="n"/>
      <c r="E21" s="32" t="n"/>
      <c r="F21" s="56" t="inlineStr">
        <is>
          <t>Yes</t>
        </is>
      </c>
      <c r="G21" s="32" t="n"/>
      <c r="H21" s="33" t="inlineStr">
        <is>
          <t>Applicable</t>
        </is>
      </c>
      <c r="I21" s="33">
        <f>IF(H21="N/A","N/A",IF(D21="",IF(F21="Yes","Missing","Optional"),IF(AND(F21="Yes",D21="Don't know"),"Review","OK")))</f>
        <v/>
      </c>
    </row>
    <row r="22" ht="45.75" customHeight="1" s="19">
      <c r="A22" s="29" t="inlineStr">
        <is>
          <t>USERS_EMPLOYEES</t>
        </is>
      </c>
      <c r="B22" s="30" t="inlineStr">
        <is>
          <t>Is it used by employees?</t>
        </is>
      </c>
      <c r="C22" s="30" t="inlineStr">
        <is>
          <t>Yes, No</t>
        </is>
      </c>
      <c r="D22" s="55" t="n"/>
      <c r="E22" s="32" t="n"/>
      <c r="F22" s="56" t="inlineStr">
        <is>
          <t>Yes</t>
        </is>
      </c>
      <c r="G22" s="32" t="n"/>
      <c r="H22" s="33" t="inlineStr">
        <is>
          <t>Applicable</t>
        </is>
      </c>
      <c r="I22" s="33">
        <f>IF(H22="N/A","N/A",IF(D22="",IF(F22="Yes","Missing","Optional"),IF(AND(F22="Yes",D22="Don't know"),"Review","OK")))</f>
        <v/>
      </c>
    </row>
    <row r="23" ht="45.75" customHeight="1" s="19">
      <c r="A23" s="29" t="inlineStr">
        <is>
          <t>USERS_PARTNERS</t>
        </is>
      </c>
      <c r="B23" s="30" t="inlineStr">
        <is>
          <t>Is it used by partner organizations?</t>
        </is>
      </c>
      <c r="C23" s="30" t="inlineStr">
        <is>
          <t>Yes, No</t>
        </is>
      </c>
      <c r="D23" s="55" t="n"/>
      <c r="E23" s="32" t="n"/>
      <c r="F23" s="56" t="inlineStr">
        <is>
          <t>Yes</t>
        </is>
      </c>
      <c r="G23" s="32" t="n"/>
      <c r="H23" s="33" t="inlineStr">
        <is>
          <t>Applicable</t>
        </is>
      </c>
      <c r="I23" s="33">
        <f>IF(H23="N/A","N/A",IF(D23="",IF(F23="Yes","Missing","Optional"),IF(AND(F23="Yes",D23="Don't know"),"Review","OK")))</f>
        <v/>
      </c>
    </row>
    <row r="24" ht="45.75" customHeight="1" s="19">
      <c r="A24" s="29" t="inlineStr">
        <is>
          <t>ADMIN_INTERFACE</t>
        </is>
      </c>
      <c r="B24" s="30" t="inlineStr">
        <is>
          <t>Does it have an administration interface or console?</t>
        </is>
      </c>
      <c r="C24" s="30" t="inlineStr">
        <is>
          <t>Yes, No, Don't know</t>
        </is>
      </c>
      <c r="D24" s="55" t="n"/>
      <c r="E24" s="32" t="n"/>
      <c r="F24" s="56" t="inlineStr">
        <is>
          <t>Yes</t>
        </is>
      </c>
      <c r="G24" s="32" t="n"/>
      <c r="H24" s="33" t="inlineStr">
        <is>
          <t>Applicable</t>
        </is>
      </c>
      <c r="I24" s="33">
        <f>IF(H24="N/A","N/A",IF(D24="",IF(F24="Yes","Missing","Optional"),IF(AND(F24="Yes",D24="Don't know"),"Review","OK")))</f>
        <v/>
      </c>
    </row>
    <row r="25" ht="45.75" customHeight="1" s="19">
      <c r="A25" s="29" t="inlineStr">
        <is>
          <t>ADMIN_INTERFACE_REACH</t>
        </is>
      </c>
      <c r="B25" s="30" t="inlineStr">
        <is>
          <t>From where can the admin interface be reached?</t>
        </is>
      </c>
      <c r="C25" s="30" t="inlineStr">
        <is>
          <t>Internet, Internal network, Restricted management network / jump host only</t>
        </is>
      </c>
      <c r="D25" s="55" t="n"/>
      <c r="E25" s="32" t="n"/>
      <c r="F25" s="56" t="inlineStr">
        <is>
          <t>Yes</t>
        </is>
      </c>
      <c r="G25" s="32" t="inlineStr">
        <is>
          <t>ADMIN_INTERFACE = Yes</t>
        </is>
      </c>
      <c r="H25" s="33">
        <f>IF(ADMIN_INTERFACE="Yes","Applicable","N/A")</f>
        <v/>
      </c>
      <c r="I25" s="33">
        <f>IF(H25="N/A","N/A",IF(D25="",IF(F25="Yes","Missing","Optional"),IF(AND(F25="Yes",D25="Don't know"),"Review","OK")))</f>
        <v/>
      </c>
    </row>
    <row r="26" ht="18" customHeight="1" s="19">
      <c r="A26" s="54" t="inlineStr">
        <is>
          <t>F. Authentication</t>
        </is>
      </c>
      <c r="B26" s="54" t="n"/>
      <c r="C26" s="54" t="n"/>
      <c r="D26" s="54" t="n"/>
      <c r="E26" s="54" t="n"/>
      <c r="F26" s="54" t="n"/>
      <c r="G26" s="54" t="n"/>
      <c r="H26" s="54" t="n"/>
      <c r="I26" s="54" t="n"/>
    </row>
    <row r="27" ht="45.75" customHeight="1" s="19">
      <c r="A27" s="29" t="inlineStr">
        <is>
          <t>AUTH_CORPORATE_SSO</t>
        </is>
      </c>
      <c r="B27" s="30" t="inlineStr">
        <is>
          <t>Do users log in with corporate SSO?</t>
        </is>
      </c>
      <c r="C27" s="30" t="inlineStr">
        <is>
          <t>Yes, No, Don't know</t>
        </is>
      </c>
      <c r="D27" s="55" t="n"/>
      <c r="E27" s="32" t="n"/>
      <c r="F27" s="56" t="inlineStr">
        <is>
          <t>Yes</t>
        </is>
      </c>
      <c r="G27" s="32" t="n"/>
      <c r="H27" s="33" t="inlineStr">
        <is>
          <t>Applicable</t>
        </is>
      </c>
      <c r="I27" s="33">
        <f>IF(H27="N/A","N/A",IF(D27="",IF(F27="Yes","Missing","Optional"),IF(AND(F27="Yes",D27="Don't know"),"Review","OK")))</f>
        <v/>
      </c>
    </row>
    <row r="28" ht="45.75" customHeight="1" s="19">
      <c r="A28" s="29" t="inlineStr">
        <is>
          <t>AUTH_LOCAL_CREDENTIALS</t>
        </is>
      </c>
      <c r="B28" s="30" t="inlineStr">
        <is>
          <t>Does the application keep its own usernames/passwords?</t>
        </is>
      </c>
      <c r="C28" s="30" t="inlineStr">
        <is>
          <t>Yes, No, Don't know</t>
        </is>
      </c>
      <c r="D28" s="55" t="n"/>
      <c r="E28" s="32" t="n"/>
      <c r="F28" s="56" t="inlineStr">
        <is>
          <t>Yes</t>
        </is>
      </c>
      <c r="G28" s="32" t="n"/>
      <c r="H28" s="33" t="inlineStr">
        <is>
          <t>Applicable</t>
        </is>
      </c>
      <c r="I28" s="33">
        <f>IF(H28="N/A","N/A",IF(D28="",IF(F28="Yes","Missing","Optional"),IF(AND(F28="Yes",D28="Don't know"),"Review","OK")))</f>
        <v/>
      </c>
    </row>
    <row r="29" ht="45.75" customHeight="1" s="19">
      <c r="A29" s="29" t="inlineStr">
        <is>
          <t>AUTH_MFA</t>
        </is>
      </c>
      <c r="B29" s="30" t="inlineStr">
        <is>
          <t>Is MFA required for user login?</t>
        </is>
      </c>
      <c r="C29" s="30" t="inlineStr">
        <is>
          <t>Yes, for all users; Only for admins; No; Don't know</t>
        </is>
      </c>
      <c r="D29" s="55" t="n"/>
      <c r="E29" s="32" t="n"/>
      <c r="F29" s="56" t="inlineStr">
        <is>
          <t>Yes</t>
        </is>
      </c>
      <c r="G29" s="32" t="n"/>
      <c r="H29" s="33" t="inlineStr">
        <is>
          <t>Applicable</t>
        </is>
      </c>
      <c r="I29" s="33">
        <f>IF(H29="N/A","N/A",IF(D29="",IF(F29="Yes","Missing","Optional"),IF(AND(F29="Yes",D29="Don't know"),"Review","OK")))</f>
        <v/>
      </c>
    </row>
    <row r="30" ht="47" customHeight="1" s="19">
      <c r="A30" s="29" t="inlineStr">
        <is>
          <t>API_AUTH</t>
        </is>
      </c>
      <c r="B30" s="30" t="inlineStr">
        <is>
          <t>How do systems authenticate to its APIs?</t>
        </is>
      </c>
      <c r="C30" s="30" t="inlineStr">
        <is>
          <t>OAuth2 / OIDC tokens, API key, mTLS (client certificate), Basic auth, No authentication, Other</t>
        </is>
      </c>
      <c r="D30" s="55" t="n"/>
      <c r="E30" s="32" t="n"/>
      <c r="F30" s="56" t="inlineStr">
        <is>
          <t>Yes</t>
        </is>
      </c>
      <c r="G30" s="32" t="inlineStr">
        <is>
          <t>API_EXPOSED = Yes</t>
        </is>
      </c>
      <c r="H30" s="33">
        <f>IF(API_EXPOSED="Yes","Applicable","N/A")</f>
        <v/>
      </c>
      <c r="I30" s="33">
        <f>IF(H30="N/A","N/A",IF(D30="",IF(F30="Yes","Missing","Optional"),IF(AND(F30="Yes",D30="Don't know"),"Review","OK")))</f>
        <v/>
      </c>
    </row>
    <row r="31" ht="45.75" customHeight="1" s="19">
      <c r="A31" s="29" t="inlineStr">
        <is>
          <t>SERVICE_ACCOUNTS</t>
        </is>
      </c>
      <c r="B31" s="30" t="inlineStr">
        <is>
          <t>Does it use service accounts / technical users to access other systems?</t>
        </is>
      </c>
      <c r="C31" s="30" t="inlineStr">
        <is>
          <t>Yes, No, Don't know</t>
        </is>
      </c>
      <c r="D31" s="55" t="n"/>
      <c r="E31" s="32" t="n"/>
      <c r="F31" s="56" t="inlineStr">
        <is>
          <t>Yes</t>
        </is>
      </c>
      <c r="G31" s="32" t="n"/>
      <c r="H31" s="33" t="inlineStr">
        <is>
          <t>Applicable</t>
        </is>
      </c>
      <c r="I31" s="33">
        <f>IF(H31="N/A","N/A",IF(D31="",IF(F31="Yes","Missing","Optional"),IF(AND(F31="Yes",D31="Don't know"),"Review","OK")))</f>
        <v/>
      </c>
    </row>
    <row r="32" ht="18" customHeight="1" s="19">
      <c r="A32" s="54" t="inlineStr">
        <is>
          <t>G. Authorization and tenancy</t>
        </is>
      </c>
      <c r="B32" s="54" t="n"/>
      <c r="C32" s="54" t="n"/>
      <c r="D32" s="54" t="n"/>
      <c r="E32" s="54" t="n"/>
      <c r="F32" s="54" t="n"/>
      <c r="G32" s="54" t="n"/>
      <c r="H32" s="54" t="n"/>
      <c r="I32" s="54" t="n"/>
    </row>
    <row r="33" ht="45.75" customHeight="1" s="19">
      <c r="A33" s="29" t="inlineStr">
        <is>
          <t>MULTIPLE_ROLES</t>
        </is>
      </c>
      <c r="B33" s="30" t="inlineStr">
        <is>
          <t>Are there different user roles / permission levels?</t>
        </is>
      </c>
      <c r="C33" s="30" t="inlineStr">
        <is>
          <t>Yes, No</t>
        </is>
      </c>
      <c r="D33" s="55" t="n"/>
      <c r="E33" s="32" t="n"/>
      <c r="F33" s="56" t="inlineStr">
        <is>
          <t>Yes</t>
        </is>
      </c>
      <c r="G33" s="32" t="n"/>
      <c r="H33" s="33" t="inlineStr">
        <is>
          <t>Applicable</t>
        </is>
      </c>
      <c r="I33" s="33">
        <f>IF(H33="N/A","N/A",IF(D33="",IF(F33="Yes","Missing","Optional"),IF(AND(F33="Yes",D33="Don't know"),"Review","OK")))</f>
        <v/>
      </c>
    </row>
    <row r="34" ht="45.75" customHeight="1" s="19">
      <c r="A34" s="29" t="inlineStr">
        <is>
          <t>MULTI_TENANT</t>
        </is>
      </c>
      <c r="B34" s="30" t="inlineStr">
        <is>
          <t>Does one instance serve multiple separate clients/organizations whose data must be isolated?</t>
        </is>
      </c>
      <c r="C34" s="30" t="inlineStr">
        <is>
          <t>Yes, No, Don't know</t>
        </is>
      </c>
      <c r="D34" s="55" t="n"/>
      <c r="E34" s="32" t="n"/>
      <c r="F34" s="56" t="inlineStr">
        <is>
          <t>Yes</t>
        </is>
      </c>
      <c r="G34" s="32" t="n"/>
      <c r="H34" s="33" t="inlineStr">
        <is>
          <t>Applicable</t>
        </is>
      </c>
      <c r="I34" s="33">
        <f>IF(H34="N/A","N/A",IF(D34="",IF(F34="Yes","Missing","Optional"),IF(AND(F34="Yes",D34="Don't know"),"Review","OK")))</f>
        <v/>
      </c>
    </row>
    <row r="35" ht="18" customHeight="1" s="19">
      <c r="A35" s="54" t="inlineStr">
        <is>
          <t>H. Data flows</t>
        </is>
      </c>
      <c r="B35" s="54" t="n"/>
      <c r="C35" s="54" t="n"/>
      <c r="D35" s="54" t="n"/>
      <c r="E35" s="54" t="n"/>
      <c r="F35" s="54" t="n"/>
      <c r="G35" s="54" t="n"/>
      <c r="H35" s="54" t="n"/>
      <c r="I35" s="54" t="n"/>
    </row>
    <row r="36" ht="45.75" customHeight="1" s="19">
      <c r="A36" s="29" t="inlineStr">
        <is>
          <t>FILE_EXCHANGE</t>
        </is>
      </c>
      <c r="B36" s="30" t="inlineStr">
        <is>
          <t>Does it exchange files in batch (SFTP, shared folder, object storage)?</t>
        </is>
      </c>
      <c r="C36" s="30" t="inlineStr">
        <is>
          <t>Yes, No, Don't know</t>
        </is>
      </c>
      <c r="D36" s="55" t="n"/>
      <c r="E36" s="32" t="inlineStr">
        <is>
          <t>Different from user upload (FILE_HANDLING).</t>
        </is>
      </c>
      <c r="F36" s="56" t="inlineStr">
        <is>
          <t>Yes</t>
        </is>
      </c>
      <c r="G36" s="32" t="n"/>
      <c r="H36" s="33" t="inlineStr">
        <is>
          <t>Applicable</t>
        </is>
      </c>
      <c r="I36" s="33">
        <f>IF(H36="N/A","N/A",IF(D36="",IF(F36="Yes","Missing","Optional"),IF(AND(F36="Yes",D36="Don't know"),"Review","OK")))</f>
        <v/>
      </c>
    </row>
    <row r="37" ht="45.75" customHeight="1" s="19">
      <c r="A37" s="29" t="inlineStr">
        <is>
          <t>MESSAGING</t>
        </is>
      </c>
      <c r="B37" s="30" t="inlineStr">
        <is>
          <t>Does it publish or consume messages/events (queues, topics)?</t>
        </is>
      </c>
      <c r="C37" s="30" t="inlineStr">
        <is>
          <t>Yes, No, Don't know</t>
        </is>
      </c>
      <c r="D37" s="55" t="n"/>
      <c r="E37" s="32" t="n"/>
      <c r="F37" s="56" t="inlineStr">
        <is>
          <t>Yes</t>
        </is>
      </c>
      <c r="G37" s="32" t="n"/>
      <c r="H37" s="33" t="inlineStr">
        <is>
          <t>Applicable</t>
        </is>
      </c>
      <c r="I37" s="33">
        <f>IF(H37="N/A","N/A",IF(D37="",IF(F37="Yes","Missing","Optional"),IF(AND(F37="Yes",D37="Don't know"),"Review","OK")))</f>
        <v/>
      </c>
    </row>
    <row r="38" ht="45.75" customHeight="1" s="19">
      <c r="A38" s="29" t="inlineStr">
        <is>
          <t>OUTBOUND_EXTERNAL_CALLS</t>
        </is>
      </c>
      <c r="B38" s="30" t="inlineStr">
        <is>
          <t>Does it call services outside the company (third-party APIs, internet)?</t>
        </is>
      </c>
      <c r="C38" s="30" t="inlineStr">
        <is>
          <t>Yes, No, Don't know</t>
        </is>
      </c>
      <c r="D38" s="55" t="n"/>
      <c r="E38" s="32" t="n"/>
      <c r="F38" s="56" t="inlineStr">
        <is>
          <t>Yes</t>
        </is>
      </c>
      <c r="G38" s="32" t="n"/>
      <c r="H38" s="33" t="inlineStr">
        <is>
          <t>Applicable</t>
        </is>
      </c>
      <c r="I38" s="33">
        <f>IF(H38="N/A","N/A",IF(D38="",IF(F38="Yes","Missing","Optional"),IF(AND(F38="Yes",D38="Don't know"),"Review","OK")))</f>
        <v/>
      </c>
    </row>
    <row r="39" ht="45.75" customHeight="1" s="19">
      <c r="A39" s="29" t="inlineStr">
        <is>
          <t>STORES_THIRD_PARTY_SECRETS</t>
        </is>
      </c>
      <c r="B39" s="30" t="inlineStr">
        <is>
          <t>Does it store credentials, keys or tokens used to access other systems?</t>
        </is>
      </c>
      <c r="C39" s="30" t="inlineStr">
        <is>
          <t>Yes, No, Don't know</t>
        </is>
      </c>
      <c r="D39" s="55" t="n"/>
      <c r="E39" s="32" t="n"/>
      <c r="F39" s="56" t="inlineStr">
        <is>
          <t>Yes</t>
        </is>
      </c>
      <c r="G39" s="32" t="n"/>
      <c r="H39" s="33" t="inlineStr">
        <is>
          <t>Applicable</t>
        </is>
      </c>
      <c r="I39" s="33">
        <f>IF(H39="N/A","N/A",IF(D39="",IF(F39="Yes","Missing","Optional"),IF(AND(F39="Yes",D39="Don't know"),"Review","OK")))</f>
        <v/>
      </c>
    </row>
    <row r="40" ht="60" customHeight="1" s="19">
      <c r="A40" s="29" t="inlineStr">
        <is>
          <t>EXTERNAL_INTEGRATIONS_LIST</t>
        </is>
      </c>
      <c r="B40" s="30" t="inlineStr">
        <is>
          <t>Main integrations (system + direction)</t>
        </is>
      </c>
      <c r="C40" s="30" t="inlineStr">
        <is>
          <t>Free text (2-3 lines)</t>
        </is>
      </c>
      <c r="D40" s="55" t="n"/>
      <c r="E40" s="32" t="n"/>
      <c r="F40" s="56" t="inlineStr">
        <is>
          <t>No</t>
        </is>
      </c>
      <c r="G40" s="32" t="n"/>
      <c r="H40" s="33" t="inlineStr">
        <is>
          <t>Applicable</t>
        </is>
      </c>
      <c r="I40" s="33">
        <f>IF(H40="N/A","N/A",IF(D40="",IF(F40="Yes","Missing","Optional"),IF(AND(F40="Yes",D40="Don't know"),"Review","OK")))</f>
        <v/>
      </c>
    </row>
    <row r="41" ht="18" customHeight="1" s="19">
      <c r="A41" s="54" t="inlineStr">
        <is>
          <t>J. Hosting</t>
        </is>
      </c>
      <c r="B41" s="54" t="n"/>
      <c r="C41" s="54" t="n"/>
      <c r="D41" s="54" t="n"/>
      <c r="E41" s="54" t="n"/>
      <c r="F41" s="54" t="n"/>
      <c r="G41" s="54" t="n"/>
      <c r="H41" s="54" t="n"/>
      <c r="I41" s="54" t="n"/>
    </row>
    <row r="42" ht="45.75" customHeight="1" s="19">
      <c r="A42" s="29" t="inlineStr">
        <is>
          <t>HOSTING</t>
        </is>
      </c>
      <c r="B42" s="30" t="inlineStr">
        <is>
          <t>Where does it run?</t>
        </is>
      </c>
      <c r="C42" s="30" t="inlineStr">
        <is>
          <t>On-premises data center, Public cloud, Hybrid</t>
        </is>
      </c>
      <c r="D42" s="55" t="n"/>
      <c r="E42" s="32" t="n"/>
      <c r="F42" s="56" t="inlineStr">
        <is>
          <t>Yes</t>
        </is>
      </c>
      <c r="G42" s="32" t="inlineStr">
        <is>
          <t>SOURCING_MODEL ≠ SaaS (vendor infrastructure)</t>
        </is>
      </c>
      <c r="H42" s="33">
        <f>IF(NOT(SOURCING_MODEL="SaaS (vendor infrastructure)"),"Applicable","N/A")</f>
        <v/>
      </c>
      <c r="I42" s="33">
        <f>IF(H42="N/A","N/A",IF(D42="",IF(F42="Yes","Missing","Optional"),IF(AND(F42="Yes",D42="Don't know"),"Review","OK")))</f>
        <v/>
      </c>
    </row>
    <row r="43" ht="45.75" customHeight="1" s="19">
      <c r="A43" s="29" t="inlineStr">
        <is>
          <t>CONTAINERIZED</t>
        </is>
      </c>
      <c r="B43" s="30" t="inlineStr">
        <is>
          <t>Does it run in containers (Kubernetes, OpenShift, etc.)?</t>
        </is>
      </c>
      <c r="C43" s="30" t="inlineStr">
        <is>
          <t>Yes, No, Don't know</t>
        </is>
      </c>
      <c r="D43" s="55" t="n"/>
      <c r="E43" s="32" t="n"/>
      <c r="F43" s="56" t="inlineStr">
        <is>
          <t>Yes</t>
        </is>
      </c>
      <c r="G43" s="32" t="inlineStr">
        <is>
          <t>SOURCING_MODEL ≠ SaaS (vendor infrastructure)</t>
        </is>
      </c>
      <c r="H43" s="33">
        <f>IF(NOT(SOURCING_MODEL="SaaS (vendor infrastructure)"),"Applicable","N/A")</f>
        <v/>
      </c>
      <c r="I43" s="33">
        <f>IF(H43="N/A","N/A",IF(D43="",IF(F43="Yes","Missing","Optional"),IF(AND(F43="Yes",D43="Don't know"),"Review","OK")))</f>
        <v/>
      </c>
    </row>
    <row r="44" ht="45.75" customHeight="1" s="19">
      <c r="A44" s="29" t="inlineStr">
        <is>
          <t>WAF_IN_FRONT</t>
        </is>
      </c>
      <c r="B44" s="30" t="inlineStr">
        <is>
          <t>Is there a WAF or API gateway in front of it?</t>
        </is>
      </c>
      <c r="C44" s="30" t="inlineStr">
        <is>
          <t>Yes, No, Don't know</t>
        </is>
      </c>
      <c r="D44" s="55" t="n"/>
      <c r="E44" s="32" t="n"/>
      <c r="F44" s="56" t="inlineStr">
        <is>
          <t>Yes</t>
        </is>
      </c>
      <c r="G44" s="32" t="inlineStr">
        <is>
          <t>EXPOSURE ≠ Internal only</t>
        </is>
      </c>
      <c r="H44" s="33">
        <f>IF(NOT(EXPOSURE="Internal only"),"Applicable","N/A")</f>
        <v/>
      </c>
      <c r="I44" s="33">
        <f>IF(H44="N/A","N/A",IF(D44="",IF(F44="Yes","Missing","Optional"),IF(AND(F44="Yes",D44="Don't know"),"Review","OK")))</f>
        <v/>
      </c>
    </row>
    <row r="45" ht="45.75" customHeight="1" s="19">
      <c r="A45" s="29" t="inlineStr">
        <is>
          <t>OPENAPI_AVAILABLE</t>
        </is>
      </c>
      <c r="B45" s="30" t="inlineStr">
        <is>
          <t>Is an OpenAPI/Swagger specification available?</t>
        </is>
      </c>
      <c r="C45" s="30" t="inlineStr">
        <is>
          <t>Yes, No, Don't know</t>
        </is>
      </c>
      <c r="D45" s="55" t="n"/>
      <c r="E45" s="32" t="inlineStr">
        <is>
          <t>Hook for future automatic enrichment.</t>
        </is>
      </c>
      <c r="F45" s="56" t="inlineStr">
        <is>
          <t>No</t>
        </is>
      </c>
      <c r="G45" s="32" t="inlineStr">
        <is>
          <t>API_EXPOSED = Yes</t>
        </is>
      </c>
      <c r="H45" s="33">
        <f>IF(API_EXPOSED="Yes","Applicable","N/A")</f>
        <v/>
      </c>
      <c r="I45" s="33">
        <f>IF(H45="N/A","N/A",IF(D45="",IF(F45="Yes","Missing","Optional"),IF(AND(F45="Yes",D45="Don't know"),"Review","OK")))</f>
        <v/>
      </c>
    </row>
    <row r="46" ht="45.75" customHeight="1" s="19">
      <c r="A46" s="29" t="inlineStr">
        <is>
          <t>IAC_AVAILABLE</t>
        </is>
      </c>
      <c r="B46" s="30" t="inlineStr">
        <is>
          <t>Is the infrastructure defined as code (Terraform, etc.)?</t>
        </is>
      </c>
      <c r="C46" s="30" t="inlineStr">
        <is>
          <t>Yes, No, Don't know</t>
        </is>
      </c>
      <c r="D46" s="55" t="n"/>
      <c r="E46" s="32" t="inlineStr">
        <is>
          <t>Hook for future automatic enrichment.</t>
        </is>
      </c>
      <c r="F46" s="56" t="inlineStr">
        <is>
          <t>No</t>
        </is>
      </c>
      <c r="G46" s="32" t="inlineStr">
        <is>
          <t>SOURCING_MODEL ≠ SaaS (vendor infrastructure)</t>
        </is>
      </c>
      <c r="H46" s="33">
        <f>IF(NOT(SOURCING_MODEL="SaaS (vendor infrastructure)"),"Applicable","N/A")</f>
        <v/>
      </c>
      <c r="I46" s="33">
        <f>IF(H46="N/A","N/A",IF(D46="",IF(F46="Yes","Missing","Optional"),IF(AND(F46="Yes",D46="Don't know"),"Review","OK")))</f>
        <v/>
      </c>
    </row>
    <row r="47" ht="18" customHeight="1" s="19">
      <c r="A47" s="54" t="inlineStr">
        <is>
          <t>K. COTS and vendor</t>
        </is>
      </c>
      <c r="B47" s="54" t="n"/>
      <c r="C47" s="54" t="n"/>
      <c r="D47" s="54" t="n"/>
      <c r="E47" s="54" t="n"/>
      <c r="F47" s="54" t="n"/>
      <c r="G47" s="54" t="n"/>
      <c r="H47" s="54" t="n"/>
      <c r="I47" s="54" t="n"/>
    </row>
    <row r="48" ht="60" customHeight="1" s="19">
      <c r="A48" s="29" t="inlineStr">
        <is>
          <t>VENDOR_NAME</t>
        </is>
      </c>
      <c r="B48" s="30" t="inlineStr">
        <is>
          <t>Vendor and product name</t>
        </is>
      </c>
      <c r="C48" s="30" t="inlineStr">
        <is>
          <t>Free text</t>
        </is>
      </c>
      <c r="D48" s="55" t="n"/>
      <c r="E48" s="32" t="n"/>
      <c r="F48" s="56" t="inlineStr">
        <is>
          <t>Yes</t>
        </is>
      </c>
      <c r="G48" s="32" t="inlineStr">
        <is>
          <t>SOURCING_MODEL is one of: COTS (vendor product on our infrastructure); COTS with customizations; Vendor appliance (physical/virtual)</t>
        </is>
      </c>
      <c r="H48" s="33">
        <f>IF(OR(SOURCING_MODEL="COTS (vendor product on our infrastructure)",SOURCING_MODEL="COTS with customizations",SOURCING_MODEL="Vendor appliance (physical/virtual)"),"Applicable","N/A")</f>
        <v/>
      </c>
      <c r="I48" s="33">
        <f>IF(H48="N/A","N/A",IF(D48="",IF(F48="Yes","Missing","Optional"),IF(AND(F48="Yes",D48="Don't know"),"Review","OK")))</f>
        <v/>
      </c>
    </row>
    <row r="49" ht="60" customHeight="1" s="19">
      <c r="A49" s="29" t="inlineStr">
        <is>
          <t>PRODUCT_VERSION</t>
        </is>
      </c>
      <c r="B49" s="30" t="inlineStr">
        <is>
          <t>Product version in use</t>
        </is>
      </c>
      <c r="C49" s="30" t="inlineStr">
        <is>
          <t>Free text</t>
        </is>
      </c>
      <c r="D49" s="55" t="n"/>
      <c r="E49" s="32" t="n"/>
      <c r="F49" s="56" t="inlineStr">
        <is>
          <t>Yes</t>
        </is>
      </c>
      <c r="G49" s="32" t="inlineStr">
        <is>
          <t>SOURCING_MODEL is one of: COTS (vendor product on our infrastructure); COTS with customizations; Vendor appliance (physical/virtual)</t>
        </is>
      </c>
      <c r="H49" s="33">
        <f>IF(OR(SOURCING_MODEL="COTS (vendor product on our infrastructure)",SOURCING_MODEL="COTS with customizations",SOURCING_MODEL="Vendor appliance (physical/virtual)"),"Applicable","N/A")</f>
        <v/>
      </c>
      <c r="I49" s="33">
        <f>IF(H49="N/A","N/A",IF(D49="",IF(F49="Yes","Missing","Optional"),IF(AND(F49="Yes",D49="Don't know"),"Review","OK")))</f>
        <v/>
      </c>
    </row>
    <row r="50" ht="60" customHeight="1" s="19">
      <c r="A50" s="29" t="inlineStr">
        <is>
          <t>VENDOR_SUPPORTED</t>
        </is>
      </c>
      <c r="B50" s="30" t="inlineStr">
        <is>
          <t>Is this version still supported by the vendor (not end-of-life)?</t>
        </is>
      </c>
      <c r="C50" s="30" t="inlineStr">
        <is>
          <t>Yes, No, Don't know</t>
        </is>
      </c>
      <c r="D50" s="55" t="n"/>
      <c r="E50" s="32" t="n"/>
      <c r="F50" s="56" t="inlineStr">
        <is>
          <t>Yes</t>
        </is>
      </c>
      <c r="G50" s="32" t="inlineStr">
        <is>
          <t>SOURCING_MODEL is one of: COTS (vendor product on our infrastructure); COTS with customizations; Vendor appliance (physical/virtual)</t>
        </is>
      </c>
      <c r="H50" s="33">
        <f>IF(OR(SOURCING_MODEL="COTS (vendor product on our infrastructure)",SOURCING_MODEL="COTS with customizations",SOURCING_MODEL="Vendor appliance (physical/virtual)"),"Applicable","N/A")</f>
        <v/>
      </c>
      <c r="I50" s="33">
        <f>IF(H50="N/A","N/A",IF(D50="",IF(F50="Yes","Missing","Optional"),IF(AND(F50="Yes",D50="Don't know"),"Review","OK")))</f>
        <v/>
      </c>
    </row>
    <row r="51" ht="60" customHeight="1" s="19">
      <c r="A51" s="29" t="inlineStr">
        <is>
          <t>PATCH_RESPONSIBILITY</t>
        </is>
      </c>
      <c r="B51" s="30" t="inlineStr">
        <is>
          <t>Who applies security patches?</t>
        </is>
      </c>
      <c r="C51" s="30" t="inlineStr">
        <is>
          <t>Vendor, Internal team, Shared, Nobody defined</t>
        </is>
      </c>
      <c r="D51" s="55" t="n"/>
      <c r="E51" s="32" t="n"/>
      <c r="F51" s="56" t="inlineStr">
        <is>
          <t>Yes</t>
        </is>
      </c>
      <c r="G51" s="32" t="inlineStr">
        <is>
          <t>SOURCING_MODEL is one of: COTS (vendor product on our infrastructure); COTS with customizations; Vendor appliance (physical/virtual)</t>
        </is>
      </c>
      <c r="H51" s="33">
        <f>IF(OR(SOURCING_MODEL="COTS (vendor product on our infrastructure)",SOURCING_MODEL="COTS with customizations",SOURCING_MODEL="Vendor appliance (physical/virtual)"),"Applicable","N/A")</f>
        <v/>
      </c>
      <c r="I51" s="33">
        <f>IF(H51="N/A","N/A",IF(D51="",IF(F51="Yes","Missing","Optional"),IF(AND(F51="Yes",D51="Don't know"),"Review","OK")))</f>
        <v/>
      </c>
    </row>
    <row r="52" ht="60" customHeight="1" s="19">
      <c r="A52" s="29" t="inlineStr">
        <is>
          <t>PATCH_SLA_DEFINED</t>
        </is>
      </c>
      <c r="B52" s="30" t="inlineStr">
        <is>
          <t>Is there a defined SLA for applying security patches?</t>
        </is>
      </c>
      <c r="C52" s="30" t="inlineStr">
        <is>
          <t>Yes, No, Don't know</t>
        </is>
      </c>
      <c r="D52" s="55" t="n"/>
      <c r="E52" s="32" t="n"/>
      <c r="F52" s="56" t="inlineStr">
        <is>
          <t>Yes</t>
        </is>
      </c>
      <c r="G52" s="32" t="inlineStr">
        <is>
          <t>SOURCING_MODEL is one of: COTS (vendor product on our infrastructure); COTS with customizations; Vendor appliance (physical/virtual)</t>
        </is>
      </c>
      <c r="H52" s="33">
        <f>IF(OR(SOURCING_MODEL="COTS (vendor product on our infrastructure)",SOURCING_MODEL="COTS with customizations",SOURCING_MODEL="Vendor appliance (physical/virtual)"),"Applicable","N/A")</f>
        <v/>
      </c>
      <c r="I52" s="33">
        <f>IF(H52="N/A","N/A",IF(D52="",IF(F52="Yes","Missing","Optional"),IF(AND(F52="Yes",D52="Don't know"),"Review","OK")))</f>
        <v/>
      </c>
    </row>
    <row r="53" ht="60" customHeight="1" s="19">
      <c r="A53" s="29" t="inlineStr">
        <is>
          <t>VENDOR_REMOTE_ACCESS</t>
        </is>
      </c>
      <c r="B53" s="30" t="inlineStr">
        <is>
          <t>Does the vendor have remote access to the environment?</t>
        </is>
      </c>
      <c r="C53" s="30" t="inlineStr">
        <is>
          <t>No; Yes, on demand and controlled (approval, PAM, session recording); Yes, permanent; Don't know</t>
        </is>
      </c>
      <c r="D53" s="55" t="n"/>
      <c r="E53" s="32" t="n"/>
      <c r="F53" s="56" t="inlineStr">
        <is>
          <t>Yes</t>
        </is>
      </c>
      <c r="G53" s="32" t="inlineStr">
        <is>
          <t>SOURCING_MODEL is one of: COTS (vendor product on our infrastructure); COTS with customizations; Vendor appliance (physical/virtual)</t>
        </is>
      </c>
      <c r="H53" s="33">
        <f>IF(OR(SOURCING_MODEL="COTS (vendor product on our infrastructure)",SOURCING_MODEL="COTS with customizations",SOURCING_MODEL="Vendor appliance (physical/virtual)"),"Applicable","N/A")</f>
        <v/>
      </c>
      <c r="I53" s="33">
        <f>IF(H53="N/A","N/A",IF(D53="",IF(F53="Yes","Missing","Optional"),IF(AND(F53="Yes",D53="Don't know"),"Review","OK")))</f>
        <v/>
      </c>
    </row>
    <row r="54" ht="60" customHeight="1" s="19">
      <c r="A54" s="29" t="inlineStr">
        <is>
          <t>DEFAULT_CREDENTIALS_CHANGED</t>
        </is>
      </c>
      <c r="B54" s="30" t="inlineStr">
        <is>
          <t>Were all default/vendor accounts and passwords changed or disabled?</t>
        </is>
      </c>
      <c r="C54" s="30" t="inlineStr">
        <is>
          <t>Yes, No, Don't know</t>
        </is>
      </c>
      <c r="D54" s="55" t="n"/>
      <c r="E54" s="32" t="n"/>
      <c r="F54" s="56" t="inlineStr">
        <is>
          <t>Yes</t>
        </is>
      </c>
      <c r="G54" s="32" t="inlineStr">
        <is>
          <t>SOURCING_MODEL is one of: COTS (vendor product on our infrastructure); COTS with customizations; Vendor appliance (physical/virtual)</t>
        </is>
      </c>
      <c r="H54" s="33">
        <f>IF(OR(SOURCING_MODEL="COTS (vendor product on our infrastructure)",SOURCING_MODEL="COTS with customizations",SOURCING_MODEL="Vendor appliance (physical/virtual)"),"Applicable","N/A")</f>
        <v/>
      </c>
      <c r="I54" s="33">
        <f>IF(H54="N/A","N/A",IF(D54="",IF(F54="Yes","Missing","Optional"),IF(AND(F54="Yes",D54="Don't know"),"Review","OK")))</f>
        <v/>
      </c>
    </row>
    <row r="55" ht="60" customHeight="1" s="19">
      <c r="A55" s="29" t="inlineStr">
        <is>
          <t>CUSTOMIZATIONS</t>
        </is>
      </c>
      <c r="B55" s="30" t="inlineStr">
        <is>
          <t>Did we develop customizations (plugins, scripts, extensions)?</t>
        </is>
      </c>
      <c r="C55" s="30" t="inlineStr">
        <is>
          <t>Yes, No</t>
        </is>
      </c>
      <c r="D55" s="55" t="n"/>
      <c r="E55" s="32" t="n"/>
      <c r="F55" s="56" t="inlineStr">
        <is>
          <t>Yes</t>
        </is>
      </c>
      <c r="G55" s="32" t="inlineStr">
        <is>
          <t>SOURCING_MODEL is one of: COTS (vendor product on our infrastructure); COTS with customizations; Vendor appliance (physical/virtual)</t>
        </is>
      </c>
      <c r="H55" s="33">
        <f>IF(OR(SOURCING_MODEL="COTS (vendor product on our infrastructure)",SOURCING_MODEL="COTS with customizations",SOURCING_MODEL="Vendor appliance (physical/virtual)"),"Applicable","N/A")</f>
        <v/>
      </c>
      <c r="I55" s="33">
        <f>IF(H55="N/A","N/A",IF(D55="",IF(F55="Yes","Missing","Optional"),IF(AND(F55="Yes",D55="Don't know"),"Review","OK")))</f>
        <v/>
      </c>
    </row>
    <row r="56" ht="45.75" customHeight="1" s="19">
      <c r="A56" s="29" t="inlineStr">
        <is>
          <t>CUSTOMIZATIONS_IN_REPO</t>
        </is>
      </c>
      <c r="B56" s="30" t="inlineStr">
        <is>
          <t>Is the customization code in a company repository?</t>
        </is>
      </c>
      <c r="C56" s="30" t="inlineStr">
        <is>
          <t>Yes, No, Don't know</t>
        </is>
      </c>
      <c r="D56" s="55" t="n"/>
      <c r="E56" s="32" t="n"/>
      <c r="F56" s="56" t="inlineStr">
        <is>
          <t>Yes</t>
        </is>
      </c>
      <c r="G56" s="32" t="inlineStr">
        <is>
          <t>CUSTOMIZATIONS = Yes</t>
        </is>
      </c>
      <c r="H56" s="33">
        <f>IF(AND($H$55="Applicable",CUSTOMIZATIONS="Yes"),"Applicable","N/A")</f>
        <v/>
      </c>
      <c r="I56" s="33">
        <f>IF(H56="N/A","N/A",IF(D56="",IF(F56="Yes","Missing","Optional"),IF(AND(F56="Yes",D56="Don't know"),"Review","OK")))</f>
        <v/>
      </c>
    </row>
    <row r="57" ht="60" customHeight="1" s="19">
      <c r="A57" s="29" t="inlineStr">
        <is>
          <t>SBOM_AVAILABLE</t>
        </is>
      </c>
      <c r="B57" s="30" t="inlineStr">
        <is>
          <t>Does the vendor provide an SBOM / list of components?</t>
        </is>
      </c>
      <c r="C57" s="30" t="inlineStr">
        <is>
          <t>Yes, No, Don't know</t>
        </is>
      </c>
      <c r="D57" s="55" t="n"/>
      <c r="E57" s="32" t="n"/>
      <c r="F57" s="56" t="inlineStr">
        <is>
          <t>No</t>
        </is>
      </c>
      <c r="G57" s="32" t="inlineStr">
        <is>
          <t>SOURCING_MODEL is one of: COTS (vendor product on our infrastructure); COTS with customizations; Vendor appliance (physical/virtual)</t>
        </is>
      </c>
      <c r="H57" s="33">
        <f>IF(OR(SOURCING_MODEL="COTS (vendor product on our infrastructure)",SOURCING_MODEL="COTS with customizations",SOURCING_MODEL="Vendor appliance (physical/virtual)"),"Applicable","N/A")</f>
        <v/>
      </c>
      <c r="I57" s="33">
        <f>IF(H57="N/A","N/A",IF(D57="",IF(F57="Yes","Missing","Optional"),IF(AND(F57="Yes",D57="Don't know"),"Review","OK")))</f>
        <v/>
      </c>
    </row>
    <row r="58" ht="60" customHeight="1" s="19">
      <c r="A58" s="29" t="inlineStr">
        <is>
          <t>VENDOR_SECURITY_EVIDENCE</t>
        </is>
      </c>
      <c r="B58" s="30" t="inlineStr">
        <is>
          <t>Does the vendor provide security evidence (pentest report, SOC 2, ISO 27001)?</t>
        </is>
      </c>
      <c r="C58" s="30" t="inlineStr">
        <is>
          <t>Yes, No, Don't know</t>
        </is>
      </c>
      <c r="D58" s="55" t="n"/>
      <c r="E58" s="32" t="n"/>
      <c r="F58" s="56" t="inlineStr">
        <is>
          <t>No</t>
        </is>
      </c>
      <c r="G58" s="32" t="inlineStr">
        <is>
          <t>SOURCING_MODEL is one of: COTS (vendor product on our infrastructure); COTS with customizations; Vendor appliance (physical/virtual)</t>
        </is>
      </c>
      <c r="H58" s="33">
        <f>IF(OR(SOURCING_MODEL="COTS (vendor product on our infrastructure)",SOURCING_MODEL="COTS with customizations",SOURCING_MODEL="Vendor appliance (physical/virtual)"),"Applicable","N/A")</f>
        <v/>
      </c>
      <c r="I58" s="33">
        <f>IF(H58="N/A","N/A",IF(D58="",IF(F58="Yes","Missing","Optional"),IF(AND(F58="Yes",D58="Don't know"),"Review","OK")))</f>
        <v/>
      </c>
    </row>
    <row r="59" ht="60" customHeight="1" s="19">
      <c r="A59" s="29" t="inlineStr">
        <is>
          <t>OUTBOUND_VENDOR_TELEMETRY</t>
        </is>
      </c>
      <c r="B59" s="30" t="inlineStr">
        <is>
          <t>Does the product send data to the vendor (telemetry, license check, updates)?</t>
        </is>
      </c>
      <c r="C59" s="30" t="inlineStr">
        <is>
          <t>Yes, No, Don't know</t>
        </is>
      </c>
      <c r="D59" s="55" t="n"/>
      <c r="E59" s="32" t="n"/>
      <c r="F59" s="56" t="inlineStr">
        <is>
          <t>Yes</t>
        </is>
      </c>
      <c r="G59" s="32" t="inlineStr">
        <is>
          <t>SOURCING_MODEL is one of: COTS (vendor product on our infrastructure); COTS with customizations; Vendor appliance (physical/virtual)</t>
        </is>
      </c>
      <c r="H59" s="33">
        <f>IF(OR(SOURCING_MODEL="COTS (vendor product on our infrastructure)",SOURCING_MODEL="COTS with customizations",SOURCING_MODEL="Vendor appliance (physical/virtual)"),"Applicable","N/A")</f>
        <v/>
      </c>
      <c r="I59" s="33">
        <f>IF(H59="N/A","N/A",IF(D59="",IF(F59="Yes","Missing","Optional"),IF(AND(F59="Yes",D59="Don't know"),"Review","OK")))</f>
        <v/>
      </c>
    </row>
    <row r="60" ht="18" customHeight="1" s="19">
      <c r="A60" s="54" t="inlineStr">
        <is>
          <t>L. Logging and monitoring</t>
        </is>
      </c>
      <c r="B60" s="54" t="n"/>
      <c r="C60" s="54" t="n"/>
      <c r="D60" s="54" t="n"/>
      <c r="E60" s="54" t="n"/>
      <c r="F60" s="54" t="n"/>
      <c r="G60" s="54" t="n"/>
      <c r="H60" s="54" t="n"/>
      <c r="I60" s="54" t="n"/>
    </row>
    <row r="61" ht="45.75" customHeight="1" s="19">
      <c r="A61" s="29" t="inlineStr">
        <is>
          <t>LOG_AUTH_EVENTS</t>
        </is>
      </c>
      <c r="B61" s="30" t="inlineStr">
        <is>
          <t>Does it log logins, failed logins and logouts?</t>
        </is>
      </c>
      <c r="C61" s="30" t="inlineStr">
        <is>
          <t>Yes, No, Don't know</t>
        </is>
      </c>
      <c r="D61" s="55" t="n"/>
      <c r="E61" s="32" t="n"/>
      <c r="F61" s="56" t="inlineStr">
        <is>
          <t>Yes</t>
        </is>
      </c>
      <c r="G61" s="32" t="n"/>
      <c r="H61" s="33" t="inlineStr">
        <is>
          <t>Applicable</t>
        </is>
      </c>
      <c r="I61" s="33">
        <f>IF(H61="N/A","N/A",IF(D61="",IF(F61="Yes","Missing","Optional"),IF(AND(F61="Yes",D61="Don't know"),"Review","OK")))</f>
        <v/>
      </c>
    </row>
    <row r="62" ht="45.75" customHeight="1" s="19">
      <c r="A62" s="29" t="inlineStr">
        <is>
          <t>LOG_ADMIN_ACTIONS</t>
        </is>
      </c>
      <c r="B62" s="30" t="inlineStr">
        <is>
          <t>Does it log administrative actions and configuration changes?</t>
        </is>
      </c>
      <c r="C62" s="30" t="inlineStr">
        <is>
          <t>Yes, No, Don't know</t>
        </is>
      </c>
      <c r="D62" s="55" t="n"/>
      <c r="E62" s="32" t="n"/>
      <c r="F62" s="56" t="inlineStr">
        <is>
          <t>Yes</t>
        </is>
      </c>
      <c r="G62" s="32" t="n"/>
      <c r="H62" s="33" t="inlineStr">
        <is>
          <t>Applicable</t>
        </is>
      </c>
      <c r="I62" s="33">
        <f>IF(H62="N/A","N/A",IF(D62="",IF(F62="Yes","Missing","Optional"),IF(AND(F62="Yes",D62="Don't know"),"Review","OK")))</f>
        <v/>
      </c>
    </row>
    <row r="63" ht="45.75" customHeight="1" s="19">
      <c r="A63" s="29" t="inlineStr">
        <is>
          <t>LOGS_CENTRALIZED</t>
        </is>
      </c>
      <c r="B63" s="30" t="inlineStr">
        <is>
          <t>Are application logs sent to the central log/monitoring platform?</t>
        </is>
      </c>
      <c r="C63" s="30" t="inlineStr">
        <is>
          <t>Yes, No, Don't know</t>
        </is>
      </c>
      <c r="D63" s="55" t="n"/>
      <c r="E63" s="32" t="n"/>
      <c r="F63" s="56" t="inlineStr">
        <is>
          <t>Yes</t>
        </is>
      </c>
      <c r="G63" s="32" t="n"/>
      <c r="H63" s="33" t="inlineStr">
        <is>
          <t>Applicable</t>
        </is>
      </c>
      <c r="I63" s="33">
        <f>IF(H63="N/A","N/A",IF(D63="",IF(F63="Yes","Missing","Optional"),IF(AND(F63="Yes",D63="Don't know"),"Review","OK")))</f>
        <v/>
      </c>
    </row>
    <row r="64" ht="45.75" customHeight="1" s="19">
      <c r="A64" s="29" t="inlineStr">
        <is>
          <t>HOST_EDR</t>
        </is>
      </c>
      <c r="B64" s="30" t="inlineStr">
        <is>
          <t>Do the servers/containers have EDR/endpoint monitoring?</t>
        </is>
      </c>
      <c r="C64" s="30" t="inlineStr">
        <is>
          <t>Yes, No, Don't know</t>
        </is>
      </c>
      <c r="D64" s="55" t="n"/>
      <c r="E64" s="32" t="n"/>
      <c r="F64" s="56" t="inlineStr">
        <is>
          <t>Yes</t>
        </is>
      </c>
      <c r="G64" s="32" t="inlineStr">
        <is>
          <t>SOURCING_MODEL ≠ SaaS (vendor infrastructure)</t>
        </is>
      </c>
      <c r="H64" s="33">
        <f>IF(NOT(SOURCING_MODEL="SaaS (vendor infrastructure)"),"Applicable","N/A")</f>
        <v/>
      </c>
      <c r="I64" s="33">
        <f>IF(H64="N/A","N/A",IF(D64="",IF(F64="Yes","Missing","Optional"),IF(AND(F64="Yes",D64="Don't know"),"Review","OK")))</f>
        <v/>
      </c>
    </row>
    <row r="65" ht="45.75" customHeight="1" s="19">
      <c r="A65" s="29" t="inlineStr">
        <is>
          <t>HOST_FIM</t>
        </is>
      </c>
      <c r="B65" s="30" t="inlineStr">
        <is>
          <t>Is file integrity monitoring enabled on the servers?</t>
        </is>
      </c>
      <c r="C65" s="30" t="inlineStr">
        <is>
          <t>Yes, No, Don't know</t>
        </is>
      </c>
      <c r="D65" s="55" t="n"/>
      <c r="E65" s="32" t="n"/>
      <c r="F65" s="56" t="inlineStr">
        <is>
          <t>No</t>
        </is>
      </c>
      <c r="G65" s="32" t="inlineStr">
        <is>
          <t>SOURCING_MODEL ≠ SaaS (vendor infrastructure)</t>
        </is>
      </c>
      <c r="H65" s="33">
        <f>IF(NOT(SOURCING_MODEL="SaaS (vendor infrastructure)"),"Applicable","N/A")</f>
        <v/>
      </c>
      <c r="I65" s="33">
        <f>IF(H65="N/A","N/A",IF(D65="",IF(F65="Yes","Missing","Optional"),IF(AND(F65="Yes",D65="Don't know"),"Review","OK")))</f>
        <v/>
      </c>
    </row>
    <row r="66" ht="18" customHeight="1" s="19">
      <c r="A66" s="54" t="inlineStr">
        <is>
          <t>M. Final</t>
        </is>
      </c>
      <c r="B66" s="54" t="n"/>
      <c r="C66" s="54" t="n"/>
      <c r="D66" s="54" t="n"/>
      <c r="E66" s="54" t="n"/>
      <c r="F66" s="54" t="n"/>
      <c r="G66" s="54" t="n"/>
      <c r="H66" s="54" t="n"/>
      <c r="I66" s="54" t="n"/>
    </row>
    <row r="67" ht="60" customHeight="1" s="19">
      <c r="A67" s="29" t="inlineStr">
        <is>
          <t>KNOWN_SECURITY_CONCERNS</t>
        </is>
      </c>
      <c r="B67" s="30" t="inlineStr">
        <is>
          <t>Any known security concern, past incident or pending audit finding?</t>
        </is>
      </c>
      <c r="C67" s="30" t="inlineStr">
        <is>
          <t>Free text (2-3 lines)</t>
        </is>
      </c>
      <c r="D67" s="55" t="n"/>
      <c r="E67" s="32" t="n"/>
      <c r="F67" s="56" t="inlineStr">
        <is>
          <t>No</t>
        </is>
      </c>
      <c r="G67" s="32" t="n"/>
      <c r="H67" s="33" t="inlineStr">
        <is>
          <t>Applicable</t>
        </is>
      </c>
      <c r="I67" s="33">
        <f>IF(H67="N/A","N/A",IF(D67="",IF(F67="Yes","Missing","Optional"),IF(AND(F67="Yes",D67="Don't know"),"Review","OK")))</f>
        <v/>
      </c>
    </row>
    <row r="68" ht="45.75" customHeight="1" s="19">
      <c r="A68" s="29" t="inlineStr">
        <is>
          <t>RESPONDENT</t>
        </is>
      </c>
      <c r="B68" s="30" t="inlineStr">
        <is>
          <t>Name and role of who filled this questionnaire</t>
        </is>
      </c>
      <c r="C68" s="30" t="inlineStr">
        <is>
          <t>Free text</t>
        </is>
      </c>
      <c r="D68" s="55" t="n"/>
      <c r="E68" s="32" t="n"/>
      <c r="F68" s="56" t="inlineStr">
        <is>
          <t>Yes</t>
        </is>
      </c>
      <c r="G68" s="32" t="n"/>
      <c r="H68" s="33" t="inlineStr">
        <is>
          <t>Applicable</t>
        </is>
      </c>
      <c r="I68" s="33">
        <f>IF(H68="N/A","N/A",IF(D68="",IF(F68="Yes","Missing","Optional"),IF(AND(F68="Yes",D68="Don't know"),"Review","OK")))</f>
        <v/>
      </c>
    </row>
    <row r="69" ht="45.75" customHeight="1" s="19">
      <c r="A69" s="29" t="inlineStr">
        <is>
          <t>RESPONSE_DATE</t>
        </is>
      </c>
      <c r="B69" s="30" t="inlineStr">
        <is>
          <t>Date filled</t>
        </is>
      </c>
      <c r="C69" s="30" t="inlineStr">
        <is>
          <t>Date (YYYY-MM-DD)</t>
        </is>
      </c>
      <c r="D69" s="57" t="n"/>
      <c r="E69" s="32" t="n"/>
      <c r="F69" s="56" t="inlineStr">
        <is>
          <t>Yes</t>
        </is>
      </c>
      <c r="G69" s="32" t="n"/>
      <c r="H69" s="33" t="inlineStr">
        <is>
          <t>Applicable</t>
        </is>
      </c>
      <c r="I69" s="33">
        <f>IF(H69="N/A","N/A",IF(D69="",IF(F69="Yes","Missing","Optional"),IF(AND(F69="Yes",D69="Don't know"),"Review","OK")))</f>
        <v/>
      </c>
    </row>
    <row r="70"/>
    <row r="71" ht="18" customHeight="1" s="19">
      <c r="A71" s="58" t="inlineStr">
        <is>
          <t>Result (computed — do not edit)</t>
        </is>
      </c>
      <c r="B71" s="58" t="n"/>
      <c r="C71" s="58" t="n"/>
      <c r="D71" s="58" t="n"/>
      <c r="E71" s="58" t="n"/>
      <c r="F71" s="58" t="n"/>
      <c r="G71" s="58" t="n"/>
      <c r="H71" s="58" t="n"/>
      <c r="I71" s="58" t="n"/>
    </row>
    <row r="72" ht="45.75" customHeight="1" s="19">
      <c r="A72" s="29" t="inlineStr">
        <is>
          <t>EXT_MISSING_COUNT</t>
        </is>
      </c>
      <c r="B72" s="30" t="inlineStr">
        <is>
          <t>Number of mandatory, applicable questions still unanswered.</t>
        </is>
      </c>
      <c r="C72" s="30" t="n"/>
      <c r="D72" s="33">
        <f>COUNTIF($I$5:$I$69,"Missing")</f>
        <v/>
      </c>
    </row>
    <row r="73" ht="45.75" customHeight="1" s="19">
      <c r="A73" s="29" t="inlineStr">
        <is>
          <t>NEEDS_SECURITY_REVIEW</t>
        </is>
      </c>
      <c r="B73" s="30" t="inlineStr">
        <is>
          <t>Yes when any Security review trigger below fired.</t>
        </is>
      </c>
      <c r="C73" s="30" t="n"/>
      <c r="D73" s="33">
        <f>IF(COUNTIF($D$80:$D$86,"Yes")&gt;0,"Yes","No")</f>
        <v/>
      </c>
    </row>
    <row r="74" ht="45.75" customHeight="1" s="19">
      <c r="A74" s="29" t="inlineStr">
        <is>
          <t>REVIEW_REASONS</t>
        </is>
      </c>
      <c r="B74" s="30" t="inlineStr">
        <is>
          <t>Why Security review is needed ('None' when it isn't).</t>
        </is>
      </c>
      <c r="C74" s="30" t="n"/>
      <c r="D74" s="33">
        <f>IF($D$73="Yes",LEFT($E$86,LEN($E$86)-2),"None")</f>
        <v/>
      </c>
      <c r="E74" s="59" t="n"/>
      <c r="F74" s="59" t="n"/>
      <c r="G74" s="59" t="n"/>
      <c r="H74" s="59" t="n"/>
      <c r="I74" s="60" t="n"/>
    </row>
    <row r="75" ht="30" customHeight="1" s="19">
      <c r="A75" s="29" t="inlineStr">
        <is>
          <t>ARCHETYPE_PRIMARY_ID</t>
        </is>
      </c>
      <c r="B75" s="30" t="inlineStr">
        <is>
          <t>ID of the primary archetype (blank when none fits or unanswered).</t>
        </is>
      </c>
      <c r="C75" s="30" t="n"/>
      <c r="D75" s="33" cm="1">
        <f t="array" ref="D75">IF(ARCHETYPE_PRIMARY="","",IFERROR(INDEX(ARCHETYPE_IDS,MATCH(ARCHETYPE_PRIMARY,ARCHETYPE_NAMES,0)),""))</f>
        <v/>
      </c>
    </row>
    <row r="76" ht="30" customHeight="1" s="19">
      <c r="A76" s="29" t="inlineStr">
        <is>
          <t>ARCHETYPE_SECONDARY_ID</t>
        </is>
      </c>
      <c r="B76" s="30" t="inlineStr">
        <is>
          <t>ID of the secondary archetype (blank when none).</t>
        </is>
      </c>
      <c r="C76" s="30" t="n"/>
      <c r="D76" s="33" cm="1">
        <f t="array" ref="D76">IF(ARCHETYPE_SECONDARY="","",IFERROR(INDEX(ARCHETYPE_IDS,MATCH(ARCHETYPE_SECONDARY,ARCHETYPE_NAMES,0)),""))</f>
        <v/>
      </c>
    </row>
    <row r="77" ht="30" customHeight="1" s="19">
      <c r="A77" s="29" t="inlineStr">
        <is>
          <t>IS_COTS</t>
        </is>
      </c>
      <c r="B77" s="30" t="inlineStr">
        <is>
          <t>TRUE when the application is a vendor product we run (COTS, COTS with customizations, appliance).</t>
        </is>
      </c>
      <c r="C77" s="30" t="n"/>
      <c r="D77" s="33" cm="1">
        <f t="array" ref="D77">OR(SOURCING_MODEL="COTS (vendor product on our infrastructure)",SOURCING_MODEL="COTS with customizations",SOURCING_MODEL="Vendor appliance (physical/virtual)")</f>
        <v/>
      </c>
    </row>
    <row r="78"/>
    <row r="79" ht="18" customHeight="1" s="19">
      <c r="A79" s="58" t="inlineStr">
        <is>
          <t>Security review triggers (computed — do not edit)</t>
        </is>
      </c>
      <c r="B79" s="58" t="inlineStr">
        <is>
          <t>Reason</t>
        </is>
      </c>
      <c r="C79" s="58" t="n"/>
      <c r="D79" s="58" t="inlineStr">
        <is>
          <t>Fired?</t>
        </is>
      </c>
      <c r="E79" s="58" t="inlineStr">
        <is>
          <t>Reasons so far (helper)</t>
        </is>
      </c>
      <c r="F79" s="58" t="n"/>
      <c r="G79" s="58" t="n"/>
      <c r="H79" s="58" t="n"/>
      <c r="I79" s="58" t="n"/>
    </row>
    <row r="80" ht="30" customHeight="1" s="19">
      <c r="A80" s="29" t="inlineStr">
        <is>
          <t>ARCHETYPE_NONE</t>
        </is>
      </c>
      <c r="B80" s="30" t="inlineStr">
        <is>
          <t>No archetype fits</t>
        </is>
      </c>
      <c r="C80" s="30" t="n"/>
      <c r="D80" s="33">
        <f>IF(ARCHETYPE_PRIMARY="None of these fits","Yes","No")</f>
        <v/>
      </c>
      <c r="E80" s="32">
        <f>IF(D80="Yes",B80&amp;"; ","")</f>
        <v/>
      </c>
    </row>
    <row r="81" ht="30" customHeight="1" s="19">
      <c r="A81" s="29" t="inlineStr">
        <is>
          <t>ARCHETYPE_DEVIATION</t>
        </is>
      </c>
      <c r="B81" s="30" t="inlineStr">
        <is>
          <t>Components or flows outside the selected archetype (or unknown)</t>
        </is>
      </c>
      <c r="C81" s="30" t="n"/>
      <c r="D81" s="33">
        <f>IF(OR(ARCHETYPE_DEVIATION="Yes",ARCHETYPE_DEVIATION="Don't know"),"Yes","No")</f>
        <v/>
      </c>
      <c r="E81" s="32">
        <f>E80&amp;IF(D81="Yes",B81&amp;"; ","")</f>
        <v/>
      </c>
    </row>
    <row r="82" ht="30" customHeight="1" s="19">
      <c r="A82" s="29" t="inlineStr">
        <is>
          <t>SAAS</t>
        </is>
      </c>
      <c r="B82" s="30" t="inlineStr">
        <is>
          <t>SaaS sourcing model (outside v1 archetypes)</t>
        </is>
      </c>
      <c r="C82" s="30" t="n"/>
      <c r="D82" s="33">
        <f>IF(SOURCING_MODEL="SaaS (vendor infrastructure)","Yes","No")</f>
        <v/>
      </c>
      <c r="E82" s="32">
        <f>E81&amp;IF(D82="Yes",B82&amp;"; ","")</f>
        <v/>
      </c>
    </row>
    <row r="83" ht="30" customHeight="1" s="19">
      <c r="A83" s="29" t="inlineStr">
        <is>
          <t>MANDATORY_DONT_KNOW</t>
        </is>
      </c>
      <c r="B83" s="30" t="inlineStr">
        <is>
          <t>Mandatory question answered Don't know</t>
        </is>
      </c>
      <c r="C83" s="30" t="n"/>
      <c r="D83" s="33">
        <f>IF(COUNTIF($I$5:$I$69,"Review")&gt;0,"Yes","No")</f>
        <v/>
      </c>
      <c r="E83" s="32">
        <f>E82&amp;IF(D83="Yes",B83&amp;"; ","")</f>
        <v/>
      </c>
    </row>
    <row r="84" ht="30" customHeight="1" s="19">
      <c r="A84" s="29" t="inlineStr">
        <is>
          <t>CRITICAL_TIER</t>
        </is>
      </c>
      <c r="B84" s="30" t="inlineStr">
        <is>
          <t>Application Risk Tier is Critical</t>
        </is>
      </c>
      <c r="C84" s="30" t="n"/>
      <c r="D84" s="33">
        <f>IF(APP_RISK_TIER="Critical","Yes","No")</f>
        <v/>
      </c>
      <c r="E84" s="32">
        <f>E83&amp;IF(D84="Yes",B84&amp;"; ","")</f>
        <v/>
      </c>
    </row>
    <row r="85" ht="30" customHeight="1" s="19">
      <c r="A85" s="29" t="inlineStr">
        <is>
          <t>VENDOR_REMOTE_ACCESS</t>
        </is>
      </c>
      <c r="B85" s="30" t="inlineStr">
        <is>
          <t>Permanent or unknown vendor remote access</t>
        </is>
      </c>
      <c r="C85" s="30" t="n"/>
      <c r="D85" s="33">
        <f>IF(AND($H$53="Applicable",OR(VENDOR_REMOTE_ACCESS="Yes, permanent",VENDOR_REMOTE_ACCESS="Don't know")),"Yes","No")</f>
        <v/>
      </c>
      <c r="E85" s="32">
        <f>E84&amp;IF(D85="Yes",B85&amp;"; ","")</f>
        <v/>
      </c>
    </row>
    <row r="86" ht="30" customHeight="1" s="19">
      <c r="A86" s="29" t="inlineStr">
        <is>
          <t>VENDOR_UNSUPPORTED</t>
        </is>
      </c>
      <c r="B86" s="30" t="inlineStr">
        <is>
          <t>Vendor version unsupported or support unknown</t>
        </is>
      </c>
      <c r="C86" s="30" t="n"/>
      <c r="D86" s="33">
        <f>IF(AND($H$50="Applicable",OR(VENDOR_SUPPORTED="No",VENDOR_SUPPORTED="Don't know")),"Yes","No")</f>
        <v/>
      </c>
      <c r="E86" s="32">
        <f>E85&amp;IF(D86="Yes",B86&amp;"; ","")</f>
        <v/>
      </c>
    </row>
  </sheetData>
  <mergeCells count="3">
    <mergeCell ref="A1:I1"/>
    <mergeCell ref="D74:I74"/>
    <mergeCell ref="A2:I2"/>
  </mergeCells>
  <conditionalFormatting sqref="I5:I69">
    <cfRule type="cellIs" priority="1" operator="equal" dxfId="14">
      <formula>"Missing"</formula>
    </cfRule>
    <cfRule type="cellIs" priority="2" operator="equal" dxfId="15">
      <formula>"Review"</formula>
    </cfRule>
  </conditionalFormatting>
  <conditionalFormatting sqref="A5:I69">
    <cfRule type="expression" priority="3" dxfId="16">
      <formula>$H5="N/A"</formula>
    </cfRule>
  </conditionalFormatting>
  <conditionalFormatting sqref="D72">
    <cfRule type="cellIs" priority="4" operator="greaterThan" dxfId="14">
      <formula>0</formula>
    </cfRule>
  </conditionalFormatting>
  <conditionalFormatting sqref="D73">
    <cfRule type="cellIs" priority="5" operator="equal" dxfId="15">
      <formula>"Yes"</formula>
    </cfRule>
  </conditionalFormatting>
  <conditionalFormatting sqref="D80:D86">
    <cfRule type="cellIs" priority="6" operator="equal" dxfId="11">
      <formula>"Yes"</formula>
    </cfRule>
  </conditionalFormatting>
  <dataValidations count="43">
    <dataValidation sqref="D10" showDropDown="0" showInputMessage="1" showErrorMessage="1" allowBlank="1" error="Choose one of the listed options." prompt="Choose an option." type="list">
      <formula1>LIST_LIFECYCLE_STATUS</formula1>
    </dataValidation>
    <dataValidation sqref="D12" showDropDown="0" showInputMessage="1" showErrorMessage="1" allowBlank="1" error="Choose one of the listed options." prompt="Choose an option." type="list">
      <formula1>LIST_YND</formula1>
    </dataValidation>
    <dataValidation sqref="D14" showDropDown="0" showInputMessage="1" showErrorMessage="1" allowBlank="1" error="Choose one of the listed options." prompt="Choose an option." type="list">
      <formula1>LIST_SOURCING_MODEL</formula1>
    </dataValidation>
    <dataValidation sqref="D16" showDropDown="0" showInputMessage="1" showErrorMessage="1" allowBlank="1" error="Choose one of the listed options." prompt="Choose an option." type="list">
      <formula1>LIST_ARCHETYPE_PRIMARY</formula1>
    </dataValidation>
    <dataValidation sqref="D17" showDropDown="0" showInputMessage="1" showErrorMessage="1" allowBlank="1" error="Choose one of the listed options." prompt="Choose an option." type="list">
      <formula1>LIST_ARCHETYPE_SECONDARY</formula1>
    </dataValidation>
    <dataValidation sqref="D18" showDropDown="0" showInputMessage="1" showErrorMessage="1" allowBlank="1" error="Choose one of the listed options." prompt="Choose an option." type="list">
      <formula1>LIST_YND</formula1>
    </dataValidation>
    <dataValidation sqref="D21" showDropDown="0" showInputMessage="1" showErrorMessage="1" allowBlank="1" error="Choose one of the listed options." prompt="Choose an option." type="list">
      <formula1>LIST_YN</formula1>
    </dataValidation>
    <dataValidation sqref="D22" showDropDown="0" showInputMessage="1" showErrorMessage="1" allowBlank="1" error="Choose one of the listed options." prompt="Choose an option." type="list">
      <formula1>LIST_YN</formula1>
    </dataValidation>
    <dataValidation sqref="D23" showDropDown="0" showInputMessage="1" showErrorMessage="1" allowBlank="1" error="Choose one of the listed options." prompt="Choose an option." type="list">
      <formula1>LIST_YN</formula1>
    </dataValidation>
    <dataValidation sqref="D24" showDropDown="0" showInputMessage="1" showErrorMessage="1" allowBlank="1" error="Choose one of the listed options." prompt="Choose an option." type="list">
      <formula1>LIST_YND</formula1>
    </dataValidation>
    <dataValidation sqref="D25" showDropDown="0" showInputMessage="1" showErrorMessage="1" allowBlank="1" error="Choose one of the listed options." prompt="Choose an option." type="list">
      <formula1>LIST_ADMIN_INTERFACE_REACH</formula1>
    </dataValidation>
    <dataValidation sqref="D27" showDropDown="0" showInputMessage="1" showErrorMessage="1" allowBlank="1" error="Choose one of the listed options." prompt="Choose an option." type="list">
      <formula1>LIST_YND</formula1>
    </dataValidation>
    <dataValidation sqref="D28" showDropDown="0" showInputMessage="1" showErrorMessage="1" allowBlank="1" error="Choose one of the listed options." prompt="Choose an option." type="list">
      <formula1>LIST_YND</formula1>
    </dataValidation>
    <dataValidation sqref="D29" showDropDown="0" showInputMessage="1" showErrorMessage="1" allowBlank="1" error="Choose one of the listed options." prompt="Choose an option." type="list">
      <formula1>LIST_AUTH_MFA</formula1>
    </dataValidation>
    <dataValidation sqref="D30" showDropDown="0" showInputMessage="1" showErrorMessage="1" allowBlank="1" error="Choose one of the listed options." prompt="Choose an option." type="list">
      <formula1>LIST_API_AUTH</formula1>
    </dataValidation>
    <dataValidation sqref="D31" showDropDown="0" showInputMessage="1" showErrorMessage="1" allowBlank="1" error="Choose one of the listed options." prompt="Choose an option." type="list">
      <formula1>LIST_YND</formula1>
    </dataValidation>
    <dataValidation sqref="D33" showDropDown="0" showInputMessage="1" showErrorMessage="1" allowBlank="1" error="Choose one of the listed options." prompt="Choose an option." type="list">
      <formula1>LIST_YN</formula1>
    </dataValidation>
    <dataValidation sqref="D34" showDropDown="0" showInputMessage="1" showErrorMessage="1" allowBlank="1" error="Choose one of the listed options." prompt="Choose an option." type="list">
      <formula1>LIST_YND</formula1>
    </dataValidation>
    <dataValidation sqref="D36" showDropDown="0" showInputMessage="1" showErrorMessage="1" allowBlank="1" error="Choose one of the listed options." prompt="Choose an option." type="list">
      <formula1>LIST_YND</formula1>
    </dataValidation>
    <dataValidation sqref="D37" showDropDown="0" showInputMessage="1" showErrorMessage="1" allowBlank="1" error="Choose one of the listed options." prompt="Choose an option." type="list">
      <formula1>LIST_YND</formula1>
    </dataValidation>
    <dataValidation sqref="D38" showDropDown="0" showInputMessage="1" showErrorMessage="1" allowBlank="1" error="Choose one of the listed options." prompt="Choose an option." type="list">
      <formula1>LIST_YND</formula1>
    </dataValidation>
    <dataValidation sqref="D39" showDropDown="0" showInputMessage="1" showErrorMessage="1" allowBlank="1" error="Choose one of the listed options." prompt="Choose an option." type="list">
      <formula1>LIST_YND</formula1>
    </dataValidation>
    <dataValidation sqref="D42" showDropDown="0" showInputMessage="1" showErrorMessage="1" allowBlank="1" error="Choose one of the listed options." prompt="Choose an option." type="list">
      <formula1>LIST_HOSTING</formula1>
    </dataValidation>
    <dataValidation sqref="D43" showDropDown="0" showInputMessage="1" showErrorMessage="1" allowBlank="1" error="Choose one of the listed options." prompt="Choose an option." type="list">
      <formula1>LIST_YND</formula1>
    </dataValidation>
    <dataValidation sqref="D44" showDropDown="0" showInputMessage="1" showErrorMessage="1" allowBlank="1" error="Choose one of the listed options." prompt="Choose an option." type="list">
      <formula1>LIST_YND</formula1>
    </dataValidation>
    <dataValidation sqref="D45" showDropDown="0" showInputMessage="1" showErrorMessage="1" allowBlank="1" error="Choose one of the listed options." prompt="Choose an option." type="list">
      <formula1>LIST_YND</formula1>
    </dataValidation>
    <dataValidation sqref="D46" showDropDown="0" showInputMessage="1" showErrorMessage="1" allowBlank="1" error="Choose one of the listed options." prompt="Choose an option." type="list">
      <formula1>LIST_YND</formula1>
    </dataValidation>
    <dataValidation sqref="D50" showDropDown="0" showInputMessage="1" showErrorMessage="1" allowBlank="1" error="Choose one of the listed options." prompt="Choose an option." type="list">
      <formula1>LIST_YND</formula1>
    </dataValidation>
    <dataValidation sqref="D51" showDropDown="0" showInputMessage="1" showErrorMessage="1" allowBlank="1" error="Choose one of the listed options." prompt="Choose an option." type="list">
      <formula1>LIST_PATCH_RESPONSIBILITY</formula1>
    </dataValidation>
    <dataValidation sqref="D52" showDropDown="0" showInputMessage="1" showErrorMessage="1" allowBlank="1" error="Choose one of the listed options." prompt="Choose an option." type="list">
      <formula1>LIST_YND</formula1>
    </dataValidation>
    <dataValidation sqref="D53" showDropDown="0" showInputMessage="1" showErrorMessage="1" allowBlank="1" error="Choose one of the listed options." prompt="Choose an option." type="list">
      <formula1>LIST_VENDOR_REMOTE_ACCESS</formula1>
    </dataValidation>
    <dataValidation sqref="D54" showDropDown="0" showInputMessage="1" showErrorMessage="1" allowBlank="1" error="Choose one of the listed options." prompt="Choose an option." type="list">
      <formula1>LIST_YND</formula1>
    </dataValidation>
    <dataValidation sqref="D55" showDropDown="0" showInputMessage="1" showErrorMessage="1" allowBlank="1" error="Choose one of the listed options." prompt="Choose an option." type="list">
      <formula1>LIST_YN</formula1>
    </dataValidation>
    <dataValidation sqref="D56" showDropDown="0" showInputMessage="1" showErrorMessage="1" allowBlank="1" error="Choose one of the listed options." prompt="Choose an option." type="list">
      <formula1>LIST_YND</formula1>
    </dataValidation>
    <dataValidation sqref="D57" showDropDown="0" showInputMessage="1" showErrorMessage="1" allowBlank="1" error="Choose one of the listed options." prompt="Choose an option." type="list">
      <formula1>LIST_YND</formula1>
    </dataValidation>
    <dataValidation sqref="D58" showDropDown="0" showInputMessage="1" showErrorMessage="1" allowBlank="1" error="Choose one of the listed options." prompt="Choose an option." type="list">
      <formula1>LIST_YND</formula1>
    </dataValidation>
    <dataValidation sqref="D59" showDropDown="0" showInputMessage="1" showErrorMessage="1" allowBlank="1" error="Choose one of the listed options." prompt="Choose an option." type="list">
      <formula1>LIST_YND</formula1>
    </dataValidation>
    <dataValidation sqref="D61" showDropDown="0" showInputMessage="1" showErrorMessage="1" allowBlank="1" error="Choose one of the listed options." prompt="Choose an option." type="list">
      <formula1>LIST_YND</formula1>
    </dataValidation>
    <dataValidation sqref="D62" showDropDown="0" showInputMessage="1" showErrorMessage="1" allowBlank="1" error="Choose one of the listed options." prompt="Choose an option." type="list">
      <formula1>LIST_YND</formula1>
    </dataValidation>
    <dataValidation sqref="D63" showDropDown="0" showInputMessage="1" showErrorMessage="1" allowBlank="1" error="Choose one of the listed options." prompt="Choose an option." type="list">
      <formula1>LIST_YND</formula1>
    </dataValidation>
    <dataValidation sqref="D64" showDropDown="0" showInputMessage="1" showErrorMessage="1" allowBlank="1" error="Choose one of the listed options." prompt="Choose an option." type="list">
      <formula1>LIST_YND</formula1>
    </dataValidation>
    <dataValidation sqref="D65" showDropDown="0" showInputMessage="1" showErrorMessage="1" allowBlank="1" error="Choose one of the listed options." prompt="Choose an option." type="list">
      <formula1>LIST_YND</formula1>
    </dataValidation>
    <dataValidation sqref="D69" showDropDown="0" showInputMessage="1" showErrorMessage="1" allowBlank="1" error="Enter a valid date (YYYY-MM-DD)." prompt="Enter a date (YYYY-MM-DD)." type="date" operator="greaterThan">
      <formula1>36526</formula1>
    </dataValidation>
  </dataValidations>
  <pageMargins left="0.75" right="0.75" top="1" bottom="1" header="0.5" footer="0.5"/>
</worksheet>
</file>

<file path=xl/worksheets/sheet4.xml><?xml version="1.0" encoding="utf-8"?>
<worksheet xmlns="http://schemas.openxmlformats.org/spreadsheetml/2006/main">
  <sheetPr>
    <tabColor rgb="FF2E75B6"/>
    <outlinePr summaryBelow="1" summaryRight="1"/>
    <pageSetUpPr/>
  </sheetPr>
  <dimension ref="A1:H72"/>
  <sheetViews>
    <sheetView showGridLines="0" tabSelected="0" workbookViewId="0">
      <pane ySplit="12" topLeftCell="A13" activePane="bottomLeft" state="frozen"/>
      <selection pane="bottomLeft" activeCell="A1" sqref="A1"/>
    </sheetView>
  </sheetViews>
  <sheetFormatPr baseColWidth="8" defaultRowHeight="15"/>
  <cols>
    <col width="24" customWidth="1" style="19" min="1" max="1"/>
    <col width="18" customWidth="1" style="19" min="2" max="2"/>
    <col width="32" customWidth="1" style="19" min="3" max="3"/>
    <col width="20" customWidth="1" style="19" min="4" max="4"/>
    <col width="22" customWidth="1" style="19" min="5" max="5"/>
    <col width="18" customWidth="1" style="19" min="6" max="6"/>
    <col width="20" customWidth="1" style="19" min="7" max="7"/>
    <col width="60" customWidth="1" style="19" min="8" max="8"/>
  </cols>
  <sheetData>
    <row r="1" ht="25.5" customHeight="1" s="19">
      <c r="A1" s="63" t="inlineStr">
        <is>
          <t>Threat Model</t>
        </is>
      </c>
      <c r="B1" s="64" t="n"/>
      <c r="C1" s="64" t="n"/>
      <c r="D1" s="64" t="n"/>
      <c r="E1" s="64" t="n"/>
      <c r="F1" s="64" t="n"/>
      <c r="G1" s="64" t="n"/>
      <c r="H1" s="64" t="n"/>
    </row>
    <row r="2" ht="45" customHeight="1" s="19">
      <c r="A2" s="65" t="inlineStr">
        <is>
          <t>Threats that apply to this application, computed from the characterization answers and the central threat catalog. Risk combines the threat's likelihood and impact with the application's Risk Tier; Mitigation status comes from the Coverage Status of the linked controls. Laid out to be copied into the Confluence 'Threat Model' section. Nothing to edit here.</t>
        </is>
      </c>
    </row>
    <row r="3"/>
    <row r="4">
      <c r="A4" s="66" t="inlineStr">
        <is>
          <t>Application</t>
        </is>
      </c>
      <c r="B4" s="67" cm="1">
        <f t="array" ref="B4">APP_NAME&amp;""</f>
        <v/>
      </c>
      <c r="D4" s="66" t="inlineStr">
        <is>
          <t>By risk</t>
        </is>
      </c>
      <c r="G4" s="66" t="inlineStr">
        <is>
          <t>By mitigation status</t>
        </is>
      </c>
    </row>
    <row r="5">
      <c r="A5" s="66" t="inlineStr">
        <is>
          <t>Application Risk Tier</t>
        </is>
      </c>
      <c r="B5" s="67" cm="1">
        <f t="array" ref="B5">APP_RISK_TIER</f>
        <v/>
      </c>
      <c r="D5" s="18" t="inlineStr">
        <is>
          <t>Critical</t>
        </is>
      </c>
      <c r="E5" s="67" cm="1">
        <f t="array" ref="E5">COUNTIFS(tblThreats[Applies],"Applies",tblThreats[Risk],"Critical")</f>
        <v/>
      </c>
      <c r="G5" s="18" t="inlineStr">
        <is>
          <t>Unmitigated</t>
        </is>
      </c>
      <c r="H5" s="67" cm="1">
        <f t="array" ref="H5">COUNTIFS(tblThreats[Applies],"Applies",tblThreats[Mitigation status],"Unmitigated")</f>
        <v/>
      </c>
    </row>
    <row r="6">
      <c r="A6" s="66" t="inlineStr">
        <is>
          <t>Threat model mode</t>
        </is>
      </c>
      <c r="B6" s="67" cm="1">
        <f t="array" ref="B6">TM_MODE</f>
        <v/>
      </c>
      <c r="D6" s="18" t="inlineStr">
        <is>
          <t>High</t>
        </is>
      </c>
      <c r="E6" s="67" cm="1">
        <f t="array" ref="E6">COUNTIFS(tblThreats[Applies],"Applies",tblThreats[Risk],"High")</f>
        <v/>
      </c>
      <c r="G6" s="18" t="inlineStr">
        <is>
          <t>Partially mitigated</t>
        </is>
      </c>
      <c r="H6" s="67" cm="1">
        <f t="array" ref="H6">COUNTIFS(tblThreats[Applies],"Applies",tblThreats[Mitigation status],"Partially mitigated")</f>
        <v/>
      </c>
    </row>
    <row r="7">
      <c r="A7" s="66" t="inlineStr">
        <is>
          <t>Security review required</t>
        </is>
      </c>
      <c r="B7" s="67" cm="1">
        <f t="array" ref="B7">NEEDS_SECURITY_REVIEW</f>
        <v/>
      </c>
      <c r="D7" s="18" t="inlineStr">
        <is>
          <t>Medium</t>
        </is>
      </c>
      <c r="E7" s="67" cm="1">
        <f t="array" ref="E7">COUNTIFS(tblThreats[Applies],"Applies",tblThreats[Risk],"Medium")</f>
        <v/>
      </c>
      <c r="G7" s="18" t="inlineStr">
        <is>
          <t>Not verified</t>
        </is>
      </c>
      <c r="H7" s="67" cm="1">
        <f t="array" ref="H7">COUNTIFS(tblThreats[Applies],"Applies",tblThreats[Mitigation status],"Not verified")</f>
        <v/>
      </c>
    </row>
    <row r="8">
      <c r="A8" s="66" t="inlineStr">
        <is>
          <t>Catalog health</t>
        </is>
      </c>
      <c r="B8" s="67" cm="1">
        <f t="array" ref="B8">CATALOG_HEALTH</f>
        <v/>
      </c>
      <c r="D8" s="18" t="inlineStr">
        <is>
          <t>Low</t>
        </is>
      </c>
      <c r="E8" s="67" cm="1">
        <f t="array" ref="E8">COUNTIFS(tblThreats[Applies],"Applies",tblThreats[Risk],"Low")</f>
        <v/>
      </c>
      <c r="G8" s="18" t="inlineStr">
        <is>
          <t>Mitigated</t>
        </is>
      </c>
      <c r="H8" s="67" cm="1">
        <f t="array" ref="H8">COUNTIFS(tblThreats[Applies],"Applies",tblThreats[Mitigation status],"Mitigated")</f>
        <v/>
      </c>
    </row>
    <row r="9">
      <c r="A9" s="66" t="inlineStr">
        <is>
          <t>Consistency warnings</t>
        </is>
      </c>
      <c r="B9" s="67" cm="1">
        <f t="array" ref="B9">COUNTIF(tblThreatControls[Warning],"?*")</f>
        <v/>
      </c>
      <c r="G9" s="18" t="inlineStr">
        <is>
          <t>No applicable controls</t>
        </is>
      </c>
      <c r="H9" s="67" cm="1">
        <f t="array" ref="H9">COUNTIFS(tblThreats[Applies],"Applies",tblThreats[Mitigation status],"No applicable controls")</f>
        <v/>
      </c>
    </row>
    <row r="10">
      <c r="A10" s="66" t="inlineStr">
        <is>
          <t>Applicable threats</t>
        </is>
      </c>
      <c r="B10" s="67" cm="1">
        <f t="array" ref="B10">COUNTIF(tblThreats[Applies],"Applies")</f>
        <v/>
      </c>
      <c r="G10" s="18" t="inlineStr">
        <is>
          <t>No controls mapped</t>
        </is>
      </c>
      <c r="H10" s="67" cm="1">
        <f t="array" ref="H10">COUNTIFS(tblThreats[Applies],"Applies",tblThreats[Mitigation status],"No controls mapped")</f>
        <v/>
      </c>
    </row>
    <row r="11"/>
    <row r="12">
      <c r="A12" s="68" t="inlineStr">
        <is>
          <t>Threat ID</t>
        </is>
      </c>
      <c r="B12" s="68" t="inlineStr">
        <is>
          <t>STRIDE</t>
        </is>
      </c>
      <c r="C12" s="68" t="inlineStr">
        <is>
          <t>Title</t>
        </is>
      </c>
      <c r="D12" s="68" t="inlineStr">
        <is>
          <t>Risk</t>
        </is>
      </c>
      <c r="E12" s="68" t="inlineStr">
        <is>
          <t>Mitigation status</t>
        </is>
      </c>
      <c r="F12" s="68" t="inlineStr">
        <is>
          <t>Controls (Full / Partial / Gap / Not assessed)</t>
        </is>
      </c>
      <c r="G12" s="68" t="inlineStr">
        <is>
          <t>Detections</t>
        </is>
      </c>
      <c r="H12" s="68" t="inlineStr">
        <is>
          <t>Description</t>
        </is>
      </c>
    </row>
    <row r="13">
      <c r="A13" s="69" cm="1">
        <f t="array" ref="A13">IF(B10=0,"No applicable threats",_xlfn.CHOOSECOLS(_xlfn._xlws.SORT(_xlfn._xlws.FILTER(_xlfn.HSTACK(tblThreats[Threat ID],tblThreats[STRIDE],tblThreats[Title],tblThreats[Risk],tblThreats[Mitigation status],tblThreats[Full]&amp;" / "&amp;tblThreats[Partial]&amp;" / "&amp;tblThreats[Gap]&amp;" / "&amp;tblThreats[Not assessed],tblThreats[Detections linked],tblThreats[Description],tblThreats[Risk score],IFERROR(MATCH(tblThreats[STRIDE],LIST_STRIDE,0),9)),tblThreats[Applies]="Applies"),{9,10},{-1,1}),1,2,3,4,5,6,7,8))</f>
        <v/>
      </c>
      <c r="B13" s="69" t="n"/>
      <c r="C13" s="69" t="n"/>
      <c r="D13" s="69" t="n"/>
      <c r="E13" s="69" t="n"/>
      <c r="F13" s="69" t="n"/>
      <c r="G13" s="69" t="n"/>
      <c r="H13" s="69" t="n"/>
    </row>
    <row r="14">
      <c r="A14" s="69" t="n"/>
      <c r="B14" s="69" t="n"/>
      <c r="C14" s="69" t="n"/>
      <c r="D14" s="69" t="n"/>
      <c r="E14" s="69" t="n"/>
      <c r="F14" s="69" t="n"/>
      <c r="G14" s="69" t="n"/>
      <c r="H14" s="69" t="n"/>
    </row>
    <row r="15">
      <c r="A15" s="69" t="n"/>
      <c r="B15" s="69" t="n"/>
      <c r="C15" s="69" t="n"/>
      <c r="D15" s="69" t="n"/>
      <c r="E15" s="69" t="n"/>
      <c r="F15" s="69" t="n"/>
      <c r="G15" s="69" t="n"/>
      <c r="H15" s="69" t="n"/>
    </row>
    <row r="16">
      <c r="A16" s="69" t="n"/>
      <c r="B16" s="69" t="n"/>
      <c r="C16" s="69" t="n"/>
      <c r="D16" s="69" t="n"/>
      <c r="E16" s="69" t="n"/>
      <c r="F16" s="69" t="n"/>
      <c r="G16" s="69" t="n"/>
      <c r="H16" s="69" t="n"/>
    </row>
    <row r="17">
      <c r="A17" s="69" t="n"/>
      <c r="B17" s="69" t="n"/>
      <c r="C17" s="69" t="n"/>
      <c r="D17" s="69" t="n"/>
      <c r="E17" s="69" t="n"/>
      <c r="F17" s="69" t="n"/>
      <c r="G17" s="69" t="n"/>
      <c r="H17" s="69" t="n"/>
    </row>
    <row r="18">
      <c r="A18" s="69" t="n"/>
      <c r="B18" s="69" t="n"/>
      <c r="C18" s="69" t="n"/>
      <c r="D18" s="69" t="n"/>
      <c r="E18" s="69" t="n"/>
      <c r="F18" s="69" t="n"/>
      <c r="G18" s="69" t="n"/>
      <c r="H18" s="69" t="n"/>
    </row>
    <row r="19">
      <c r="A19" s="69" t="n"/>
      <c r="B19" s="69" t="n"/>
      <c r="C19" s="69" t="n"/>
      <c r="D19" s="69" t="n"/>
      <c r="E19" s="69" t="n"/>
      <c r="F19" s="69" t="n"/>
      <c r="G19" s="69" t="n"/>
      <c r="H19" s="69" t="n"/>
    </row>
    <row r="20">
      <c r="A20" s="69" t="n"/>
      <c r="B20" s="69" t="n"/>
      <c r="C20" s="69" t="n"/>
      <c r="D20" s="69" t="n"/>
      <c r="E20" s="69" t="n"/>
      <c r="F20" s="69" t="n"/>
      <c r="G20" s="69" t="n"/>
      <c r="H20" s="69" t="n"/>
    </row>
    <row r="21">
      <c r="A21" s="69" t="n"/>
      <c r="B21" s="69" t="n"/>
      <c r="C21" s="69" t="n"/>
      <c r="D21" s="69" t="n"/>
      <c r="E21" s="69" t="n"/>
      <c r="F21" s="69" t="n"/>
      <c r="G21" s="69" t="n"/>
      <c r="H21" s="69" t="n"/>
    </row>
    <row r="22">
      <c r="A22" s="69" t="n"/>
      <c r="B22" s="69" t="n"/>
      <c r="C22" s="69" t="n"/>
      <c r="D22" s="69" t="n"/>
      <c r="E22" s="69" t="n"/>
      <c r="F22" s="69" t="n"/>
      <c r="G22" s="69" t="n"/>
      <c r="H22" s="69" t="n"/>
    </row>
    <row r="23">
      <c r="A23" s="69" t="n"/>
      <c r="B23" s="69" t="n"/>
      <c r="C23" s="69" t="n"/>
      <c r="D23" s="69" t="n"/>
      <c r="E23" s="69" t="n"/>
      <c r="F23" s="69" t="n"/>
      <c r="G23" s="69" t="n"/>
      <c r="H23" s="69" t="n"/>
    </row>
    <row r="24">
      <c r="A24" s="69" t="n"/>
      <c r="B24" s="69" t="n"/>
      <c r="C24" s="69" t="n"/>
      <c r="D24" s="69" t="n"/>
      <c r="E24" s="69" t="n"/>
      <c r="F24" s="69" t="n"/>
      <c r="G24" s="69" t="n"/>
      <c r="H24" s="69" t="n"/>
    </row>
    <row r="25">
      <c r="A25" s="69" t="n"/>
      <c r="B25" s="69" t="n"/>
      <c r="C25" s="69" t="n"/>
      <c r="D25" s="69" t="n"/>
      <c r="E25" s="69" t="n"/>
      <c r="F25" s="69" t="n"/>
      <c r="G25" s="69" t="n"/>
      <c r="H25" s="69" t="n"/>
    </row>
    <row r="26">
      <c r="A26" s="69" t="n"/>
      <c r="B26" s="69" t="n"/>
      <c r="C26" s="69" t="n"/>
      <c r="D26" s="69" t="n"/>
      <c r="E26" s="69" t="n"/>
      <c r="F26" s="69" t="n"/>
      <c r="G26" s="69" t="n"/>
      <c r="H26" s="69" t="n"/>
    </row>
    <row r="27">
      <c r="A27" s="69" t="n"/>
      <c r="B27" s="69" t="n"/>
      <c r="C27" s="69" t="n"/>
      <c r="D27" s="69" t="n"/>
      <c r="E27" s="69" t="n"/>
      <c r="F27" s="69" t="n"/>
      <c r="G27" s="69" t="n"/>
      <c r="H27" s="69" t="n"/>
    </row>
    <row r="28">
      <c r="A28" s="69" t="n"/>
      <c r="B28" s="69" t="n"/>
      <c r="C28" s="69" t="n"/>
      <c r="D28" s="69" t="n"/>
      <c r="E28" s="69" t="n"/>
      <c r="F28" s="69" t="n"/>
      <c r="G28" s="69" t="n"/>
      <c r="H28" s="69" t="n"/>
    </row>
    <row r="29">
      <c r="A29" s="69" t="n"/>
      <c r="B29" s="69" t="n"/>
      <c r="C29" s="69" t="n"/>
      <c r="D29" s="69" t="n"/>
      <c r="E29" s="69" t="n"/>
      <c r="F29" s="69" t="n"/>
      <c r="G29" s="69" t="n"/>
      <c r="H29" s="69" t="n"/>
    </row>
    <row r="30">
      <c r="A30" s="69" t="n"/>
      <c r="B30" s="69" t="n"/>
      <c r="C30" s="69" t="n"/>
      <c r="D30" s="69" t="n"/>
      <c r="E30" s="69" t="n"/>
      <c r="F30" s="69" t="n"/>
      <c r="G30" s="69" t="n"/>
      <c r="H30" s="69" t="n"/>
    </row>
    <row r="31">
      <c r="A31" s="69" t="n"/>
      <c r="B31" s="69" t="n"/>
      <c r="C31" s="69" t="n"/>
      <c r="D31" s="69" t="n"/>
      <c r="E31" s="69" t="n"/>
      <c r="F31" s="69" t="n"/>
      <c r="G31" s="69" t="n"/>
      <c r="H31" s="69" t="n"/>
    </row>
    <row r="32">
      <c r="A32" s="69" t="n"/>
      <c r="B32" s="69" t="n"/>
      <c r="C32" s="69" t="n"/>
      <c r="D32" s="69" t="n"/>
      <c r="E32" s="69" t="n"/>
      <c r="F32" s="69" t="n"/>
      <c r="G32" s="69" t="n"/>
      <c r="H32" s="69" t="n"/>
    </row>
    <row r="33">
      <c r="A33" s="69" t="n"/>
      <c r="B33" s="69" t="n"/>
      <c r="C33" s="69" t="n"/>
      <c r="D33" s="69" t="n"/>
      <c r="E33" s="69" t="n"/>
      <c r="F33" s="69" t="n"/>
      <c r="G33" s="69" t="n"/>
      <c r="H33" s="69" t="n"/>
    </row>
    <row r="34">
      <c r="A34" s="69" t="n"/>
      <c r="B34" s="69" t="n"/>
      <c r="C34" s="69" t="n"/>
      <c r="D34" s="69" t="n"/>
      <c r="E34" s="69" t="n"/>
      <c r="F34" s="69" t="n"/>
      <c r="G34" s="69" t="n"/>
      <c r="H34" s="69" t="n"/>
    </row>
    <row r="35">
      <c r="A35" s="69" t="n"/>
      <c r="B35" s="69" t="n"/>
      <c r="C35" s="69" t="n"/>
      <c r="D35" s="69" t="n"/>
      <c r="E35" s="69" t="n"/>
      <c r="F35" s="69" t="n"/>
      <c r="G35" s="69" t="n"/>
      <c r="H35" s="69" t="n"/>
    </row>
    <row r="36">
      <c r="A36" s="69" t="n"/>
      <c r="B36" s="69" t="n"/>
      <c r="C36" s="69" t="n"/>
      <c r="D36" s="69" t="n"/>
      <c r="E36" s="69" t="n"/>
      <c r="F36" s="69" t="n"/>
      <c r="G36" s="69" t="n"/>
      <c r="H36" s="69" t="n"/>
    </row>
    <row r="37">
      <c r="A37" s="69" t="n"/>
      <c r="B37" s="69" t="n"/>
      <c r="C37" s="69" t="n"/>
      <c r="D37" s="69" t="n"/>
      <c r="E37" s="69" t="n"/>
      <c r="F37" s="69" t="n"/>
      <c r="G37" s="69" t="n"/>
      <c r="H37" s="69" t="n"/>
    </row>
    <row r="38">
      <c r="A38" s="69" t="n"/>
      <c r="B38" s="69" t="n"/>
      <c r="C38" s="69" t="n"/>
      <c r="D38" s="69" t="n"/>
      <c r="E38" s="69" t="n"/>
      <c r="F38" s="69" t="n"/>
      <c r="G38" s="69" t="n"/>
      <c r="H38" s="69" t="n"/>
    </row>
    <row r="39">
      <c r="A39" s="69" t="n"/>
      <c r="B39" s="69" t="n"/>
      <c r="C39" s="69" t="n"/>
      <c r="D39" s="69" t="n"/>
      <c r="E39" s="69" t="n"/>
      <c r="F39" s="69" t="n"/>
      <c r="G39" s="69" t="n"/>
      <c r="H39" s="69" t="n"/>
    </row>
    <row r="40">
      <c r="A40" s="69" t="n"/>
      <c r="B40" s="69" t="n"/>
      <c r="C40" s="69" t="n"/>
      <c r="D40" s="69" t="n"/>
      <c r="E40" s="69" t="n"/>
      <c r="F40" s="69" t="n"/>
      <c r="G40" s="69" t="n"/>
      <c r="H40" s="69" t="n"/>
    </row>
    <row r="41">
      <c r="A41" s="69" t="n"/>
      <c r="B41" s="69" t="n"/>
      <c r="C41" s="69" t="n"/>
      <c r="D41" s="69" t="n"/>
      <c r="E41" s="69" t="n"/>
      <c r="F41" s="69" t="n"/>
      <c r="G41" s="69" t="n"/>
      <c r="H41" s="69" t="n"/>
    </row>
    <row r="42">
      <c r="A42" s="69" t="n"/>
      <c r="B42" s="69" t="n"/>
      <c r="C42" s="69" t="n"/>
      <c r="D42" s="69" t="n"/>
      <c r="E42" s="69" t="n"/>
      <c r="F42" s="69" t="n"/>
      <c r="G42" s="69" t="n"/>
      <c r="H42" s="69" t="n"/>
    </row>
    <row r="43">
      <c r="A43" s="69" t="n"/>
      <c r="B43" s="69" t="n"/>
      <c r="C43" s="69" t="n"/>
      <c r="D43" s="69" t="n"/>
      <c r="E43" s="69" t="n"/>
      <c r="F43" s="69" t="n"/>
      <c r="G43" s="69" t="n"/>
      <c r="H43" s="69" t="n"/>
    </row>
    <row r="44">
      <c r="A44" s="69" t="n"/>
      <c r="B44" s="69" t="n"/>
      <c r="C44" s="69" t="n"/>
      <c r="D44" s="69" t="n"/>
      <c r="E44" s="69" t="n"/>
      <c r="F44" s="69" t="n"/>
      <c r="G44" s="69" t="n"/>
      <c r="H44" s="69" t="n"/>
    </row>
    <row r="45">
      <c r="A45" s="69" t="n"/>
      <c r="B45" s="69" t="n"/>
      <c r="C45" s="69" t="n"/>
      <c r="D45" s="69" t="n"/>
      <c r="E45" s="69" t="n"/>
      <c r="F45" s="69" t="n"/>
      <c r="G45" s="69" t="n"/>
      <c r="H45" s="69" t="n"/>
    </row>
    <row r="46">
      <c r="A46" s="69" t="n"/>
      <c r="B46" s="69" t="n"/>
      <c r="C46" s="69" t="n"/>
      <c r="D46" s="69" t="n"/>
      <c r="E46" s="69" t="n"/>
      <c r="F46" s="69" t="n"/>
      <c r="G46" s="69" t="n"/>
      <c r="H46" s="69" t="n"/>
    </row>
    <row r="47">
      <c r="A47" s="69" t="n"/>
      <c r="B47" s="69" t="n"/>
      <c r="C47" s="69" t="n"/>
      <c r="D47" s="69" t="n"/>
      <c r="E47" s="69" t="n"/>
      <c r="F47" s="69" t="n"/>
      <c r="G47" s="69" t="n"/>
      <c r="H47" s="69" t="n"/>
    </row>
    <row r="48">
      <c r="A48" s="69" t="n"/>
      <c r="B48" s="69" t="n"/>
      <c r="C48" s="69" t="n"/>
      <c r="D48" s="69" t="n"/>
      <c r="E48" s="69" t="n"/>
      <c r="F48" s="69" t="n"/>
      <c r="G48" s="69" t="n"/>
      <c r="H48" s="69" t="n"/>
    </row>
    <row r="49">
      <c r="A49" s="69" t="n"/>
      <c r="B49" s="69" t="n"/>
      <c r="C49" s="69" t="n"/>
      <c r="D49" s="69" t="n"/>
      <c r="E49" s="69" t="n"/>
      <c r="F49" s="69" t="n"/>
      <c r="G49" s="69" t="n"/>
      <c r="H49" s="69" t="n"/>
    </row>
    <row r="50">
      <c r="A50" s="69" t="n"/>
      <c r="B50" s="69" t="n"/>
      <c r="C50" s="69" t="n"/>
      <c r="D50" s="69" t="n"/>
      <c r="E50" s="69" t="n"/>
      <c r="F50" s="69" t="n"/>
      <c r="G50" s="69" t="n"/>
      <c r="H50" s="69" t="n"/>
    </row>
    <row r="51">
      <c r="A51" s="69" t="n"/>
      <c r="B51" s="69" t="n"/>
      <c r="C51" s="69" t="n"/>
      <c r="D51" s="69" t="n"/>
      <c r="E51" s="69" t="n"/>
      <c r="F51" s="69" t="n"/>
      <c r="G51" s="69" t="n"/>
      <c r="H51" s="69" t="n"/>
    </row>
    <row r="52">
      <c r="A52" s="69" t="n"/>
      <c r="B52" s="69" t="n"/>
      <c r="C52" s="69" t="n"/>
      <c r="D52" s="69" t="n"/>
      <c r="E52" s="69" t="n"/>
      <c r="F52" s="69" t="n"/>
      <c r="G52" s="69" t="n"/>
      <c r="H52" s="69" t="n"/>
    </row>
    <row r="53">
      <c r="A53" s="69" t="n"/>
      <c r="B53" s="69" t="n"/>
      <c r="C53" s="69" t="n"/>
      <c r="D53" s="69" t="n"/>
      <c r="E53" s="69" t="n"/>
      <c r="F53" s="69" t="n"/>
      <c r="G53" s="69" t="n"/>
      <c r="H53" s="69" t="n"/>
    </row>
    <row r="54">
      <c r="A54" s="69" t="n"/>
      <c r="B54" s="69" t="n"/>
      <c r="C54" s="69" t="n"/>
      <c r="D54" s="69" t="n"/>
      <c r="E54" s="69" t="n"/>
      <c r="F54" s="69" t="n"/>
      <c r="G54" s="69" t="n"/>
      <c r="H54" s="69" t="n"/>
    </row>
    <row r="55">
      <c r="A55" s="69" t="n"/>
      <c r="B55" s="69" t="n"/>
      <c r="C55" s="69" t="n"/>
      <c r="D55" s="69" t="n"/>
      <c r="E55" s="69" t="n"/>
      <c r="F55" s="69" t="n"/>
      <c r="G55" s="69" t="n"/>
      <c r="H55" s="69" t="n"/>
    </row>
    <row r="56">
      <c r="A56" s="69" t="n"/>
      <c r="B56" s="69" t="n"/>
      <c r="C56" s="69" t="n"/>
      <c r="D56" s="69" t="n"/>
      <c r="E56" s="69" t="n"/>
      <c r="F56" s="69" t="n"/>
      <c r="G56" s="69" t="n"/>
      <c r="H56" s="69" t="n"/>
    </row>
    <row r="57">
      <c r="A57" s="69" t="n"/>
      <c r="B57" s="69" t="n"/>
      <c r="C57" s="69" t="n"/>
      <c r="D57" s="69" t="n"/>
      <c r="E57" s="69" t="n"/>
      <c r="F57" s="69" t="n"/>
      <c r="G57" s="69" t="n"/>
      <c r="H57" s="69" t="n"/>
    </row>
    <row r="58">
      <c r="A58" s="69" t="n"/>
      <c r="B58" s="69" t="n"/>
      <c r="C58" s="69" t="n"/>
      <c r="D58" s="69" t="n"/>
      <c r="E58" s="69" t="n"/>
      <c r="F58" s="69" t="n"/>
      <c r="G58" s="69" t="n"/>
      <c r="H58" s="69" t="n"/>
    </row>
    <row r="59">
      <c r="A59" s="69" t="n"/>
      <c r="B59" s="69" t="n"/>
      <c r="C59" s="69" t="n"/>
      <c r="D59" s="69" t="n"/>
      <c r="E59" s="69" t="n"/>
      <c r="F59" s="69" t="n"/>
      <c r="G59" s="69" t="n"/>
      <c r="H59" s="69" t="n"/>
    </row>
    <row r="60">
      <c r="A60" s="69" t="n"/>
      <c r="B60" s="69" t="n"/>
      <c r="C60" s="69" t="n"/>
      <c r="D60" s="69" t="n"/>
      <c r="E60" s="69" t="n"/>
      <c r="F60" s="69" t="n"/>
      <c r="G60" s="69" t="n"/>
      <c r="H60" s="69" t="n"/>
    </row>
    <row r="61">
      <c r="A61" s="69" t="n"/>
      <c r="B61" s="69" t="n"/>
      <c r="C61" s="69" t="n"/>
      <c r="D61" s="69" t="n"/>
      <c r="E61" s="69" t="n"/>
      <c r="F61" s="69" t="n"/>
      <c r="G61" s="69" t="n"/>
      <c r="H61" s="69" t="n"/>
    </row>
    <row r="62">
      <c r="A62" s="69" t="n"/>
      <c r="B62" s="69" t="n"/>
      <c r="C62" s="69" t="n"/>
      <c r="D62" s="69" t="n"/>
      <c r="E62" s="69" t="n"/>
      <c r="F62" s="69" t="n"/>
      <c r="G62" s="69" t="n"/>
      <c r="H62" s="69" t="n"/>
    </row>
    <row r="63">
      <c r="A63" s="69" t="n"/>
      <c r="B63" s="69" t="n"/>
      <c r="C63" s="69" t="n"/>
      <c r="D63" s="69" t="n"/>
      <c r="E63" s="69" t="n"/>
      <c r="F63" s="69" t="n"/>
      <c r="G63" s="69" t="n"/>
      <c r="H63" s="69" t="n"/>
    </row>
    <row r="64">
      <c r="A64" s="69" t="n"/>
      <c r="B64" s="69" t="n"/>
      <c r="C64" s="69" t="n"/>
      <c r="D64" s="69" t="n"/>
      <c r="E64" s="69" t="n"/>
      <c r="F64" s="69" t="n"/>
      <c r="G64" s="69" t="n"/>
      <c r="H64" s="69" t="n"/>
    </row>
    <row r="65">
      <c r="A65" s="69" t="n"/>
      <c r="B65" s="69" t="n"/>
      <c r="C65" s="69" t="n"/>
      <c r="D65" s="69" t="n"/>
      <c r="E65" s="69" t="n"/>
      <c r="F65" s="69" t="n"/>
      <c r="G65" s="69" t="n"/>
      <c r="H65" s="69" t="n"/>
    </row>
    <row r="66">
      <c r="A66" s="69" t="n"/>
      <c r="B66" s="69" t="n"/>
      <c r="C66" s="69" t="n"/>
      <c r="D66" s="69" t="n"/>
      <c r="E66" s="69" t="n"/>
      <c r="F66" s="69" t="n"/>
      <c r="G66" s="69" t="n"/>
      <c r="H66" s="69" t="n"/>
    </row>
    <row r="67">
      <c r="A67" s="69" t="n"/>
      <c r="B67" s="69" t="n"/>
      <c r="C67" s="69" t="n"/>
      <c r="D67" s="69" t="n"/>
      <c r="E67" s="69" t="n"/>
      <c r="F67" s="69" t="n"/>
      <c r="G67" s="69" t="n"/>
      <c r="H67" s="69" t="n"/>
    </row>
    <row r="68">
      <c r="A68" s="69" t="n"/>
      <c r="B68" s="69" t="n"/>
      <c r="C68" s="69" t="n"/>
      <c r="D68" s="69" t="n"/>
      <c r="E68" s="69" t="n"/>
      <c r="F68" s="69" t="n"/>
      <c r="G68" s="69" t="n"/>
      <c r="H68" s="69" t="n"/>
    </row>
    <row r="69">
      <c r="A69" s="69" t="n"/>
      <c r="B69" s="69" t="n"/>
      <c r="C69" s="69" t="n"/>
      <c r="D69" s="69" t="n"/>
      <c r="E69" s="69" t="n"/>
      <c r="F69" s="69" t="n"/>
      <c r="G69" s="69" t="n"/>
      <c r="H69" s="69" t="n"/>
    </row>
    <row r="70">
      <c r="A70" s="69" t="n"/>
      <c r="B70" s="69" t="n"/>
      <c r="C70" s="69" t="n"/>
      <c r="D70" s="69" t="n"/>
      <c r="E70" s="69" t="n"/>
      <c r="F70" s="69" t="n"/>
      <c r="G70" s="69" t="n"/>
      <c r="H70" s="69" t="n"/>
    </row>
    <row r="71">
      <c r="A71" s="69" t="n"/>
      <c r="B71" s="69" t="n"/>
      <c r="C71" s="69" t="n"/>
      <c r="D71" s="69" t="n"/>
      <c r="E71" s="69" t="n"/>
      <c r="F71" s="69" t="n"/>
      <c r="G71" s="69" t="n"/>
      <c r="H71" s="69" t="n"/>
    </row>
    <row r="72">
      <c r="A72" s="69" t="n"/>
      <c r="B72" s="69" t="n"/>
      <c r="C72" s="69" t="n"/>
      <c r="D72" s="69" t="n"/>
      <c r="E72" s="69" t="n"/>
      <c r="F72" s="69" t="n"/>
      <c r="G72" s="69" t="n"/>
      <c r="H72" s="69" t="n"/>
    </row>
  </sheetData>
  <mergeCells count="1">
    <mergeCell ref="A2:H2"/>
  </mergeCells>
  <conditionalFormatting sqref="D5:D8">
    <cfRule type="expression" priority="1" dxfId="9">
      <formula>D5="Critical"</formula>
    </cfRule>
    <cfRule type="expression" priority="2" dxfId="10">
      <formula>D5="High"</formula>
    </cfRule>
    <cfRule type="expression" priority="3" dxfId="11">
      <formula>D5="Medium"</formula>
    </cfRule>
  </conditionalFormatting>
  <conditionalFormatting sqref="G5:G10">
    <cfRule type="expression" priority="4" dxfId="9">
      <formula>G5="Unmitigated"</formula>
    </cfRule>
    <cfRule type="expression" priority="5" dxfId="11">
      <formula>G5="Partially mitigated"</formula>
    </cfRule>
    <cfRule type="expression" priority="6" dxfId="13">
      <formula>G5="Mitigated"</formula>
    </cfRule>
    <cfRule type="expression" priority="7" dxfId="17">
      <formula>G5="Not verified"</formula>
    </cfRule>
    <cfRule type="expression" priority="8" dxfId="17">
      <formula>G5="No applicable controls"</formula>
    </cfRule>
    <cfRule type="expression" priority="9" dxfId="9">
      <formula>G5="No controls mapped"</formula>
    </cfRule>
  </conditionalFormatting>
  <conditionalFormatting sqref="D13:D72">
    <cfRule type="expression" priority="10" dxfId="9">
      <formula>D13="Critical"</formula>
    </cfRule>
    <cfRule type="expression" priority="11" dxfId="10">
      <formula>D13="High"</formula>
    </cfRule>
    <cfRule type="expression" priority="12" dxfId="11">
      <formula>D13="Medium"</formula>
    </cfRule>
  </conditionalFormatting>
  <conditionalFormatting sqref="E13:E72">
    <cfRule type="expression" priority="13" dxfId="9">
      <formula>E13="Unmitigated"</formula>
    </cfRule>
    <cfRule type="expression" priority="14" dxfId="11">
      <formula>E13="Partially mitigated"</formula>
    </cfRule>
    <cfRule type="expression" priority="15" dxfId="13">
      <formula>E13="Mitigated"</formula>
    </cfRule>
    <cfRule type="expression" priority="16" dxfId="17">
      <formula>E13="Not verified"</formula>
    </cfRule>
    <cfRule type="expression" priority="17" dxfId="17">
      <formula>E13="No applicable controls"</formula>
    </cfRule>
    <cfRule type="expression" priority="18" dxfId="9">
      <formula>E13="No controls mapped"</formula>
    </cfRule>
  </conditionalFormatting>
  <pageMargins left="0.75" right="0.75" top="1" bottom="1" header="0.5" footer="0.5"/>
</worksheet>
</file>

<file path=xl/worksheets/sheet5.xml><?xml version="1.0" encoding="utf-8"?>
<worksheet xmlns="http://schemas.openxmlformats.org/spreadsheetml/2006/main">
  <sheetPr>
    <tabColor rgb="FF2E75B6"/>
    <outlinePr summaryBelow="1" summaryRight="1"/>
    <pageSetUpPr/>
  </sheetPr>
  <dimension ref="A1:H207"/>
  <sheetViews>
    <sheetView showGridLines="0" tabSelected="0" workbookViewId="0">
      <pane ySplit="7" topLeftCell="A8" activePane="bottomLeft" state="frozen"/>
      <selection pane="bottomLeft" activeCell="A1" sqref="A1"/>
    </sheetView>
  </sheetViews>
  <sheetFormatPr baseColWidth="8" defaultRowHeight="15"/>
  <cols>
    <col width="13" customWidth="1" style="19" min="1" max="1"/>
    <col width="60" customWidth="1" style="19" min="2" max="2"/>
    <col width="11" customWidth="1" style="19" min="3" max="3"/>
    <col width="11" customWidth="1" style="19" min="4" max="4"/>
    <col width="24" customWidth="1" style="19" min="5" max="5"/>
    <col width="16" customWidth="1" style="19" min="6" max="6"/>
    <col width="22" customWidth="1" style="19" min="7" max="7"/>
    <col width="15" customWidth="1" style="19" min="8" max="8"/>
  </cols>
  <sheetData>
    <row r="1" ht="25.5" customHeight="1" s="19">
      <c r="A1" s="63" t="inlineStr">
        <is>
          <t>Controls to Verify First</t>
        </is>
      </c>
      <c r="B1" s="64" t="n"/>
      <c r="C1" s="64" t="n"/>
      <c r="D1" s="64" t="n"/>
      <c r="E1" s="64" t="n"/>
      <c r="F1" s="64" t="n"/>
      <c r="G1" s="64" t="n"/>
      <c r="H1" s="64" t="n"/>
    </row>
    <row r="2" ht="45" customHeight="1" s="19">
      <c r="A2" s="65" t="inlineStr">
        <is>
          <t>Assess these rows first in 'Hardening Baseline' / 'Custom Controls' (column L): they are applicable, not assessed yet, and mitigate threats that apply to this application — sorted by threat priority, then criticality. Nothing to edit here: this sheet updates itself.</t>
        </is>
      </c>
    </row>
    <row r="3"/>
    <row r="4">
      <c r="A4" s="66" t="inlineStr">
        <is>
          <t>Threat model mode</t>
        </is>
      </c>
      <c r="B4" s="67" cm="1">
        <f t="array" ref="B4">IF(COUNTIFS(tblThreatControls[Threat applies],"Applies",tblThreatControls[Coverage status],"&lt;&gt;Not assessed",tblThreatControls[Coverage status],"&lt;&gt;N/A")=0,"Characterization-only","Full")</f>
        <v/>
      </c>
    </row>
    <row r="5">
      <c r="A5" s="66" t="inlineStr">
        <is>
          <t>Controls to verify first</t>
        </is>
      </c>
      <c r="B5" s="67" cm="1">
        <f t="array" ref="B5">COUNTIF(BL_VERIFY,"Yes")+COUNTIF(CC_VERIFY,"Yes")</f>
        <v/>
      </c>
    </row>
    <row r="6"/>
    <row r="7">
      <c r="A7" s="68" t="inlineStr">
        <is>
          <t>Control ID</t>
        </is>
      </c>
      <c r="B7" s="68" t="inlineStr">
        <is>
          <t>Requirement</t>
        </is>
      </c>
      <c r="C7" s="68" t="inlineStr">
        <is>
          <t>Criticality</t>
        </is>
      </c>
      <c r="D7" s="68" t="inlineStr">
        <is>
          <t>Threat priority</t>
        </is>
      </c>
      <c r="E7" s="68" t="inlineStr">
        <is>
          <t>Linked threats</t>
        </is>
      </c>
      <c r="F7" s="68" t="inlineStr">
        <is>
          <t>Verification stage</t>
        </is>
      </c>
      <c r="G7" s="68" t="inlineStr">
        <is>
          <t>Control type</t>
        </is>
      </c>
      <c r="H7" s="68" t="inlineStr">
        <is>
          <t>Sheet</t>
        </is>
      </c>
    </row>
    <row r="8">
      <c r="A8" s="69" cm="1">
        <f t="array" ref="A8">IF(B5=0,"Nothing to verify first",_xlfn.CHOOSECOLS(_xlfn._xlws.SORT(_xlfn._xlws.FILTER(_xlfn.VSTACK(_xlfn.HSTACK(BL_IDS&amp;"",BL_REQ&amp;"",BL_CRIT&amp;"",BL_TPRIO&amp;"",BL_TIDS&amp;"",BL_STAGE&amp;"",BL_TYPE&amp;"",IF(ROW(BL_IDS)&gt;0,"Hardening Baseline"),IFERROR(MATCH(BL_TPRIO,RISK_SCALE_NAMES,0),0),IFERROR(MATCH(BL_CRIT,RISK_SCALE_NAMES,0),0)),_xlfn.HSTACK(CC_IDS&amp;"",CC_REQ&amp;"",CC_CRIT&amp;"",CC_TPRIO&amp;"",CC_TIDS&amp;"",CC_STAGE&amp;"",CC_TYPE&amp;"",IF(ROW(CC_IDS)&gt;0,"Custom Controls"),IFERROR(MATCH(CC_TPRIO,RISK_SCALE_NAMES,0),0),IFERROR(MATCH(CC_CRIT,RISK_SCALE_NAMES,0),0))),_xlfn.VSTACK(BL_VERIFY,CC_VERIFY)="Yes"),{9,10},{-1,-1}),1,2,3,4,5,6,7,8))</f>
        <v/>
      </c>
      <c r="B8" s="69" t="n"/>
      <c r="C8" s="69" t="n"/>
      <c r="D8" s="69" t="n"/>
      <c r="E8" s="69" t="n"/>
      <c r="F8" s="69" t="n"/>
      <c r="G8" s="69" t="n"/>
      <c r="H8" s="69" t="n"/>
    </row>
    <row r="9">
      <c r="A9" s="69" t="n"/>
      <c r="B9" s="69" t="n"/>
      <c r="C9" s="69" t="n"/>
      <c r="D9" s="69" t="n"/>
      <c r="E9" s="69" t="n"/>
      <c r="F9" s="69" t="n"/>
      <c r="G9" s="69" t="n"/>
      <c r="H9" s="69" t="n"/>
    </row>
    <row r="10">
      <c r="A10" s="69" t="n"/>
      <c r="B10" s="69" t="n"/>
      <c r="C10" s="69" t="n"/>
      <c r="D10" s="69" t="n"/>
      <c r="E10" s="69" t="n"/>
      <c r="F10" s="69" t="n"/>
      <c r="G10" s="69" t="n"/>
      <c r="H10" s="69" t="n"/>
    </row>
    <row r="11">
      <c r="A11" s="69" t="n"/>
      <c r="B11" s="69" t="n"/>
      <c r="C11" s="69" t="n"/>
      <c r="D11" s="69" t="n"/>
      <c r="E11" s="69" t="n"/>
      <c r="F11" s="69" t="n"/>
      <c r="G11" s="69" t="n"/>
      <c r="H11" s="69" t="n"/>
    </row>
    <row r="12">
      <c r="A12" s="69" t="n"/>
      <c r="B12" s="69" t="n"/>
      <c r="C12" s="69" t="n"/>
      <c r="D12" s="69" t="n"/>
      <c r="E12" s="69" t="n"/>
      <c r="F12" s="69" t="n"/>
      <c r="G12" s="69" t="n"/>
      <c r="H12" s="69" t="n"/>
    </row>
    <row r="13">
      <c r="A13" s="69" t="n"/>
      <c r="B13" s="69" t="n"/>
      <c r="C13" s="69" t="n"/>
      <c r="D13" s="69" t="n"/>
      <c r="E13" s="69" t="n"/>
      <c r="F13" s="69" t="n"/>
      <c r="G13" s="69" t="n"/>
      <c r="H13" s="69" t="n"/>
    </row>
    <row r="14">
      <c r="A14" s="69" t="n"/>
      <c r="B14" s="69" t="n"/>
      <c r="C14" s="69" t="n"/>
      <c r="D14" s="69" t="n"/>
      <c r="E14" s="69" t="n"/>
      <c r="F14" s="69" t="n"/>
      <c r="G14" s="69" t="n"/>
      <c r="H14" s="69" t="n"/>
    </row>
    <row r="15">
      <c r="A15" s="69" t="n"/>
      <c r="B15" s="69" t="n"/>
      <c r="C15" s="69" t="n"/>
      <c r="D15" s="69" t="n"/>
      <c r="E15" s="69" t="n"/>
      <c r="F15" s="69" t="n"/>
      <c r="G15" s="69" t="n"/>
      <c r="H15" s="69" t="n"/>
    </row>
    <row r="16">
      <c r="A16" s="69" t="n"/>
      <c r="B16" s="69" t="n"/>
      <c r="C16" s="69" t="n"/>
      <c r="D16" s="69" t="n"/>
      <c r="E16" s="69" t="n"/>
      <c r="F16" s="69" t="n"/>
      <c r="G16" s="69" t="n"/>
      <c r="H16" s="69" t="n"/>
    </row>
    <row r="17">
      <c r="A17" s="69" t="n"/>
      <c r="B17" s="69" t="n"/>
      <c r="C17" s="69" t="n"/>
      <c r="D17" s="69" t="n"/>
      <c r="E17" s="69" t="n"/>
      <c r="F17" s="69" t="n"/>
      <c r="G17" s="69" t="n"/>
      <c r="H17" s="69" t="n"/>
    </row>
    <row r="18">
      <c r="A18" s="69" t="n"/>
      <c r="B18" s="69" t="n"/>
      <c r="C18" s="69" t="n"/>
      <c r="D18" s="69" t="n"/>
      <c r="E18" s="69" t="n"/>
      <c r="F18" s="69" t="n"/>
      <c r="G18" s="69" t="n"/>
      <c r="H18" s="69" t="n"/>
    </row>
    <row r="19">
      <c r="A19" s="69" t="n"/>
      <c r="B19" s="69" t="n"/>
      <c r="C19" s="69" t="n"/>
      <c r="D19" s="69" t="n"/>
      <c r="E19" s="69" t="n"/>
      <c r="F19" s="69" t="n"/>
      <c r="G19" s="69" t="n"/>
      <c r="H19" s="69" t="n"/>
    </row>
    <row r="20">
      <c r="A20" s="69" t="n"/>
      <c r="B20" s="69" t="n"/>
      <c r="C20" s="69" t="n"/>
      <c r="D20" s="69" t="n"/>
      <c r="E20" s="69" t="n"/>
      <c r="F20" s="69" t="n"/>
      <c r="G20" s="69" t="n"/>
      <c r="H20" s="69" t="n"/>
    </row>
    <row r="21">
      <c r="A21" s="69" t="n"/>
      <c r="B21" s="69" t="n"/>
      <c r="C21" s="69" t="n"/>
      <c r="D21" s="69" t="n"/>
      <c r="E21" s="69" t="n"/>
      <c r="F21" s="69" t="n"/>
      <c r="G21" s="69" t="n"/>
      <c r="H21" s="69" t="n"/>
    </row>
    <row r="22">
      <c r="A22" s="69" t="n"/>
      <c r="B22" s="69" t="n"/>
      <c r="C22" s="69" t="n"/>
      <c r="D22" s="69" t="n"/>
      <c r="E22" s="69" t="n"/>
      <c r="F22" s="69" t="n"/>
      <c r="G22" s="69" t="n"/>
      <c r="H22" s="69" t="n"/>
    </row>
    <row r="23">
      <c r="A23" s="69" t="n"/>
      <c r="B23" s="69" t="n"/>
      <c r="C23" s="69" t="n"/>
      <c r="D23" s="69" t="n"/>
      <c r="E23" s="69" t="n"/>
      <c r="F23" s="69" t="n"/>
      <c r="G23" s="69" t="n"/>
      <c r="H23" s="69" t="n"/>
    </row>
    <row r="24">
      <c r="A24" s="69" t="n"/>
      <c r="B24" s="69" t="n"/>
      <c r="C24" s="69" t="n"/>
      <c r="D24" s="69" t="n"/>
      <c r="E24" s="69" t="n"/>
      <c r="F24" s="69" t="n"/>
      <c r="G24" s="69" t="n"/>
      <c r="H24" s="69" t="n"/>
    </row>
    <row r="25">
      <c r="A25" s="69" t="n"/>
      <c r="B25" s="69" t="n"/>
      <c r="C25" s="69" t="n"/>
      <c r="D25" s="69" t="n"/>
      <c r="E25" s="69" t="n"/>
      <c r="F25" s="69" t="n"/>
      <c r="G25" s="69" t="n"/>
      <c r="H25" s="69" t="n"/>
    </row>
    <row r="26">
      <c r="A26" s="69" t="n"/>
      <c r="B26" s="69" t="n"/>
      <c r="C26" s="69" t="n"/>
      <c r="D26" s="69" t="n"/>
      <c r="E26" s="69" t="n"/>
      <c r="F26" s="69" t="n"/>
      <c r="G26" s="69" t="n"/>
      <c r="H26" s="69" t="n"/>
    </row>
    <row r="27">
      <c r="A27" s="69" t="n"/>
      <c r="B27" s="69" t="n"/>
      <c r="C27" s="69" t="n"/>
      <c r="D27" s="69" t="n"/>
      <c r="E27" s="69" t="n"/>
      <c r="F27" s="69" t="n"/>
      <c r="G27" s="69" t="n"/>
      <c r="H27" s="69" t="n"/>
    </row>
    <row r="28">
      <c r="A28" s="69" t="n"/>
      <c r="B28" s="69" t="n"/>
      <c r="C28" s="69" t="n"/>
      <c r="D28" s="69" t="n"/>
      <c r="E28" s="69" t="n"/>
      <c r="F28" s="69" t="n"/>
      <c r="G28" s="69" t="n"/>
      <c r="H28" s="69" t="n"/>
    </row>
    <row r="29">
      <c r="A29" s="69" t="n"/>
      <c r="B29" s="69" t="n"/>
      <c r="C29" s="69" t="n"/>
      <c r="D29" s="69" t="n"/>
      <c r="E29" s="69" t="n"/>
      <c r="F29" s="69" t="n"/>
      <c r="G29" s="69" t="n"/>
      <c r="H29" s="69" t="n"/>
    </row>
    <row r="30">
      <c r="A30" s="69" t="n"/>
      <c r="B30" s="69" t="n"/>
      <c r="C30" s="69" t="n"/>
      <c r="D30" s="69" t="n"/>
      <c r="E30" s="69" t="n"/>
      <c r="F30" s="69" t="n"/>
      <c r="G30" s="69" t="n"/>
      <c r="H30" s="69" t="n"/>
    </row>
    <row r="31">
      <c r="A31" s="69" t="n"/>
      <c r="B31" s="69" t="n"/>
      <c r="C31" s="69" t="n"/>
      <c r="D31" s="69" t="n"/>
      <c r="E31" s="69" t="n"/>
      <c r="F31" s="69" t="n"/>
      <c r="G31" s="69" t="n"/>
      <c r="H31" s="69" t="n"/>
    </row>
    <row r="32">
      <c r="A32" s="69" t="n"/>
      <c r="B32" s="69" t="n"/>
      <c r="C32" s="69" t="n"/>
      <c r="D32" s="69" t="n"/>
      <c r="E32" s="69" t="n"/>
      <c r="F32" s="69" t="n"/>
      <c r="G32" s="69" t="n"/>
      <c r="H32" s="69" t="n"/>
    </row>
    <row r="33">
      <c r="A33" s="69" t="n"/>
      <c r="B33" s="69" t="n"/>
      <c r="C33" s="69" t="n"/>
      <c r="D33" s="69" t="n"/>
      <c r="E33" s="69" t="n"/>
      <c r="F33" s="69" t="n"/>
      <c r="G33" s="69" t="n"/>
      <c r="H33" s="69" t="n"/>
    </row>
    <row r="34">
      <c r="A34" s="69" t="n"/>
      <c r="B34" s="69" t="n"/>
      <c r="C34" s="69" t="n"/>
      <c r="D34" s="69" t="n"/>
      <c r="E34" s="69" t="n"/>
      <c r="F34" s="69" t="n"/>
      <c r="G34" s="69" t="n"/>
      <c r="H34" s="69" t="n"/>
    </row>
    <row r="35">
      <c r="A35" s="69" t="n"/>
      <c r="B35" s="69" t="n"/>
      <c r="C35" s="69" t="n"/>
      <c r="D35" s="69" t="n"/>
      <c r="E35" s="69" t="n"/>
      <c r="F35" s="69" t="n"/>
      <c r="G35" s="69" t="n"/>
      <c r="H35" s="69" t="n"/>
    </row>
    <row r="36">
      <c r="A36" s="69" t="n"/>
      <c r="B36" s="69" t="n"/>
      <c r="C36" s="69" t="n"/>
      <c r="D36" s="69" t="n"/>
      <c r="E36" s="69" t="n"/>
      <c r="F36" s="69" t="n"/>
      <c r="G36" s="69" t="n"/>
      <c r="H36" s="69" t="n"/>
    </row>
    <row r="37">
      <c r="A37" s="69" t="n"/>
      <c r="B37" s="69" t="n"/>
      <c r="C37" s="69" t="n"/>
      <c r="D37" s="69" t="n"/>
      <c r="E37" s="69" t="n"/>
      <c r="F37" s="69" t="n"/>
      <c r="G37" s="69" t="n"/>
      <c r="H37" s="69" t="n"/>
    </row>
    <row r="38">
      <c r="A38" s="69" t="n"/>
      <c r="B38" s="69" t="n"/>
      <c r="C38" s="69" t="n"/>
      <c r="D38" s="69" t="n"/>
      <c r="E38" s="69" t="n"/>
      <c r="F38" s="69" t="n"/>
      <c r="G38" s="69" t="n"/>
      <c r="H38" s="69" t="n"/>
    </row>
    <row r="39">
      <c r="A39" s="69" t="n"/>
      <c r="B39" s="69" t="n"/>
      <c r="C39" s="69" t="n"/>
      <c r="D39" s="69" t="n"/>
      <c r="E39" s="69" t="n"/>
      <c r="F39" s="69" t="n"/>
      <c r="G39" s="69" t="n"/>
      <c r="H39" s="69" t="n"/>
    </row>
    <row r="40">
      <c r="A40" s="69" t="n"/>
      <c r="B40" s="69" t="n"/>
      <c r="C40" s="69" t="n"/>
      <c r="D40" s="69" t="n"/>
      <c r="E40" s="69" t="n"/>
      <c r="F40" s="69" t="n"/>
      <c r="G40" s="69" t="n"/>
      <c r="H40" s="69" t="n"/>
    </row>
    <row r="41">
      <c r="A41" s="69" t="n"/>
      <c r="B41" s="69" t="n"/>
      <c r="C41" s="69" t="n"/>
      <c r="D41" s="69" t="n"/>
      <c r="E41" s="69" t="n"/>
      <c r="F41" s="69" t="n"/>
      <c r="G41" s="69" t="n"/>
      <c r="H41" s="69" t="n"/>
    </row>
    <row r="42">
      <c r="A42" s="69" t="n"/>
      <c r="B42" s="69" t="n"/>
      <c r="C42" s="69" t="n"/>
      <c r="D42" s="69" t="n"/>
      <c r="E42" s="69" t="n"/>
      <c r="F42" s="69" t="n"/>
      <c r="G42" s="69" t="n"/>
      <c r="H42" s="69" t="n"/>
    </row>
    <row r="43">
      <c r="A43" s="69" t="n"/>
      <c r="B43" s="69" t="n"/>
      <c r="C43" s="69" t="n"/>
      <c r="D43" s="69" t="n"/>
      <c r="E43" s="69" t="n"/>
      <c r="F43" s="69" t="n"/>
      <c r="G43" s="69" t="n"/>
      <c r="H43" s="69" t="n"/>
    </row>
    <row r="44">
      <c r="A44" s="69" t="n"/>
      <c r="B44" s="69" t="n"/>
      <c r="C44" s="69" t="n"/>
      <c r="D44" s="69" t="n"/>
      <c r="E44" s="69" t="n"/>
      <c r="F44" s="69" t="n"/>
      <c r="G44" s="69" t="n"/>
      <c r="H44" s="69" t="n"/>
    </row>
    <row r="45">
      <c r="A45" s="69" t="n"/>
      <c r="B45" s="69" t="n"/>
      <c r="C45" s="69" t="n"/>
      <c r="D45" s="69" t="n"/>
      <c r="E45" s="69" t="n"/>
      <c r="F45" s="69" t="n"/>
      <c r="G45" s="69" t="n"/>
      <c r="H45" s="69" t="n"/>
    </row>
    <row r="46">
      <c r="A46" s="69" t="n"/>
      <c r="B46" s="69" t="n"/>
      <c r="C46" s="69" t="n"/>
      <c r="D46" s="69" t="n"/>
      <c r="E46" s="69" t="n"/>
      <c r="F46" s="69" t="n"/>
      <c r="G46" s="69" t="n"/>
      <c r="H46" s="69" t="n"/>
    </row>
    <row r="47">
      <c r="A47" s="69" t="n"/>
      <c r="B47" s="69" t="n"/>
      <c r="C47" s="69" t="n"/>
      <c r="D47" s="69" t="n"/>
      <c r="E47" s="69" t="n"/>
      <c r="F47" s="69" t="n"/>
      <c r="G47" s="69" t="n"/>
      <c r="H47" s="69" t="n"/>
    </row>
    <row r="48">
      <c r="A48" s="69" t="n"/>
      <c r="B48" s="69" t="n"/>
      <c r="C48" s="69" t="n"/>
      <c r="D48" s="69" t="n"/>
      <c r="E48" s="69" t="n"/>
      <c r="F48" s="69" t="n"/>
      <c r="G48" s="69" t="n"/>
      <c r="H48" s="69" t="n"/>
    </row>
    <row r="49">
      <c r="A49" s="69" t="n"/>
      <c r="B49" s="69" t="n"/>
      <c r="C49" s="69" t="n"/>
      <c r="D49" s="69" t="n"/>
      <c r="E49" s="69" t="n"/>
      <c r="F49" s="69" t="n"/>
      <c r="G49" s="69" t="n"/>
      <c r="H49" s="69" t="n"/>
    </row>
    <row r="50">
      <c r="A50" s="69" t="n"/>
      <c r="B50" s="69" t="n"/>
      <c r="C50" s="69" t="n"/>
      <c r="D50" s="69" t="n"/>
      <c r="E50" s="69" t="n"/>
      <c r="F50" s="69" t="n"/>
      <c r="G50" s="69" t="n"/>
      <c r="H50" s="69" t="n"/>
    </row>
    <row r="51">
      <c r="A51" s="69" t="n"/>
      <c r="B51" s="69" t="n"/>
      <c r="C51" s="69" t="n"/>
      <c r="D51" s="69" t="n"/>
      <c r="E51" s="69" t="n"/>
      <c r="F51" s="69" t="n"/>
      <c r="G51" s="69" t="n"/>
      <c r="H51" s="69" t="n"/>
    </row>
    <row r="52">
      <c r="A52" s="69" t="n"/>
      <c r="B52" s="69" t="n"/>
      <c r="C52" s="69" t="n"/>
      <c r="D52" s="69" t="n"/>
      <c r="E52" s="69" t="n"/>
      <c r="F52" s="69" t="n"/>
      <c r="G52" s="69" t="n"/>
      <c r="H52" s="69" t="n"/>
    </row>
    <row r="53">
      <c r="A53" s="69" t="n"/>
      <c r="B53" s="69" t="n"/>
      <c r="C53" s="69" t="n"/>
      <c r="D53" s="69" t="n"/>
      <c r="E53" s="69" t="n"/>
      <c r="F53" s="69" t="n"/>
      <c r="G53" s="69" t="n"/>
      <c r="H53" s="69" t="n"/>
    </row>
    <row r="54">
      <c r="A54" s="69" t="n"/>
      <c r="B54" s="69" t="n"/>
      <c r="C54" s="69" t="n"/>
      <c r="D54" s="69" t="n"/>
      <c r="E54" s="69" t="n"/>
      <c r="F54" s="69" t="n"/>
      <c r="G54" s="69" t="n"/>
      <c r="H54" s="69" t="n"/>
    </row>
    <row r="55">
      <c r="A55" s="69" t="n"/>
      <c r="B55" s="69" t="n"/>
      <c r="C55" s="69" t="n"/>
      <c r="D55" s="69" t="n"/>
      <c r="E55" s="69" t="n"/>
      <c r="F55" s="69" t="n"/>
      <c r="G55" s="69" t="n"/>
      <c r="H55" s="69" t="n"/>
    </row>
    <row r="56">
      <c r="A56" s="69" t="n"/>
      <c r="B56" s="69" t="n"/>
      <c r="C56" s="69" t="n"/>
      <c r="D56" s="69" t="n"/>
      <c r="E56" s="69" t="n"/>
      <c r="F56" s="69" t="n"/>
      <c r="G56" s="69" t="n"/>
      <c r="H56" s="69" t="n"/>
    </row>
    <row r="57">
      <c r="A57" s="69" t="n"/>
      <c r="B57" s="69" t="n"/>
      <c r="C57" s="69" t="n"/>
      <c r="D57" s="69" t="n"/>
      <c r="E57" s="69" t="n"/>
      <c r="F57" s="69" t="n"/>
      <c r="G57" s="69" t="n"/>
      <c r="H57" s="69" t="n"/>
    </row>
    <row r="58">
      <c r="A58" s="69" t="n"/>
      <c r="B58" s="69" t="n"/>
      <c r="C58" s="69" t="n"/>
      <c r="D58" s="69" t="n"/>
      <c r="E58" s="69" t="n"/>
      <c r="F58" s="69" t="n"/>
      <c r="G58" s="69" t="n"/>
      <c r="H58" s="69" t="n"/>
    </row>
    <row r="59">
      <c r="A59" s="69" t="n"/>
      <c r="B59" s="69" t="n"/>
      <c r="C59" s="69" t="n"/>
      <c r="D59" s="69" t="n"/>
      <c r="E59" s="69" t="n"/>
      <c r="F59" s="69" t="n"/>
      <c r="G59" s="69" t="n"/>
      <c r="H59" s="69" t="n"/>
    </row>
    <row r="60">
      <c r="A60" s="69" t="n"/>
      <c r="B60" s="69" t="n"/>
      <c r="C60" s="69" t="n"/>
      <c r="D60" s="69" t="n"/>
      <c r="E60" s="69" t="n"/>
      <c r="F60" s="69" t="n"/>
      <c r="G60" s="69" t="n"/>
      <c r="H60" s="69" t="n"/>
    </row>
    <row r="61">
      <c r="A61" s="69" t="n"/>
      <c r="B61" s="69" t="n"/>
      <c r="C61" s="69" t="n"/>
      <c r="D61" s="69" t="n"/>
      <c r="E61" s="69" t="n"/>
      <c r="F61" s="69" t="n"/>
      <c r="G61" s="69" t="n"/>
      <c r="H61" s="69" t="n"/>
    </row>
    <row r="62">
      <c r="A62" s="69" t="n"/>
      <c r="B62" s="69" t="n"/>
      <c r="C62" s="69" t="n"/>
      <c r="D62" s="69" t="n"/>
      <c r="E62" s="69" t="n"/>
      <c r="F62" s="69" t="n"/>
      <c r="G62" s="69" t="n"/>
      <c r="H62" s="69" t="n"/>
    </row>
    <row r="63">
      <c r="A63" s="69" t="n"/>
      <c r="B63" s="69" t="n"/>
      <c r="C63" s="69" t="n"/>
      <c r="D63" s="69" t="n"/>
      <c r="E63" s="69" t="n"/>
      <c r="F63" s="69" t="n"/>
      <c r="G63" s="69" t="n"/>
      <c r="H63" s="69" t="n"/>
    </row>
    <row r="64">
      <c r="A64" s="69" t="n"/>
      <c r="B64" s="69" t="n"/>
      <c r="C64" s="69" t="n"/>
      <c r="D64" s="69" t="n"/>
      <c r="E64" s="69" t="n"/>
      <c r="F64" s="69" t="n"/>
      <c r="G64" s="69" t="n"/>
      <c r="H64" s="69" t="n"/>
    </row>
    <row r="65">
      <c r="A65" s="69" t="n"/>
      <c r="B65" s="69" t="n"/>
      <c r="C65" s="69" t="n"/>
      <c r="D65" s="69" t="n"/>
      <c r="E65" s="69" t="n"/>
      <c r="F65" s="69" t="n"/>
      <c r="G65" s="69" t="n"/>
      <c r="H65" s="69" t="n"/>
    </row>
    <row r="66">
      <c r="A66" s="69" t="n"/>
      <c r="B66" s="69" t="n"/>
      <c r="C66" s="69" t="n"/>
      <c r="D66" s="69" t="n"/>
      <c r="E66" s="69" t="n"/>
      <c r="F66" s="69" t="n"/>
      <c r="G66" s="69" t="n"/>
      <c r="H66" s="69" t="n"/>
    </row>
    <row r="67">
      <c r="A67" s="69" t="n"/>
      <c r="B67" s="69" t="n"/>
      <c r="C67" s="69" t="n"/>
      <c r="D67" s="69" t="n"/>
      <c r="E67" s="69" t="n"/>
      <c r="F67" s="69" t="n"/>
      <c r="G67" s="69" t="n"/>
      <c r="H67" s="69" t="n"/>
    </row>
    <row r="68">
      <c r="A68" s="69" t="n"/>
      <c r="B68" s="69" t="n"/>
      <c r="C68" s="69" t="n"/>
      <c r="D68" s="69" t="n"/>
      <c r="E68" s="69" t="n"/>
      <c r="F68" s="69" t="n"/>
      <c r="G68" s="69" t="n"/>
      <c r="H68" s="69" t="n"/>
    </row>
    <row r="69">
      <c r="A69" s="69" t="n"/>
      <c r="B69" s="69" t="n"/>
      <c r="C69" s="69" t="n"/>
      <c r="D69" s="69" t="n"/>
      <c r="E69" s="69" t="n"/>
      <c r="F69" s="69" t="n"/>
      <c r="G69" s="69" t="n"/>
      <c r="H69" s="69" t="n"/>
    </row>
    <row r="70">
      <c r="A70" s="69" t="n"/>
      <c r="B70" s="69" t="n"/>
      <c r="C70" s="69" t="n"/>
      <c r="D70" s="69" t="n"/>
      <c r="E70" s="69" t="n"/>
      <c r="F70" s="69" t="n"/>
      <c r="G70" s="69" t="n"/>
      <c r="H70" s="69" t="n"/>
    </row>
    <row r="71">
      <c r="A71" s="69" t="n"/>
      <c r="B71" s="69" t="n"/>
      <c r="C71" s="69" t="n"/>
      <c r="D71" s="69" t="n"/>
      <c r="E71" s="69" t="n"/>
      <c r="F71" s="69" t="n"/>
      <c r="G71" s="69" t="n"/>
      <c r="H71" s="69" t="n"/>
    </row>
    <row r="72">
      <c r="A72" s="69" t="n"/>
      <c r="B72" s="69" t="n"/>
      <c r="C72" s="69" t="n"/>
      <c r="D72" s="69" t="n"/>
      <c r="E72" s="69" t="n"/>
      <c r="F72" s="69" t="n"/>
      <c r="G72" s="69" t="n"/>
      <c r="H72" s="69" t="n"/>
    </row>
    <row r="73">
      <c r="A73" s="69" t="n"/>
      <c r="B73" s="69" t="n"/>
      <c r="C73" s="69" t="n"/>
      <c r="D73" s="69" t="n"/>
      <c r="E73" s="69" t="n"/>
      <c r="F73" s="69" t="n"/>
      <c r="G73" s="69" t="n"/>
      <c r="H73" s="69" t="n"/>
    </row>
    <row r="74">
      <c r="A74" s="69" t="n"/>
      <c r="B74" s="69" t="n"/>
      <c r="C74" s="69" t="n"/>
      <c r="D74" s="69" t="n"/>
      <c r="E74" s="69" t="n"/>
      <c r="F74" s="69" t="n"/>
      <c r="G74" s="69" t="n"/>
      <c r="H74" s="69" t="n"/>
    </row>
    <row r="75">
      <c r="A75" s="69" t="n"/>
      <c r="B75" s="69" t="n"/>
      <c r="C75" s="69" t="n"/>
      <c r="D75" s="69" t="n"/>
      <c r="E75" s="69" t="n"/>
      <c r="F75" s="69" t="n"/>
      <c r="G75" s="69" t="n"/>
      <c r="H75" s="69" t="n"/>
    </row>
    <row r="76">
      <c r="A76" s="69" t="n"/>
      <c r="B76" s="69" t="n"/>
      <c r="C76" s="69" t="n"/>
      <c r="D76" s="69" t="n"/>
      <c r="E76" s="69" t="n"/>
      <c r="F76" s="69" t="n"/>
      <c r="G76" s="69" t="n"/>
      <c r="H76" s="69" t="n"/>
    </row>
    <row r="77">
      <c r="A77" s="69" t="n"/>
      <c r="B77" s="69" t="n"/>
      <c r="C77" s="69" t="n"/>
      <c r="D77" s="69" t="n"/>
      <c r="E77" s="69" t="n"/>
      <c r="F77" s="69" t="n"/>
      <c r="G77" s="69" t="n"/>
      <c r="H77" s="69" t="n"/>
    </row>
    <row r="78">
      <c r="A78" s="69" t="n"/>
      <c r="B78" s="69" t="n"/>
      <c r="C78" s="69" t="n"/>
      <c r="D78" s="69" t="n"/>
      <c r="E78" s="69" t="n"/>
      <c r="F78" s="69" t="n"/>
      <c r="G78" s="69" t="n"/>
      <c r="H78" s="69" t="n"/>
    </row>
    <row r="79">
      <c r="A79" s="69" t="n"/>
      <c r="B79" s="69" t="n"/>
      <c r="C79" s="69" t="n"/>
      <c r="D79" s="69" t="n"/>
      <c r="E79" s="69" t="n"/>
      <c r="F79" s="69" t="n"/>
      <c r="G79" s="69" t="n"/>
      <c r="H79" s="69" t="n"/>
    </row>
    <row r="80">
      <c r="A80" s="69" t="n"/>
      <c r="B80" s="69" t="n"/>
      <c r="C80" s="69" t="n"/>
      <c r="D80" s="69" t="n"/>
      <c r="E80" s="69" t="n"/>
      <c r="F80" s="69" t="n"/>
      <c r="G80" s="69" t="n"/>
      <c r="H80" s="69" t="n"/>
    </row>
    <row r="81">
      <c r="A81" s="69" t="n"/>
      <c r="B81" s="69" t="n"/>
      <c r="C81" s="69" t="n"/>
      <c r="D81" s="69" t="n"/>
      <c r="E81" s="69" t="n"/>
      <c r="F81" s="69" t="n"/>
      <c r="G81" s="69" t="n"/>
      <c r="H81" s="69" t="n"/>
    </row>
    <row r="82">
      <c r="A82" s="69" t="n"/>
      <c r="B82" s="69" t="n"/>
      <c r="C82" s="69" t="n"/>
      <c r="D82" s="69" t="n"/>
      <c r="E82" s="69" t="n"/>
      <c r="F82" s="69" t="n"/>
      <c r="G82" s="69" t="n"/>
      <c r="H82" s="69" t="n"/>
    </row>
    <row r="83">
      <c r="A83" s="69" t="n"/>
      <c r="B83" s="69" t="n"/>
      <c r="C83" s="69" t="n"/>
      <c r="D83" s="69" t="n"/>
      <c r="E83" s="69" t="n"/>
      <c r="F83" s="69" t="n"/>
      <c r="G83" s="69" t="n"/>
      <c r="H83" s="69" t="n"/>
    </row>
    <row r="84">
      <c r="A84" s="69" t="n"/>
      <c r="B84" s="69" t="n"/>
      <c r="C84" s="69" t="n"/>
      <c r="D84" s="69" t="n"/>
      <c r="E84" s="69" t="n"/>
      <c r="F84" s="69" t="n"/>
      <c r="G84" s="69" t="n"/>
      <c r="H84" s="69" t="n"/>
    </row>
    <row r="85">
      <c r="A85" s="69" t="n"/>
      <c r="B85" s="69" t="n"/>
      <c r="C85" s="69" t="n"/>
      <c r="D85" s="69" t="n"/>
      <c r="E85" s="69" t="n"/>
      <c r="F85" s="69" t="n"/>
      <c r="G85" s="69" t="n"/>
      <c r="H85" s="69" t="n"/>
    </row>
    <row r="86">
      <c r="A86" s="69" t="n"/>
      <c r="B86" s="69" t="n"/>
      <c r="C86" s="69" t="n"/>
      <c r="D86" s="69" t="n"/>
      <c r="E86" s="69" t="n"/>
      <c r="F86" s="69" t="n"/>
      <c r="G86" s="69" t="n"/>
      <c r="H86" s="69" t="n"/>
    </row>
    <row r="87">
      <c r="A87" s="69" t="n"/>
      <c r="B87" s="69" t="n"/>
      <c r="C87" s="69" t="n"/>
      <c r="D87" s="69" t="n"/>
      <c r="E87" s="69" t="n"/>
      <c r="F87" s="69" t="n"/>
      <c r="G87" s="69" t="n"/>
      <c r="H87" s="69" t="n"/>
    </row>
    <row r="88">
      <c r="A88" s="69" t="n"/>
      <c r="B88" s="69" t="n"/>
      <c r="C88" s="69" t="n"/>
      <c r="D88" s="69" t="n"/>
      <c r="E88" s="69" t="n"/>
      <c r="F88" s="69" t="n"/>
      <c r="G88" s="69" t="n"/>
      <c r="H88" s="69" t="n"/>
    </row>
    <row r="89">
      <c r="A89" s="69" t="n"/>
      <c r="B89" s="69" t="n"/>
      <c r="C89" s="69" t="n"/>
      <c r="D89" s="69" t="n"/>
      <c r="E89" s="69" t="n"/>
      <c r="F89" s="69" t="n"/>
      <c r="G89" s="69" t="n"/>
      <c r="H89" s="69" t="n"/>
    </row>
    <row r="90">
      <c r="A90" s="69" t="n"/>
      <c r="B90" s="69" t="n"/>
      <c r="C90" s="69" t="n"/>
      <c r="D90" s="69" t="n"/>
      <c r="E90" s="69" t="n"/>
      <c r="F90" s="69" t="n"/>
      <c r="G90" s="69" t="n"/>
      <c r="H90" s="69" t="n"/>
    </row>
    <row r="91">
      <c r="A91" s="69" t="n"/>
      <c r="B91" s="69" t="n"/>
      <c r="C91" s="69" t="n"/>
      <c r="D91" s="69" t="n"/>
      <c r="E91" s="69" t="n"/>
      <c r="F91" s="69" t="n"/>
      <c r="G91" s="69" t="n"/>
      <c r="H91" s="69" t="n"/>
    </row>
    <row r="92">
      <c r="A92" s="69" t="n"/>
      <c r="B92" s="69" t="n"/>
      <c r="C92" s="69" t="n"/>
      <c r="D92" s="69" t="n"/>
      <c r="E92" s="69" t="n"/>
      <c r="F92" s="69" t="n"/>
      <c r="G92" s="69" t="n"/>
      <c r="H92" s="69" t="n"/>
    </row>
    <row r="93">
      <c r="A93" s="69" t="n"/>
      <c r="B93" s="69" t="n"/>
      <c r="C93" s="69" t="n"/>
      <c r="D93" s="69" t="n"/>
      <c r="E93" s="69" t="n"/>
      <c r="F93" s="69" t="n"/>
      <c r="G93" s="69" t="n"/>
      <c r="H93" s="69" t="n"/>
    </row>
    <row r="94">
      <c r="A94" s="69" t="n"/>
      <c r="B94" s="69" t="n"/>
      <c r="C94" s="69" t="n"/>
      <c r="D94" s="69" t="n"/>
      <c r="E94" s="69" t="n"/>
      <c r="F94" s="69" t="n"/>
      <c r="G94" s="69" t="n"/>
      <c r="H94" s="69" t="n"/>
    </row>
    <row r="95">
      <c r="A95" s="69" t="n"/>
      <c r="B95" s="69" t="n"/>
      <c r="C95" s="69" t="n"/>
      <c r="D95" s="69" t="n"/>
      <c r="E95" s="69" t="n"/>
      <c r="F95" s="69" t="n"/>
      <c r="G95" s="69" t="n"/>
      <c r="H95" s="69" t="n"/>
    </row>
    <row r="96">
      <c r="A96" s="69" t="n"/>
      <c r="B96" s="69" t="n"/>
      <c r="C96" s="69" t="n"/>
      <c r="D96" s="69" t="n"/>
      <c r="E96" s="69" t="n"/>
      <c r="F96" s="69" t="n"/>
      <c r="G96" s="69" t="n"/>
      <c r="H96" s="69" t="n"/>
    </row>
    <row r="97">
      <c r="A97" s="69" t="n"/>
      <c r="B97" s="69" t="n"/>
      <c r="C97" s="69" t="n"/>
      <c r="D97" s="69" t="n"/>
      <c r="E97" s="69" t="n"/>
      <c r="F97" s="69" t="n"/>
      <c r="G97" s="69" t="n"/>
      <c r="H97" s="69" t="n"/>
    </row>
    <row r="98">
      <c r="A98" s="69" t="n"/>
      <c r="B98" s="69" t="n"/>
      <c r="C98" s="69" t="n"/>
      <c r="D98" s="69" t="n"/>
      <c r="E98" s="69" t="n"/>
      <c r="F98" s="69" t="n"/>
      <c r="G98" s="69" t="n"/>
      <c r="H98" s="69" t="n"/>
    </row>
    <row r="99">
      <c r="A99" s="69" t="n"/>
      <c r="B99" s="69" t="n"/>
      <c r="C99" s="69" t="n"/>
      <c r="D99" s="69" t="n"/>
      <c r="E99" s="69" t="n"/>
      <c r="F99" s="69" t="n"/>
      <c r="G99" s="69" t="n"/>
      <c r="H99" s="69" t="n"/>
    </row>
    <row r="100">
      <c r="A100" s="69" t="n"/>
      <c r="B100" s="69" t="n"/>
      <c r="C100" s="69" t="n"/>
      <c r="D100" s="69" t="n"/>
      <c r="E100" s="69" t="n"/>
      <c r="F100" s="69" t="n"/>
      <c r="G100" s="69" t="n"/>
      <c r="H100" s="69" t="n"/>
    </row>
    <row r="101">
      <c r="A101" s="69" t="n"/>
      <c r="B101" s="69" t="n"/>
      <c r="C101" s="69" t="n"/>
      <c r="D101" s="69" t="n"/>
      <c r="E101" s="69" t="n"/>
      <c r="F101" s="69" t="n"/>
      <c r="G101" s="69" t="n"/>
      <c r="H101" s="69" t="n"/>
    </row>
    <row r="102">
      <c r="A102" s="69" t="n"/>
      <c r="B102" s="69" t="n"/>
      <c r="C102" s="69" t="n"/>
      <c r="D102" s="69" t="n"/>
      <c r="E102" s="69" t="n"/>
      <c r="F102" s="69" t="n"/>
      <c r="G102" s="69" t="n"/>
      <c r="H102" s="69" t="n"/>
    </row>
    <row r="103">
      <c r="A103" s="69" t="n"/>
      <c r="B103" s="69" t="n"/>
      <c r="C103" s="69" t="n"/>
      <c r="D103" s="69" t="n"/>
      <c r="E103" s="69" t="n"/>
      <c r="F103" s="69" t="n"/>
      <c r="G103" s="69" t="n"/>
      <c r="H103" s="69" t="n"/>
    </row>
    <row r="104">
      <c r="A104" s="69" t="n"/>
      <c r="B104" s="69" t="n"/>
      <c r="C104" s="69" t="n"/>
      <c r="D104" s="69" t="n"/>
      <c r="E104" s="69" t="n"/>
      <c r="F104" s="69" t="n"/>
      <c r="G104" s="69" t="n"/>
      <c r="H104" s="69" t="n"/>
    </row>
    <row r="105">
      <c r="A105" s="69" t="n"/>
      <c r="B105" s="69" t="n"/>
      <c r="C105" s="69" t="n"/>
      <c r="D105" s="69" t="n"/>
      <c r="E105" s="69" t="n"/>
      <c r="F105" s="69" t="n"/>
      <c r="G105" s="69" t="n"/>
      <c r="H105" s="69" t="n"/>
    </row>
    <row r="106">
      <c r="A106" s="69" t="n"/>
      <c r="B106" s="69" t="n"/>
      <c r="C106" s="69" t="n"/>
      <c r="D106" s="69" t="n"/>
      <c r="E106" s="69" t="n"/>
      <c r="F106" s="69" t="n"/>
      <c r="G106" s="69" t="n"/>
      <c r="H106" s="69" t="n"/>
    </row>
    <row r="107">
      <c r="A107" s="69" t="n"/>
      <c r="B107" s="69" t="n"/>
      <c r="C107" s="69" t="n"/>
      <c r="D107" s="69" t="n"/>
      <c r="E107" s="69" t="n"/>
      <c r="F107" s="69" t="n"/>
      <c r="G107" s="69" t="n"/>
      <c r="H107" s="69" t="n"/>
    </row>
    <row r="108">
      <c r="A108" s="69" t="n"/>
      <c r="B108" s="69" t="n"/>
      <c r="C108" s="69" t="n"/>
      <c r="D108" s="69" t="n"/>
      <c r="E108" s="69" t="n"/>
      <c r="F108" s="69" t="n"/>
      <c r="G108" s="69" t="n"/>
      <c r="H108" s="69" t="n"/>
    </row>
    <row r="109">
      <c r="A109" s="69" t="n"/>
      <c r="B109" s="69" t="n"/>
      <c r="C109" s="69" t="n"/>
      <c r="D109" s="69" t="n"/>
      <c r="E109" s="69" t="n"/>
      <c r="F109" s="69" t="n"/>
      <c r="G109" s="69" t="n"/>
      <c r="H109" s="69" t="n"/>
    </row>
    <row r="110">
      <c r="A110" s="69" t="n"/>
      <c r="B110" s="69" t="n"/>
      <c r="C110" s="69" t="n"/>
      <c r="D110" s="69" t="n"/>
      <c r="E110" s="69" t="n"/>
      <c r="F110" s="69" t="n"/>
      <c r="G110" s="69" t="n"/>
      <c r="H110" s="69" t="n"/>
    </row>
    <row r="111">
      <c r="A111" s="69" t="n"/>
      <c r="B111" s="69" t="n"/>
      <c r="C111" s="69" t="n"/>
      <c r="D111" s="69" t="n"/>
      <c r="E111" s="69" t="n"/>
      <c r="F111" s="69" t="n"/>
      <c r="G111" s="69" t="n"/>
      <c r="H111" s="69" t="n"/>
    </row>
    <row r="112">
      <c r="A112" s="69" t="n"/>
      <c r="B112" s="69" t="n"/>
      <c r="C112" s="69" t="n"/>
      <c r="D112" s="69" t="n"/>
      <c r="E112" s="69" t="n"/>
      <c r="F112" s="69" t="n"/>
      <c r="G112" s="69" t="n"/>
      <c r="H112" s="69" t="n"/>
    </row>
    <row r="113">
      <c r="A113" s="69" t="n"/>
      <c r="B113" s="69" t="n"/>
      <c r="C113" s="69" t="n"/>
      <c r="D113" s="69" t="n"/>
      <c r="E113" s="69" t="n"/>
      <c r="F113" s="69" t="n"/>
      <c r="G113" s="69" t="n"/>
      <c r="H113" s="69" t="n"/>
    </row>
    <row r="114">
      <c r="A114" s="69" t="n"/>
      <c r="B114" s="69" t="n"/>
      <c r="C114" s="69" t="n"/>
      <c r="D114" s="69" t="n"/>
      <c r="E114" s="69" t="n"/>
      <c r="F114" s="69" t="n"/>
      <c r="G114" s="69" t="n"/>
      <c r="H114" s="69" t="n"/>
    </row>
    <row r="115">
      <c r="A115" s="69" t="n"/>
      <c r="B115" s="69" t="n"/>
      <c r="C115" s="69" t="n"/>
      <c r="D115" s="69" t="n"/>
      <c r="E115" s="69" t="n"/>
      <c r="F115" s="69" t="n"/>
      <c r="G115" s="69" t="n"/>
      <c r="H115" s="69" t="n"/>
    </row>
    <row r="116">
      <c r="A116" s="69" t="n"/>
      <c r="B116" s="69" t="n"/>
      <c r="C116" s="69" t="n"/>
      <c r="D116" s="69" t="n"/>
      <c r="E116" s="69" t="n"/>
      <c r="F116" s="69" t="n"/>
      <c r="G116" s="69" t="n"/>
      <c r="H116" s="69" t="n"/>
    </row>
    <row r="117">
      <c r="A117" s="69" t="n"/>
      <c r="B117" s="69" t="n"/>
      <c r="C117" s="69" t="n"/>
      <c r="D117" s="69" t="n"/>
      <c r="E117" s="69" t="n"/>
      <c r="F117" s="69" t="n"/>
      <c r="G117" s="69" t="n"/>
      <c r="H117" s="69" t="n"/>
    </row>
    <row r="118">
      <c r="A118" s="69" t="n"/>
      <c r="B118" s="69" t="n"/>
      <c r="C118" s="69" t="n"/>
      <c r="D118" s="69" t="n"/>
      <c r="E118" s="69" t="n"/>
      <c r="F118" s="69" t="n"/>
      <c r="G118" s="69" t="n"/>
      <c r="H118" s="69" t="n"/>
    </row>
    <row r="119">
      <c r="A119" s="69" t="n"/>
      <c r="B119" s="69" t="n"/>
      <c r="C119" s="69" t="n"/>
      <c r="D119" s="69" t="n"/>
      <c r="E119" s="69" t="n"/>
      <c r="F119" s="69" t="n"/>
      <c r="G119" s="69" t="n"/>
      <c r="H119" s="69" t="n"/>
    </row>
    <row r="120">
      <c r="A120" s="69" t="n"/>
      <c r="B120" s="69" t="n"/>
      <c r="C120" s="69" t="n"/>
      <c r="D120" s="69" t="n"/>
      <c r="E120" s="69" t="n"/>
      <c r="F120" s="69" t="n"/>
      <c r="G120" s="69" t="n"/>
      <c r="H120" s="69" t="n"/>
    </row>
    <row r="121">
      <c r="A121" s="69" t="n"/>
      <c r="B121" s="69" t="n"/>
      <c r="C121" s="69" t="n"/>
      <c r="D121" s="69" t="n"/>
      <c r="E121" s="69" t="n"/>
      <c r="F121" s="69" t="n"/>
      <c r="G121" s="69" t="n"/>
      <c r="H121" s="69" t="n"/>
    </row>
    <row r="122">
      <c r="A122" s="69" t="n"/>
      <c r="B122" s="69" t="n"/>
      <c r="C122" s="69" t="n"/>
      <c r="D122" s="69" t="n"/>
      <c r="E122" s="69" t="n"/>
      <c r="F122" s="69" t="n"/>
      <c r="G122" s="69" t="n"/>
      <c r="H122" s="69" t="n"/>
    </row>
    <row r="123">
      <c r="A123" s="69" t="n"/>
      <c r="B123" s="69" t="n"/>
      <c r="C123" s="69" t="n"/>
      <c r="D123" s="69" t="n"/>
      <c r="E123" s="69" t="n"/>
      <c r="F123" s="69" t="n"/>
      <c r="G123" s="69" t="n"/>
      <c r="H123" s="69" t="n"/>
    </row>
    <row r="124">
      <c r="A124" s="69" t="n"/>
      <c r="B124" s="69" t="n"/>
      <c r="C124" s="69" t="n"/>
      <c r="D124" s="69" t="n"/>
      <c r="E124" s="69" t="n"/>
      <c r="F124" s="69" t="n"/>
      <c r="G124" s="69" t="n"/>
      <c r="H124" s="69" t="n"/>
    </row>
    <row r="125">
      <c r="A125" s="69" t="n"/>
      <c r="B125" s="69" t="n"/>
      <c r="C125" s="69" t="n"/>
      <c r="D125" s="69" t="n"/>
      <c r="E125" s="69" t="n"/>
      <c r="F125" s="69" t="n"/>
      <c r="G125" s="69" t="n"/>
      <c r="H125" s="69" t="n"/>
    </row>
    <row r="126">
      <c r="A126" s="69" t="n"/>
      <c r="B126" s="69" t="n"/>
      <c r="C126" s="69" t="n"/>
      <c r="D126" s="69" t="n"/>
      <c r="E126" s="69" t="n"/>
      <c r="F126" s="69" t="n"/>
      <c r="G126" s="69" t="n"/>
      <c r="H126" s="69" t="n"/>
    </row>
    <row r="127">
      <c r="A127" s="69" t="n"/>
      <c r="B127" s="69" t="n"/>
      <c r="C127" s="69" t="n"/>
      <c r="D127" s="69" t="n"/>
      <c r="E127" s="69" t="n"/>
      <c r="F127" s="69" t="n"/>
      <c r="G127" s="69" t="n"/>
      <c r="H127" s="69" t="n"/>
    </row>
    <row r="128">
      <c r="A128" s="69" t="n"/>
      <c r="B128" s="69" t="n"/>
      <c r="C128" s="69" t="n"/>
      <c r="D128" s="69" t="n"/>
      <c r="E128" s="69" t="n"/>
      <c r="F128" s="69" t="n"/>
      <c r="G128" s="69" t="n"/>
      <c r="H128" s="69" t="n"/>
    </row>
    <row r="129">
      <c r="A129" s="69" t="n"/>
      <c r="B129" s="69" t="n"/>
      <c r="C129" s="69" t="n"/>
      <c r="D129" s="69" t="n"/>
      <c r="E129" s="69" t="n"/>
      <c r="F129" s="69" t="n"/>
      <c r="G129" s="69" t="n"/>
      <c r="H129" s="69" t="n"/>
    </row>
    <row r="130">
      <c r="A130" s="69" t="n"/>
      <c r="B130" s="69" t="n"/>
      <c r="C130" s="69" t="n"/>
      <c r="D130" s="69" t="n"/>
      <c r="E130" s="69" t="n"/>
      <c r="F130" s="69" t="n"/>
      <c r="G130" s="69" t="n"/>
      <c r="H130" s="69" t="n"/>
    </row>
    <row r="131">
      <c r="A131" s="69" t="n"/>
      <c r="B131" s="69" t="n"/>
      <c r="C131" s="69" t="n"/>
      <c r="D131" s="69" t="n"/>
      <c r="E131" s="69" t="n"/>
      <c r="F131" s="69" t="n"/>
      <c r="G131" s="69" t="n"/>
      <c r="H131" s="69" t="n"/>
    </row>
    <row r="132">
      <c r="A132" s="69" t="n"/>
      <c r="B132" s="69" t="n"/>
      <c r="C132" s="69" t="n"/>
      <c r="D132" s="69" t="n"/>
      <c r="E132" s="69" t="n"/>
      <c r="F132" s="69" t="n"/>
      <c r="G132" s="69" t="n"/>
      <c r="H132" s="69" t="n"/>
    </row>
    <row r="133">
      <c r="A133" s="69" t="n"/>
      <c r="B133" s="69" t="n"/>
      <c r="C133" s="69" t="n"/>
      <c r="D133" s="69" t="n"/>
      <c r="E133" s="69" t="n"/>
      <c r="F133" s="69" t="n"/>
      <c r="G133" s="69" t="n"/>
      <c r="H133" s="69" t="n"/>
    </row>
    <row r="134">
      <c r="A134" s="69" t="n"/>
      <c r="B134" s="69" t="n"/>
      <c r="C134" s="69" t="n"/>
      <c r="D134" s="69" t="n"/>
      <c r="E134" s="69" t="n"/>
      <c r="F134" s="69" t="n"/>
      <c r="G134" s="69" t="n"/>
      <c r="H134" s="69" t="n"/>
    </row>
    <row r="135">
      <c r="A135" s="69" t="n"/>
      <c r="B135" s="69" t="n"/>
      <c r="C135" s="69" t="n"/>
      <c r="D135" s="69" t="n"/>
      <c r="E135" s="69" t="n"/>
      <c r="F135" s="69" t="n"/>
      <c r="G135" s="69" t="n"/>
      <c r="H135" s="69" t="n"/>
    </row>
    <row r="136">
      <c r="A136" s="69" t="n"/>
      <c r="B136" s="69" t="n"/>
      <c r="C136" s="69" t="n"/>
      <c r="D136" s="69" t="n"/>
      <c r="E136" s="69" t="n"/>
      <c r="F136" s="69" t="n"/>
      <c r="G136" s="69" t="n"/>
      <c r="H136" s="69" t="n"/>
    </row>
    <row r="137">
      <c r="A137" s="69" t="n"/>
      <c r="B137" s="69" t="n"/>
      <c r="C137" s="69" t="n"/>
      <c r="D137" s="69" t="n"/>
      <c r="E137" s="69" t="n"/>
      <c r="F137" s="69" t="n"/>
      <c r="G137" s="69" t="n"/>
      <c r="H137" s="69" t="n"/>
    </row>
    <row r="138">
      <c r="A138" s="69" t="n"/>
      <c r="B138" s="69" t="n"/>
      <c r="C138" s="69" t="n"/>
      <c r="D138" s="69" t="n"/>
      <c r="E138" s="69" t="n"/>
      <c r="F138" s="69" t="n"/>
      <c r="G138" s="69" t="n"/>
      <c r="H138" s="69" t="n"/>
    </row>
    <row r="139">
      <c r="A139" s="69" t="n"/>
      <c r="B139" s="69" t="n"/>
      <c r="C139" s="69" t="n"/>
      <c r="D139" s="69" t="n"/>
      <c r="E139" s="69" t="n"/>
      <c r="F139" s="69" t="n"/>
      <c r="G139" s="69" t="n"/>
      <c r="H139" s="69" t="n"/>
    </row>
    <row r="140">
      <c r="A140" s="69" t="n"/>
      <c r="B140" s="69" t="n"/>
      <c r="C140" s="69" t="n"/>
      <c r="D140" s="69" t="n"/>
      <c r="E140" s="69" t="n"/>
      <c r="F140" s="69" t="n"/>
      <c r="G140" s="69" t="n"/>
      <c r="H140" s="69" t="n"/>
    </row>
    <row r="141">
      <c r="A141" s="69" t="n"/>
      <c r="B141" s="69" t="n"/>
      <c r="C141" s="69" t="n"/>
      <c r="D141" s="69" t="n"/>
      <c r="E141" s="69" t="n"/>
      <c r="F141" s="69" t="n"/>
      <c r="G141" s="69" t="n"/>
      <c r="H141" s="69" t="n"/>
    </row>
    <row r="142">
      <c r="A142" s="69" t="n"/>
      <c r="B142" s="69" t="n"/>
      <c r="C142" s="69" t="n"/>
      <c r="D142" s="69" t="n"/>
      <c r="E142" s="69" t="n"/>
      <c r="F142" s="69" t="n"/>
      <c r="G142" s="69" t="n"/>
      <c r="H142" s="69" t="n"/>
    </row>
    <row r="143">
      <c r="A143" s="69" t="n"/>
      <c r="B143" s="69" t="n"/>
      <c r="C143" s="69" t="n"/>
      <c r="D143" s="69" t="n"/>
      <c r="E143" s="69" t="n"/>
      <c r="F143" s="69" t="n"/>
      <c r="G143" s="69" t="n"/>
      <c r="H143" s="69" t="n"/>
    </row>
    <row r="144">
      <c r="A144" s="69" t="n"/>
      <c r="B144" s="69" t="n"/>
      <c r="C144" s="69" t="n"/>
      <c r="D144" s="69" t="n"/>
      <c r="E144" s="69" t="n"/>
      <c r="F144" s="69" t="n"/>
      <c r="G144" s="69" t="n"/>
      <c r="H144" s="69" t="n"/>
    </row>
    <row r="145">
      <c r="A145" s="69" t="n"/>
      <c r="B145" s="69" t="n"/>
      <c r="C145" s="69" t="n"/>
      <c r="D145" s="69" t="n"/>
      <c r="E145" s="69" t="n"/>
      <c r="F145" s="69" t="n"/>
      <c r="G145" s="69" t="n"/>
      <c r="H145" s="69" t="n"/>
    </row>
    <row r="146">
      <c r="A146" s="69" t="n"/>
      <c r="B146" s="69" t="n"/>
      <c r="C146" s="69" t="n"/>
      <c r="D146" s="69" t="n"/>
      <c r="E146" s="69" t="n"/>
      <c r="F146" s="69" t="n"/>
      <c r="G146" s="69" t="n"/>
      <c r="H146" s="69" t="n"/>
    </row>
    <row r="147">
      <c r="A147" s="69" t="n"/>
      <c r="B147" s="69" t="n"/>
      <c r="C147" s="69" t="n"/>
      <c r="D147" s="69" t="n"/>
      <c r="E147" s="69" t="n"/>
      <c r="F147" s="69" t="n"/>
      <c r="G147" s="69" t="n"/>
      <c r="H147" s="69" t="n"/>
    </row>
    <row r="148">
      <c r="A148" s="69" t="n"/>
      <c r="B148" s="69" t="n"/>
      <c r="C148" s="69" t="n"/>
      <c r="D148" s="69" t="n"/>
      <c r="E148" s="69" t="n"/>
      <c r="F148" s="69" t="n"/>
      <c r="G148" s="69" t="n"/>
      <c r="H148" s="69" t="n"/>
    </row>
    <row r="149">
      <c r="A149" s="69" t="n"/>
      <c r="B149" s="69" t="n"/>
      <c r="C149" s="69" t="n"/>
      <c r="D149" s="69" t="n"/>
      <c r="E149" s="69" t="n"/>
      <c r="F149" s="69" t="n"/>
      <c r="G149" s="69" t="n"/>
      <c r="H149" s="69" t="n"/>
    </row>
    <row r="150">
      <c r="A150" s="69" t="n"/>
      <c r="B150" s="69" t="n"/>
      <c r="C150" s="69" t="n"/>
      <c r="D150" s="69" t="n"/>
      <c r="E150" s="69" t="n"/>
      <c r="F150" s="69" t="n"/>
      <c r="G150" s="69" t="n"/>
      <c r="H150" s="69" t="n"/>
    </row>
    <row r="151">
      <c r="A151" s="69" t="n"/>
      <c r="B151" s="69" t="n"/>
      <c r="C151" s="69" t="n"/>
      <c r="D151" s="69" t="n"/>
      <c r="E151" s="69" t="n"/>
      <c r="F151" s="69" t="n"/>
      <c r="G151" s="69" t="n"/>
      <c r="H151" s="69" t="n"/>
    </row>
    <row r="152">
      <c r="A152" s="69" t="n"/>
      <c r="B152" s="69" t="n"/>
      <c r="C152" s="69" t="n"/>
      <c r="D152" s="69" t="n"/>
      <c r="E152" s="69" t="n"/>
      <c r="F152" s="69" t="n"/>
      <c r="G152" s="69" t="n"/>
      <c r="H152" s="69" t="n"/>
    </row>
    <row r="153">
      <c r="A153" s="69" t="n"/>
      <c r="B153" s="69" t="n"/>
      <c r="C153" s="69" t="n"/>
      <c r="D153" s="69" t="n"/>
      <c r="E153" s="69" t="n"/>
      <c r="F153" s="69" t="n"/>
      <c r="G153" s="69" t="n"/>
      <c r="H153" s="69" t="n"/>
    </row>
    <row r="154">
      <c r="A154" s="69" t="n"/>
      <c r="B154" s="69" t="n"/>
      <c r="C154" s="69" t="n"/>
      <c r="D154" s="69" t="n"/>
      <c r="E154" s="69" t="n"/>
      <c r="F154" s="69" t="n"/>
      <c r="G154" s="69" t="n"/>
      <c r="H154" s="69" t="n"/>
    </row>
    <row r="155">
      <c r="A155" s="69" t="n"/>
      <c r="B155" s="69" t="n"/>
      <c r="C155" s="69" t="n"/>
      <c r="D155" s="69" t="n"/>
      <c r="E155" s="69" t="n"/>
      <c r="F155" s="69" t="n"/>
      <c r="G155" s="69" t="n"/>
      <c r="H155" s="69" t="n"/>
    </row>
    <row r="156">
      <c r="A156" s="69" t="n"/>
      <c r="B156" s="69" t="n"/>
      <c r="C156" s="69" t="n"/>
      <c r="D156" s="69" t="n"/>
      <c r="E156" s="69" t="n"/>
      <c r="F156" s="69" t="n"/>
      <c r="G156" s="69" t="n"/>
      <c r="H156" s="69" t="n"/>
    </row>
    <row r="157">
      <c r="A157" s="69" t="n"/>
      <c r="B157" s="69" t="n"/>
      <c r="C157" s="69" t="n"/>
      <c r="D157" s="69" t="n"/>
      <c r="E157" s="69" t="n"/>
      <c r="F157" s="69" t="n"/>
      <c r="G157" s="69" t="n"/>
      <c r="H157" s="69" t="n"/>
    </row>
    <row r="158">
      <c r="A158" s="69" t="n"/>
      <c r="B158" s="69" t="n"/>
      <c r="C158" s="69" t="n"/>
      <c r="D158" s="69" t="n"/>
      <c r="E158" s="69" t="n"/>
      <c r="F158" s="69" t="n"/>
      <c r="G158" s="69" t="n"/>
      <c r="H158" s="69" t="n"/>
    </row>
    <row r="159">
      <c r="A159" s="69" t="n"/>
      <c r="B159" s="69" t="n"/>
      <c r="C159" s="69" t="n"/>
      <c r="D159" s="69" t="n"/>
      <c r="E159" s="69" t="n"/>
      <c r="F159" s="69" t="n"/>
      <c r="G159" s="69" t="n"/>
      <c r="H159" s="69" t="n"/>
    </row>
    <row r="160">
      <c r="A160" s="69" t="n"/>
      <c r="B160" s="69" t="n"/>
      <c r="C160" s="69" t="n"/>
      <c r="D160" s="69" t="n"/>
      <c r="E160" s="69" t="n"/>
      <c r="F160" s="69" t="n"/>
      <c r="G160" s="69" t="n"/>
      <c r="H160" s="69" t="n"/>
    </row>
    <row r="161">
      <c r="A161" s="69" t="n"/>
      <c r="B161" s="69" t="n"/>
      <c r="C161" s="69" t="n"/>
      <c r="D161" s="69" t="n"/>
      <c r="E161" s="69" t="n"/>
      <c r="F161" s="69" t="n"/>
      <c r="G161" s="69" t="n"/>
      <c r="H161" s="69" t="n"/>
    </row>
    <row r="162">
      <c r="A162" s="69" t="n"/>
      <c r="B162" s="69" t="n"/>
      <c r="C162" s="69" t="n"/>
      <c r="D162" s="69" t="n"/>
      <c r="E162" s="69" t="n"/>
      <c r="F162" s="69" t="n"/>
      <c r="G162" s="69" t="n"/>
      <c r="H162" s="69" t="n"/>
    </row>
    <row r="163">
      <c r="A163" s="69" t="n"/>
      <c r="B163" s="69" t="n"/>
      <c r="C163" s="69" t="n"/>
      <c r="D163" s="69" t="n"/>
      <c r="E163" s="69" t="n"/>
      <c r="F163" s="69" t="n"/>
      <c r="G163" s="69" t="n"/>
      <c r="H163" s="69" t="n"/>
    </row>
    <row r="164">
      <c r="A164" s="69" t="n"/>
      <c r="B164" s="69" t="n"/>
      <c r="C164" s="69" t="n"/>
      <c r="D164" s="69" t="n"/>
      <c r="E164" s="69" t="n"/>
      <c r="F164" s="69" t="n"/>
      <c r="G164" s="69" t="n"/>
      <c r="H164" s="69" t="n"/>
    </row>
    <row r="165">
      <c r="A165" s="69" t="n"/>
      <c r="B165" s="69" t="n"/>
      <c r="C165" s="69" t="n"/>
      <c r="D165" s="69" t="n"/>
      <c r="E165" s="69" t="n"/>
      <c r="F165" s="69" t="n"/>
      <c r="G165" s="69" t="n"/>
      <c r="H165" s="69" t="n"/>
    </row>
    <row r="166">
      <c r="A166" s="69" t="n"/>
      <c r="B166" s="69" t="n"/>
      <c r="C166" s="69" t="n"/>
      <c r="D166" s="69" t="n"/>
      <c r="E166" s="69" t="n"/>
      <c r="F166" s="69" t="n"/>
      <c r="G166" s="69" t="n"/>
      <c r="H166" s="69" t="n"/>
    </row>
    <row r="167">
      <c r="A167" s="69" t="n"/>
      <c r="B167" s="69" t="n"/>
      <c r="C167" s="69" t="n"/>
      <c r="D167" s="69" t="n"/>
      <c r="E167" s="69" t="n"/>
      <c r="F167" s="69" t="n"/>
      <c r="G167" s="69" t="n"/>
      <c r="H167" s="69" t="n"/>
    </row>
    <row r="168">
      <c r="A168" s="69" t="n"/>
      <c r="B168" s="69" t="n"/>
      <c r="C168" s="69" t="n"/>
      <c r="D168" s="69" t="n"/>
      <c r="E168" s="69" t="n"/>
      <c r="F168" s="69" t="n"/>
      <c r="G168" s="69" t="n"/>
      <c r="H168" s="69" t="n"/>
    </row>
    <row r="169">
      <c r="A169" s="69" t="n"/>
      <c r="B169" s="69" t="n"/>
      <c r="C169" s="69" t="n"/>
      <c r="D169" s="69" t="n"/>
      <c r="E169" s="69" t="n"/>
      <c r="F169" s="69" t="n"/>
      <c r="G169" s="69" t="n"/>
      <c r="H169" s="69" t="n"/>
    </row>
    <row r="170">
      <c r="A170" s="69" t="n"/>
      <c r="B170" s="69" t="n"/>
      <c r="C170" s="69" t="n"/>
      <c r="D170" s="69" t="n"/>
      <c r="E170" s="69" t="n"/>
      <c r="F170" s="69" t="n"/>
      <c r="G170" s="69" t="n"/>
      <c r="H170" s="69" t="n"/>
    </row>
    <row r="171">
      <c r="A171" s="69" t="n"/>
      <c r="B171" s="69" t="n"/>
      <c r="C171" s="69" t="n"/>
      <c r="D171" s="69" t="n"/>
      <c r="E171" s="69" t="n"/>
      <c r="F171" s="69" t="n"/>
      <c r="G171" s="69" t="n"/>
      <c r="H171" s="69" t="n"/>
    </row>
    <row r="172">
      <c r="A172" s="69" t="n"/>
      <c r="B172" s="69" t="n"/>
      <c r="C172" s="69" t="n"/>
      <c r="D172" s="69" t="n"/>
      <c r="E172" s="69" t="n"/>
      <c r="F172" s="69" t="n"/>
      <c r="G172" s="69" t="n"/>
      <c r="H172" s="69" t="n"/>
    </row>
    <row r="173">
      <c r="A173" s="69" t="n"/>
      <c r="B173" s="69" t="n"/>
      <c r="C173" s="69" t="n"/>
      <c r="D173" s="69" t="n"/>
      <c r="E173" s="69" t="n"/>
      <c r="F173" s="69" t="n"/>
      <c r="G173" s="69" t="n"/>
      <c r="H173" s="69" t="n"/>
    </row>
    <row r="174">
      <c r="A174" s="69" t="n"/>
      <c r="B174" s="69" t="n"/>
      <c r="C174" s="69" t="n"/>
      <c r="D174" s="69" t="n"/>
      <c r="E174" s="69" t="n"/>
      <c r="F174" s="69" t="n"/>
      <c r="G174" s="69" t="n"/>
      <c r="H174" s="69" t="n"/>
    </row>
    <row r="175">
      <c r="A175" s="69" t="n"/>
      <c r="B175" s="69" t="n"/>
      <c r="C175" s="69" t="n"/>
      <c r="D175" s="69" t="n"/>
      <c r="E175" s="69" t="n"/>
      <c r="F175" s="69" t="n"/>
      <c r="G175" s="69" t="n"/>
      <c r="H175" s="69" t="n"/>
    </row>
    <row r="176">
      <c r="A176" s="69" t="n"/>
      <c r="B176" s="69" t="n"/>
      <c r="C176" s="69" t="n"/>
      <c r="D176" s="69" t="n"/>
      <c r="E176" s="69" t="n"/>
      <c r="F176" s="69" t="n"/>
      <c r="G176" s="69" t="n"/>
      <c r="H176" s="69" t="n"/>
    </row>
    <row r="177">
      <c r="A177" s="69" t="n"/>
      <c r="B177" s="69" t="n"/>
      <c r="C177" s="69" t="n"/>
      <c r="D177" s="69" t="n"/>
      <c r="E177" s="69" t="n"/>
      <c r="F177" s="69" t="n"/>
      <c r="G177" s="69" t="n"/>
      <c r="H177" s="69" t="n"/>
    </row>
    <row r="178">
      <c r="A178" s="69" t="n"/>
      <c r="B178" s="69" t="n"/>
      <c r="C178" s="69" t="n"/>
      <c r="D178" s="69" t="n"/>
      <c r="E178" s="69" t="n"/>
      <c r="F178" s="69" t="n"/>
      <c r="G178" s="69" t="n"/>
      <c r="H178" s="69" t="n"/>
    </row>
    <row r="179">
      <c r="A179" s="69" t="n"/>
      <c r="B179" s="69" t="n"/>
      <c r="C179" s="69" t="n"/>
      <c r="D179" s="69" t="n"/>
      <c r="E179" s="69" t="n"/>
      <c r="F179" s="69" t="n"/>
      <c r="G179" s="69" t="n"/>
      <c r="H179" s="69" t="n"/>
    </row>
    <row r="180">
      <c r="A180" s="69" t="n"/>
      <c r="B180" s="69" t="n"/>
      <c r="C180" s="69" t="n"/>
      <c r="D180" s="69" t="n"/>
      <c r="E180" s="69" t="n"/>
      <c r="F180" s="69" t="n"/>
      <c r="G180" s="69" t="n"/>
      <c r="H180" s="69" t="n"/>
    </row>
    <row r="181">
      <c r="A181" s="69" t="n"/>
      <c r="B181" s="69" t="n"/>
      <c r="C181" s="69" t="n"/>
      <c r="D181" s="69" t="n"/>
      <c r="E181" s="69" t="n"/>
      <c r="F181" s="69" t="n"/>
      <c r="G181" s="69" t="n"/>
      <c r="H181" s="69" t="n"/>
    </row>
    <row r="182">
      <c r="A182" s="69" t="n"/>
      <c r="B182" s="69" t="n"/>
      <c r="C182" s="69" t="n"/>
      <c r="D182" s="69" t="n"/>
      <c r="E182" s="69" t="n"/>
      <c r="F182" s="69" t="n"/>
      <c r="G182" s="69" t="n"/>
      <c r="H182" s="69" t="n"/>
    </row>
    <row r="183">
      <c r="A183" s="69" t="n"/>
      <c r="B183" s="69" t="n"/>
      <c r="C183" s="69" t="n"/>
      <c r="D183" s="69" t="n"/>
      <c r="E183" s="69" t="n"/>
      <c r="F183" s="69" t="n"/>
      <c r="G183" s="69" t="n"/>
      <c r="H183" s="69" t="n"/>
    </row>
    <row r="184">
      <c r="A184" s="69" t="n"/>
      <c r="B184" s="69" t="n"/>
      <c r="C184" s="69" t="n"/>
      <c r="D184" s="69" t="n"/>
      <c r="E184" s="69" t="n"/>
      <c r="F184" s="69" t="n"/>
      <c r="G184" s="69" t="n"/>
      <c r="H184" s="69" t="n"/>
    </row>
    <row r="185">
      <c r="A185" s="69" t="n"/>
      <c r="B185" s="69" t="n"/>
      <c r="C185" s="69" t="n"/>
      <c r="D185" s="69" t="n"/>
      <c r="E185" s="69" t="n"/>
      <c r="F185" s="69" t="n"/>
      <c r="G185" s="69" t="n"/>
      <c r="H185" s="69" t="n"/>
    </row>
    <row r="186">
      <c r="A186" s="69" t="n"/>
      <c r="B186" s="69" t="n"/>
      <c r="C186" s="69" t="n"/>
      <c r="D186" s="69" t="n"/>
      <c r="E186" s="69" t="n"/>
      <c r="F186" s="69" t="n"/>
      <c r="G186" s="69" t="n"/>
      <c r="H186" s="69" t="n"/>
    </row>
    <row r="187">
      <c r="A187" s="69" t="n"/>
      <c r="B187" s="69" t="n"/>
      <c r="C187" s="69" t="n"/>
      <c r="D187" s="69" t="n"/>
      <c r="E187" s="69" t="n"/>
      <c r="F187" s="69" t="n"/>
      <c r="G187" s="69" t="n"/>
      <c r="H187" s="69" t="n"/>
    </row>
    <row r="188">
      <c r="A188" s="69" t="n"/>
      <c r="B188" s="69" t="n"/>
      <c r="C188" s="69" t="n"/>
      <c r="D188" s="69" t="n"/>
      <c r="E188" s="69" t="n"/>
      <c r="F188" s="69" t="n"/>
      <c r="G188" s="69" t="n"/>
      <c r="H188" s="69" t="n"/>
    </row>
    <row r="189">
      <c r="A189" s="69" t="n"/>
      <c r="B189" s="69" t="n"/>
      <c r="C189" s="69" t="n"/>
      <c r="D189" s="69" t="n"/>
      <c r="E189" s="69" t="n"/>
      <c r="F189" s="69" t="n"/>
      <c r="G189" s="69" t="n"/>
      <c r="H189" s="69" t="n"/>
    </row>
    <row r="190">
      <c r="A190" s="69" t="n"/>
      <c r="B190" s="69" t="n"/>
      <c r="C190" s="69" t="n"/>
      <c r="D190" s="69" t="n"/>
      <c r="E190" s="69" t="n"/>
      <c r="F190" s="69" t="n"/>
      <c r="G190" s="69" t="n"/>
      <c r="H190" s="69" t="n"/>
    </row>
    <row r="191">
      <c r="A191" s="69" t="n"/>
      <c r="B191" s="69" t="n"/>
      <c r="C191" s="69" t="n"/>
      <c r="D191" s="69" t="n"/>
      <c r="E191" s="69" t="n"/>
      <c r="F191" s="69" t="n"/>
      <c r="G191" s="69" t="n"/>
      <c r="H191" s="69" t="n"/>
    </row>
    <row r="192">
      <c r="A192" s="69" t="n"/>
      <c r="B192" s="69" t="n"/>
      <c r="C192" s="69" t="n"/>
      <c r="D192" s="69" t="n"/>
      <c r="E192" s="69" t="n"/>
      <c r="F192" s="69" t="n"/>
      <c r="G192" s="69" t="n"/>
      <c r="H192" s="69" t="n"/>
    </row>
    <row r="193">
      <c r="A193" s="69" t="n"/>
      <c r="B193" s="69" t="n"/>
      <c r="C193" s="69" t="n"/>
      <c r="D193" s="69" t="n"/>
      <c r="E193" s="69" t="n"/>
      <c r="F193" s="69" t="n"/>
      <c r="G193" s="69" t="n"/>
      <c r="H193" s="69" t="n"/>
    </row>
    <row r="194">
      <c r="A194" s="69" t="n"/>
      <c r="B194" s="69" t="n"/>
      <c r="C194" s="69" t="n"/>
      <c r="D194" s="69" t="n"/>
      <c r="E194" s="69" t="n"/>
      <c r="F194" s="69" t="n"/>
      <c r="G194" s="69" t="n"/>
      <c r="H194" s="69" t="n"/>
    </row>
    <row r="195">
      <c r="A195" s="69" t="n"/>
      <c r="B195" s="69" t="n"/>
      <c r="C195" s="69" t="n"/>
      <c r="D195" s="69" t="n"/>
      <c r="E195" s="69" t="n"/>
      <c r="F195" s="69" t="n"/>
      <c r="G195" s="69" t="n"/>
      <c r="H195" s="69" t="n"/>
    </row>
    <row r="196">
      <c r="A196" s="69" t="n"/>
      <c r="B196" s="69" t="n"/>
      <c r="C196" s="69" t="n"/>
      <c r="D196" s="69" t="n"/>
      <c r="E196" s="69" t="n"/>
      <c r="F196" s="69" t="n"/>
      <c r="G196" s="69" t="n"/>
      <c r="H196" s="69" t="n"/>
    </row>
    <row r="197">
      <c r="A197" s="69" t="n"/>
      <c r="B197" s="69" t="n"/>
      <c r="C197" s="69" t="n"/>
      <c r="D197" s="69" t="n"/>
      <c r="E197" s="69" t="n"/>
      <c r="F197" s="69" t="n"/>
      <c r="G197" s="69" t="n"/>
      <c r="H197" s="69" t="n"/>
    </row>
    <row r="198">
      <c r="A198" s="69" t="n"/>
      <c r="B198" s="69" t="n"/>
      <c r="C198" s="69" t="n"/>
      <c r="D198" s="69" t="n"/>
      <c r="E198" s="69" t="n"/>
      <c r="F198" s="69" t="n"/>
      <c r="G198" s="69" t="n"/>
      <c r="H198" s="69" t="n"/>
    </row>
    <row r="199">
      <c r="A199" s="69" t="n"/>
      <c r="B199" s="69" t="n"/>
      <c r="C199" s="69" t="n"/>
      <c r="D199" s="69" t="n"/>
      <c r="E199" s="69" t="n"/>
      <c r="F199" s="69" t="n"/>
      <c r="G199" s="69" t="n"/>
      <c r="H199" s="69" t="n"/>
    </row>
    <row r="200">
      <c r="A200" s="69" t="n"/>
      <c r="B200" s="69" t="n"/>
      <c r="C200" s="69" t="n"/>
      <c r="D200" s="69" t="n"/>
      <c r="E200" s="69" t="n"/>
      <c r="F200" s="69" t="n"/>
      <c r="G200" s="69" t="n"/>
      <c r="H200" s="69" t="n"/>
    </row>
    <row r="201">
      <c r="A201" s="69" t="n"/>
      <c r="B201" s="69" t="n"/>
      <c r="C201" s="69" t="n"/>
      <c r="D201" s="69" t="n"/>
      <c r="E201" s="69" t="n"/>
      <c r="F201" s="69" t="n"/>
      <c r="G201" s="69" t="n"/>
      <c r="H201" s="69" t="n"/>
    </row>
    <row r="202">
      <c r="A202" s="69" t="n"/>
      <c r="B202" s="69" t="n"/>
      <c r="C202" s="69" t="n"/>
      <c r="D202" s="69" t="n"/>
      <c r="E202" s="69" t="n"/>
      <c r="F202" s="69" t="n"/>
      <c r="G202" s="69" t="n"/>
      <c r="H202" s="69" t="n"/>
    </row>
    <row r="203">
      <c r="A203" s="69" t="n"/>
      <c r="B203" s="69" t="n"/>
      <c r="C203" s="69" t="n"/>
      <c r="D203" s="69" t="n"/>
      <c r="E203" s="69" t="n"/>
      <c r="F203" s="69" t="n"/>
      <c r="G203" s="69" t="n"/>
      <c r="H203" s="69" t="n"/>
    </row>
    <row r="204">
      <c r="A204" s="69" t="n"/>
      <c r="B204" s="69" t="n"/>
      <c r="C204" s="69" t="n"/>
      <c r="D204" s="69" t="n"/>
      <c r="E204" s="69" t="n"/>
      <c r="F204" s="69" t="n"/>
      <c r="G204" s="69" t="n"/>
      <c r="H204" s="69" t="n"/>
    </row>
    <row r="205">
      <c r="A205" s="69" t="n"/>
      <c r="B205" s="69" t="n"/>
      <c r="C205" s="69" t="n"/>
      <c r="D205" s="69" t="n"/>
      <c r="E205" s="69" t="n"/>
      <c r="F205" s="69" t="n"/>
      <c r="G205" s="69" t="n"/>
      <c r="H205" s="69" t="n"/>
    </row>
    <row r="206">
      <c r="A206" s="69" t="n"/>
      <c r="B206" s="69" t="n"/>
      <c r="C206" s="69" t="n"/>
      <c r="D206" s="69" t="n"/>
      <c r="E206" s="69" t="n"/>
      <c r="F206" s="69" t="n"/>
      <c r="G206" s="69" t="n"/>
      <c r="H206" s="69" t="n"/>
    </row>
    <row r="207">
      <c r="A207" s="69" t="n"/>
      <c r="B207" s="69" t="n"/>
      <c r="C207" s="69" t="n"/>
      <c r="D207" s="69" t="n"/>
      <c r="E207" s="69" t="n"/>
      <c r="F207" s="69" t="n"/>
      <c r="G207" s="69" t="n"/>
      <c r="H207" s="69" t="n"/>
    </row>
  </sheetData>
  <mergeCells count="1">
    <mergeCell ref="A2:H2"/>
  </mergeCells>
  <conditionalFormatting sqref="C8:D208">
    <cfRule type="expression" priority="1" dxfId="9">
      <formula>C8="Critical"</formula>
    </cfRule>
    <cfRule type="expression" priority="2" dxfId="10">
      <formula>C8="High"</formula>
    </cfRule>
    <cfRule type="expression" priority="3" dxfId="11">
      <formula>C8="Medium"</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style="19" min="1" max="1"/>
    <col width="24" customWidth="1" style="19" min="2" max="2"/>
    <col width="22" customWidth="1" style="19" min="3" max="3"/>
    <col width="7" customWidth="1" style="19" min="4" max="4"/>
    <col width="70" customWidth="1" style="19" min="5" max="5"/>
    <col width="22" customWidth="1" style="19" min="6" max="6"/>
    <col width="10" customWidth="1" style="19" min="7" max="7"/>
    <col width="11" customWidth="1" style="19" min="8" max="8"/>
    <col width="30" customWidth="1" style="19" min="9" max="9"/>
    <col width="18" customWidth="1" style="19" min="10" max="10"/>
    <col width="14" customWidth="1" style="19" min="11" max="11"/>
    <col width="16" customWidth="1" style="19" min="12" max="12"/>
    <col width="22" customWidth="1" style="19" min="13" max="13"/>
    <col width="26" customWidth="1" style="19" min="14" max="14"/>
    <col width="16" customWidth="1" style="19" min="15" max="15"/>
    <col width="14" customWidth="1" style="19" min="16" max="16"/>
    <col width="18" customWidth="1" style="19" min="17" max="17"/>
    <col width="9" customWidth="1" style="19" min="18" max="18"/>
    <col width="11" customWidth="1" style="19" min="19" max="19"/>
    <col width="9" customWidth="1" style="19" min="20" max="20"/>
    <col width="11" customWidth="1" style="19" min="21" max="21"/>
    <col width="22" customWidth="1" style="19" min="22" max="22"/>
  </cols>
  <sheetData>
    <row r="1">
      <c r="A1" s="44" t="inlineStr">
        <is>
          <t>Hardening Baseline — 59 consolidated controls, each traced to OWASP ASVS 5.0.0</t>
        </is>
      </c>
    </row>
    <row r="2" ht="75" customHeight="1" s="19">
      <c r="A2" s="45" t="inlineStr">
        <is>
          <t>This is the checklist to assess. Each control consolidates one or more OWASP ASVS 5.0.0 requirements: column C lists all of them, column F the ones in scope for this application (by ASVS chapter and target level). A control is Applicable when at least one of its ASVS requirements is in scope. Assess it against the requirements in column F — 'Full coverage' only when all of them are met. Columns A–K and O are maintained centrally (master template only); the app team fills in L, M, N and Q. The ASVS ↔ control mapping is column I of 'ASVS Checklist'.</t>
        </is>
      </c>
    </row>
    <row r="4" ht="27.75" customHeight="1" s="19">
      <c r="A4" s="46" t="inlineStr">
        <is>
          <t>Control ID</t>
        </is>
      </c>
      <c r="B4" s="46" t="inlineStr">
        <is>
          <t>Category</t>
        </is>
      </c>
      <c r="C4" s="46" t="inlineStr">
        <is>
          <t>ASVS references</t>
        </is>
      </c>
      <c r="D4" s="46" t="inlineStr">
        <is>
          <t>Level</t>
        </is>
      </c>
      <c r="E4" s="46" t="inlineStr">
        <is>
          <t>Requirement</t>
        </is>
      </c>
      <c r="F4" s="46" t="inlineStr">
        <is>
          <t>ASVS in scope</t>
        </is>
      </c>
      <c r="G4" s="46" t="inlineStr">
        <is>
          <t>ASVS in scope (count)</t>
        </is>
      </c>
      <c r="H4" s="46" t="inlineStr">
        <is>
          <t>Applicable?</t>
        </is>
      </c>
      <c r="I4" s="46" t="inlineStr">
        <is>
          <t>Control Type</t>
        </is>
      </c>
      <c r="J4" s="46" t="inlineStr">
        <is>
          <t>Nature</t>
        </is>
      </c>
      <c r="K4" s="46" t="inlineStr">
        <is>
          <t>Verification Stage</t>
        </is>
      </c>
      <c r="L4" s="46" t="inlineStr">
        <is>
          <t>Coverage Status</t>
        </is>
      </c>
      <c r="M4" s="46" t="inlineStr">
        <is>
          <t>Tool / Evidence</t>
        </is>
      </c>
      <c r="N4" s="46" t="inlineStr">
        <is>
          <t>Notes</t>
        </is>
      </c>
      <c r="O4" s="46" t="inlineStr">
        <is>
          <t>Requirement Impact</t>
        </is>
      </c>
      <c r="P4" s="46" t="inlineStr">
        <is>
          <t>Criticality</t>
        </is>
      </c>
      <c r="Q4" s="46" t="inlineStr">
        <is>
          <t>Remediation Owner</t>
        </is>
      </c>
      <c r="R4" s="46" t="inlineStr">
        <is>
          <t>Linked threats</t>
        </is>
      </c>
      <c r="S4" s="46" t="inlineStr">
        <is>
          <t>Threat priority</t>
        </is>
      </c>
      <c r="T4" s="46" t="inlineStr">
        <is>
          <t>Verify first?</t>
        </is>
      </c>
      <c r="U4" s="46" t="inlineStr">
        <is>
          <t>Backlog priority</t>
        </is>
      </c>
      <c r="V4" s="46" t="inlineStr">
        <is>
          <t>Linked threat IDs</t>
        </is>
      </c>
    </row>
    <row r="5" ht="90" customHeight="1" s="19">
      <c r="A5" s="47" t="inlineStr">
        <is>
          <t>HB-INJ-01</t>
        </is>
      </c>
      <c r="B5" s="47" t="inlineStr">
        <is>
          <t>Encoding and injection</t>
        </is>
      </c>
      <c r="C5" s="48" cm="1">
        <f t="array" ref="C5">IF($A5="","",_xlfn.TEXTJOIN("; ",TRUE,_xlfn._xlws.FILTER(MT_IDS,MT_BASELINE=$A5,"")))</f>
        <v/>
      </c>
      <c r="D5" s="48">
        <f>IF($A5="","",_xlfn.MINIFS(MT_LEVEL,MT_BASELINE,$A5))</f>
        <v/>
      </c>
      <c r="E5" s="47" t="inlineStr">
        <is>
          <t>Output encoding: untrusted data is encoded or escaped for its exact output context (HTML, attributes, CSS, HTTP headers, URLs, JavaScript/JSON) as the last step before the interpreter; input is decoded to canonical form only once, before validation; only safe URL schemes are allowed.</t>
        </is>
      </c>
      <c r="F5" s="48" cm="1">
        <f t="array" ref="F5">IF($A5="","",_xlfn.TEXTJOIN("; ",TRUE,_xlfn._xlws.FILTER(MT_IDS,(MT_BASELINE=$A5)*(MT_APPLICABLE="Applicable"),"")))</f>
        <v/>
      </c>
      <c r="G5" s="48">
        <f>IF($A5="","",COUNTIFS(MT_BASELINE,$A5,MT_APPLICABLE,"Applicable"))</f>
        <v/>
      </c>
      <c r="H5" s="48">
        <f>IF($A5="","",IF(G5&gt;0,"Applicable","N/A"))</f>
        <v/>
      </c>
      <c r="I5" s="47" t="inlineStr">
        <is>
          <t>SAST + DAST</t>
        </is>
      </c>
      <c r="J5" s="47" t="inlineStr">
        <is>
          <t>Deterministic, continuous</t>
        </is>
      </c>
      <c r="K5" s="47" t="inlineStr">
        <is>
          <t>Pipeline</t>
        </is>
      </c>
      <c r="L5" s="47" t="inlineStr">
        <is>
          <t>Not assessed</t>
        </is>
      </c>
      <c r="M5" s="47" t="n"/>
      <c r="N5" s="47" t="n"/>
      <c r="O5" s="48" t="inlineStr">
        <is>
          <t>High</t>
        </is>
      </c>
      <c r="P5" s="48">
        <f>IF($A5="","",IF(H5="N/A","N/A",IFERROR(INDEX(CRIT_MATRIX,MATCH(O5,CRIT_MATRIX_ROWS,0),MATCH(APP_RISK_TIER,CRIT_MATRIX_COLS,0)),"")))</f>
        <v/>
      </c>
      <c r="Q5" s="47" t="n"/>
      <c r="R5" s="47" cm="1">
        <f t="array" ref="R5">IF($A5="","",COUNTIFS(tblThreatControls[Control ID],$A5,tblThreatControls[Threat applies],"Applies"))</f>
        <v/>
      </c>
      <c r="S5" s="47" cm="1">
        <f t="array" ref="S5">IF($A5="","",IF(R5=0,"",INDEX(RISK_SCALE_NAMES,_xlfn.MAXIFS(tblThreatControls[Threat risk score],tblThreatControls[Control ID],$A5))))</f>
        <v/>
      </c>
      <c r="T5" s="47" cm="1">
        <f t="array" ref="T5">IF($A5="","",IF(AND(H5="Applicable",OR(L5="Not assessed",L5=""),R5&gt;0),"Yes","No"))</f>
        <v/>
      </c>
      <c r="U5" s="47" cm="1">
        <f t="array" ref="U5">IF($A5="","",IF(AND(H5="Applicable",OR(L5="Gap",L5="Partial coverage")),INDEX(RISK_SCALE_NAMES,MAX(IFERROR(MATCH(P5,RISK_SCALE_NAMES,0),1),IFERROR(MATCH(S5,RISK_SCALE_NAMES,0),0))),""))</f>
        <v/>
      </c>
      <c r="V5" s="47" cm="1">
        <f t="array" ref="V5">IF($A5="","",_xlfn.TEXTJOIN("; ",TRUE,_xlfn._xlws.FILTER(tblThreatControls[Threat ID],(tblThreatControls[Control ID]=$A5)*(tblThreatControls[Threat applies]="Applies"),"")))</f>
        <v/>
      </c>
    </row>
    <row r="6" ht="90" customHeight="1" s="19">
      <c r="A6" s="49" t="inlineStr">
        <is>
          <t>HB-INJ-02</t>
        </is>
      </c>
      <c r="B6" s="49" t="inlineStr">
        <is>
          <t>Encoding and injection</t>
        </is>
      </c>
      <c r="C6" s="48" cm="1">
        <f t="array" ref="C6">IF($A6="","",_xlfn.TEXTJOIN("; ",TRUE,_xlfn._xlws.FILTER(MT_IDS,MT_BASELINE=$A6,"")))</f>
        <v/>
      </c>
      <c r="D6" s="48">
        <f>IF($A6="","",_xlfn.MINIFS(MT_LEVEL,MT_BASELINE,$A6))</f>
        <v/>
      </c>
      <c r="E6" s="49" t="inlineStr">
        <is>
          <t>Query and command injection: database queries (SQL, NoSQL, HQL, Cypher, stored procedures), OS commands, LDAP, XPath, JNDI, cache (memcache) and mail (SMTP/IMAP) calls use parameterized APIs or are strictly sanitized — untrusted data is never concatenated into a query or command.</t>
        </is>
      </c>
      <c r="F6" s="48" cm="1">
        <f t="array" ref="F6">IF($A6="","",_xlfn.TEXTJOIN("; ",TRUE,_xlfn._xlws.FILTER(MT_IDS,(MT_BASELINE=$A6)*(MT_APPLICABLE="Applicable"),"")))</f>
        <v/>
      </c>
      <c r="G6" s="48">
        <f>IF($A6="","",COUNTIFS(MT_BASELINE,$A6,MT_APPLICABLE,"Applicable"))</f>
        <v/>
      </c>
      <c r="H6" s="50">
        <f>IF($A6="","",IF(G6&gt;0,"Applicable","N/A"))</f>
        <v/>
      </c>
      <c r="I6" s="49" t="inlineStr">
        <is>
          <t>SAST + DAST</t>
        </is>
      </c>
      <c r="J6" s="49" t="inlineStr">
        <is>
          <t>Deterministic, continuous</t>
        </is>
      </c>
      <c r="K6" s="49" t="inlineStr">
        <is>
          <t>Pipeline</t>
        </is>
      </c>
      <c r="L6" s="49" t="inlineStr">
        <is>
          <t>Not assessed</t>
        </is>
      </c>
      <c r="M6" s="49" t="n"/>
      <c r="N6" s="49" t="n"/>
      <c r="O6" s="50" t="inlineStr">
        <is>
          <t>High</t>
        </is>
      </c>
      <c r="P6" s="50">
        <f>IF($A6="","",IF(H6="N/A","N/A",IFERROR(INDEX(CRIT_MATRIX,MATCH(O6,CRIT_MATRIX_ROWS,0),MATCH(APP_RISK_TIER,CRIT_MATRIX_COLS,0)),"")))</f>
        <v/>
      </c>
      <c r="Q6" s="49" t="n"/>
      <c r="R6" s="49" cm="1">
        <f t="array" ref="R6">IF($A6="","",COUNTIFS(tblThreatControls[Control ID],$A6,tblThreatControls[Threat applies],"Applies"))</f>
        <v/>
      </c>
      <c r="S6" s="49" cm="1">
        <f t="array" ref="S6">IF($A6="","",IF(R6=0,"",INDEX(RISK_SCALE_NAMES,_xlfn.MAXIFS(tblThreatControls[Threat risk score],tblThreatControls[Control ID],$A6))))</f>
        <v/>
      </c>
      <c r="T6" s="49" cm="1">
        <f t="array" ref="T6">IF($A6="","",IF(AND(H6="Applicable",OR(L6="Not assessed",L6=""),R6&gt;0),"Yes","No"))</f>
        <v/>
      </c>
      <c r="U6" s="49" cm="1">
        <f t="array" ref="U6">IF($A6="","",IF(AND(H6="Applicable",OR(L6="Gap",L6="Partial coverage")),INDEX(RISK_SCALE_NAMES,MAX(IFERROR(MATCH(P6,RISK_SCALE_NAMES,0),1),IFERROR(MATCH(S6,RISK_SCALE_NAMES,0),0))),""))</f>
        <v/>
      </c>
      <c r="V6" s="49" cm="1">
        <f t="array" ref="V6">IF($A6="","",_xlfn.TEXTJOIN("; ",TRUE,_xlfn._xlws.FILTER(tblThreatControls[Threat ID],(tblThreatControls[Control ID]=$A6)*(tblThreatControls[Threat applies]="Applies"),"")))</f>
        <v/>
      </c>
    </row>
    <row r="7" ht="90" customHeight="1" s="19">
      <c r="A7" s="49" t="inlineStr">
        <is>
          <t>HB-INJ-03</t>
        </is>
      </c>
      <c r="B7" s="49" t="inlineStr">
        <is>
          <t>Encoding and injection</t>
        </is>
      </c>
      <c r="C7" s="48" cm="1">
        <f t="array" ref="C7">IF($A7="","",_xlfn.TEXTJOIN("; ",TRUE,_xlfn._xlws.FILTER(MT_IDS,MT_BASELINE=$A7,"")))</f>
        <v/>
      </c>
      <c r="D7" s="48">
        <f>IF($A7="","",_xlfn.MINIFS(MT_LEVEL,MT_BASELINE,$A7))</f>
        <v/>
      </c>
      <c r="E7" s="49" t="inlineStr">
        <is>
          <t>Dynamic code and expression injection: no eval() or dynamic code/expression execution on untrusted input; templates are never built from untrusted input; format strings, regular expressions (escaping and ReDoS-safe patterns), LaTeX processors and CSV/spreadsheet exports (formula injection) are made safe.</t>
        </is>
      </c>
      <c r="F7" s="48" cm="1">
        <f t="array" ref="F7">IF($A7="","",_xlfn.TEXTJOIN("; ",TRUE,_xlfn._xlws.FILTER(MT_IDS,(MT_BASELINE=$A7)*(MT_APPLICABLE="Applicable"),"")))</f>
        <v/>
      </c>
      <c r="G7" s="48">
        <f>IF($A7="","",COUNTIFS(MT_BASELINE,$A7,MT_APPLICABLE,"Applicable"))</f>
        <v/>
      </c>
      <c r="H7" s="50">
        <f>IF($A7="","",IF(G7&gt;0,"Applicable","N/A"))</f>
        <v/>
      </c>
      <c r="I7" s="49" t="inlineStr">
        <is>
          <t>SAST + DAST</t>
        </is>
      </c>
      <c r="J7" s="49" t="inlineStr">
        <is>
          <t>Deterministic, continuous</t>
        </is>
      </c>
      <c r="K7" s="49" t="inlineStr">
        <is>
          <t>Pipeline</t>
        </is>
      </c>
      <c r="L7" s="49" t="inlineStr">
        <is>
          <t>Not assessed</t>
        </is>
      </c>
      <c r="M7" s="49" t="n"/>
      <c r="N7" s="49" t="n"/>
      <c r="O7" s="50" t="inlineStr">
        <is>
          <t>High</t>
        </is>
      </c>
      <c r="P7" s="50">
        <f>IF($A7="","",IF(H7="N/A","N/A",IFERROR(INDEX(CRIT_MATRIX,MATCH(O7,CRIT_MATRIX_ROWS,0),MATCH(APP_RISK_TIER,CRIT_MATRIX_COLS,0)),"")))</f>
        <v/>
      </c>
      <c r="Q7" s="49" t="n"/>
      <c r="R7" s="49" cm="1">
        <f t="array" ref="R7">IF($A7="","",COUNTIFS(tblThreatControls[Control ID],$A7,tblThreatControls[Threat applies],"Applies"))</f>
        <v/>
      </c>
      <c r="S7" s="49" cm="1">
        <f t="array" ref="S7">IF($A7="","",IF(R7=0,"",INDEX(RISK_SCALE_NAMES,_xlfn.MAXIFS(tblThreatControls[Threat risk score],tblThreatControls[Control ID],$A7))))</f>
        <v/>
      </c>
      <c r="T7" s="49" cm="1">
        <f t="array" ref="T7">IF($A7="","",IF(AND(H7="Applicable",OR(L7="Not assessed",L7=""),R7&gt;0),"Yes","No"))</f>
        <v/>
      </c>
      <c r="U7" s="49" cm="1">
        <f t="array" ref="U7">IF($A7="","",IF(AND(H7="Applicable",OR(L7="Gap",L7="Partial coverage")),INDEX(RISK_SCALE_NAMES,MAX(IFERROR(MATCH(P7,RISK_SCALE_NAMES,0),1),IFERROR(MATCH(S7,RISK_SCALE_NAMES,0),0))),""))</f>
        <v/>
      </c>
      <c r="V7" s="49" cm="1">
        <f t="array" ref="V7">IF($A7="","",_xlfn.TEXTJOIN("; ",TRUE,_xlfn._xlws.FILTER(tblThreatControls[Threat ID],(tblThreatControls[Control ID]=$A7)*(tblThreatControls[Threat applies]="Applies"),"")))</f>
        <v/>
      </c>
    </row>
    <row r="8" ht="90" customHeight="1" s="19">
      <c r="A8" s="49" t="inlineStr">
        <is>
          <t>HB-INJ-04</t>
        </is>
      </c>
      <c r="B8" s="49" t="inlineStr">
        <is>
          <t>Encoding and injection</t>
        </is>
      </c>
      <c r="C8" s="48" cm="1">
        <f t="array" ref="C8">IF($A8="","",_xlfn.TEXTJOIN("; ",TRUE,_xlfn._xlws.FILTER(MT_IDS,MT_BASELINE=$A8,"")))</f>
        <v/>
      </c>
      <c r="D8" s="48">
        <f>IF($A8="","",_xlfn.MINIFS(MT_LEVEL,MT_BASELINE,$A8))</f>
        <v/>
      </c>
      <c r="E8" s="49" t="inlineStr">
        <is>
          <t>Sanitization of rich content: user-supplied HTML (WYSIWYG), SVG, Markdown, CSS, XSL, BBCode and similar scriptable content is sanitized with a well-known library or disabled; data passed to other dangerous contexts is restricted to safe characters and length.</t>
        </is>
      </c>
      <c r="F8" s="48" cm="1">
        <f t="array" ref="F8">IF($A8="","",_xlfn.TEXTJOIN("; ",TRUE,_xlfn._xlws.FILTER(MT_IDS,(MT_BASELINE=$A8)*(MT_APPLICABLE="Applicable"),"")))</f>
        <v/>
      </c>
      <c r="G8" s="48">
        <f>IF($A8="","",COUNTIFS(MT_BASELINE,$A8,MT_APPLICABLE,"Applicable"))</f>
        <v/>
      </c>
      <c r="H8" s="50">
        <f>IF($A8="","",IF(G8&gt;0,"Applicable","N/A"))</f>
        <v/>
      </c>
      <c r="I8" s="49" t="inlineStr">
        <is>
          <t>SAST + DAST</t>
        </is>
      </c>
      <c r="J8" s="49" t="inlineStr">
        <is>
          <t>Deterministic, continuous</t>
        </is>
      </c>
      <c r="K8" s="49" t="inlineStr">
        <is>
          <t>Pipeline</t>
        </is>
      </c>
      <c r="L8" s="49" t="inlineStr">
        <is>
          <t>Not assessed</t>
        </is>
      </c>
      <c r="M8" s="49" t="n"/>
      <c r="N8" s="49" t="n"/>
      <c r="O8" s="50" t="inlineStr">
        <is>
          <t>High</t>
        </is>
      </c>
      <c r="P8" s="50">
        <f>IF($A8="","",IF(H8="N/A","N/A",IFERROR(INDEX(CRIT_MATRIX,MATCH(O8,CRIT_MATRIX_ROWS,0),MATCH(APP_RISK_TIER,CRIT_MATRIX_COLS,0)),"")))</f>
        <v/>
      </c>
      <c r="Q8" s="49" t="n"/>
      <c r="R8" s="49" cm="1">
        <f t="array" ref="R8">IF($A8="","",COUNTIFS(tblThreatControls[Control ID],$A8,tblThreatControls[Threat applies],"Applies"))</f>
        <v/>
      </c>
      <c r="S8" s="49" cm="1">
        <f t="array" ref="S8">IF($A8="","",IF(R8=0,"",INDEX(RISK_SCALE_NAMES,_xlfn.MAXIFS(tblThreatControls[Threat risk score],tblThreatControls[Control ID],$A8))))</f>
        <v/>
      </c>
      <c r="T8" s="49" cm="1">
        <f t="array" ref="T8">IF($A8="","",IF(AND(H8="Applicable",OR(L8="Not assessed",L8=""),R8&gt;0),"Yes","No"))</f>
        <v/>
      </c>
      <c r="U8" s="49" cm="1">
        <f t="array" ref="U8">IF($A8="","",IF(AND(H8="Applicable",OR(L8="Gap",L8="Partial coverage")),INDEX(RISK_SCALE_NAMES,MAX(IFERROR(MATCH(P8,RISK_SCALE_NAMES,0),1),IFERROR(MATCH(S8,RISK_SCALE_NAMES,0),0))),""))</f>
        <v/>
      </c>
      <c r="V8" s="49" cm="1">
        <f t="array" ref="V8">IF($A8="","",_xlfn.TEXTJOIN("; ",TRUE,_xlfn._xlws.FILTER(tblThreatControls[Threat ID],(tblThreatControls[Control ID]=$A8)*(tblThreatControls[Threat applies]="Applies"),"")))</f>
        <v/>
      </c>
    </row>
    <row r="9" ht="90" customHeight="1" s="19">
      <c r="A9" s="49" t="inlineStr">
        <is>
          <t>HB-INJ-05</t>
        </is>
      </c>
      <c r="B9" s="49" t="inlineStr">
        <is>
          <t>Encoding and injection</t>
        </is>
      </c>
      <c r="C9" s="48" cm="1">
        <f t="array" ref="C9">IF($A9="","",_xlfn.TEXTJOIN("; ",TRUE,_xlfn._xlws.FILTER(MT_IDS,MT_BASELINE=$A9,"")))</f>
        <v/>
      </c>
      <c r="D9" s="48">
        <f>IF($A9="","",_xlfn.MINIFS(MT_LEVEL,MT_BASELINE,$A9))</f>
        <v/>
      </c>
      <c r="E9" s="49" t="inlineStr">
        <is>
          <t>Safe parsing and deserialization: XML parsers have external entities (XXE) disabled; untrusted data is never deserialized with insecure mechanisms (type allowlist only); parsers of the same data type behave consistently.</t>
        </is>
      </c>
      <c r="F9" s="48" cm="1">
        <f t="array" ref="F9">IF($A9="","",_xlfn.TEXTJOIN("; ",TRUE,_xlfn._xlws.FILTER(MT_IDS,(MT_BASELINE=$A9)*(MT_APPLICABLE="Applicable"),"")))</f>
        <v/>
      </c>
      <c r="G9" s="48">
        <f>IF($A9="","",COUNTIFS(MT_BASELINE,$A9,MT_APPLICABLE,"Applicable"))</f>
        <v/>
      </c>
      <c r="H9" s="50">
        <f>IF($A9="","",IF(G9&gt;0,"Applicable","N/A"))</f>
        <v/>
      </c>
      <c r="I9" s="49" t="inlineStr">
        <is>
          <t>SAST + DAST</t>
        </is>
      </c>
      <c r="J9" s="49" t="inlineStr">
        <is>
          <t>Deterministic, continuous</t>
        </is>
      </c>
      <c r="K9" s="49" t="inlineStr">
        <is>
          <t>Pipeline</t>
        </is>
      </c>
      <c r="L9" s="49" t="inlineStr">
        <is>
          <t>Not assessed</t>
        </is>
      </c>
      <c r="M9" s="49" t="n"/>
      <c r="N9" s="49" t="n"/>
      <c r="O9" s="50" t="inlineStr">
        <is>
          <t>High</t>
        </is>
      </c>
      <c r="P9" s="50">
        <f>IF($A9="","",IF(H9="N/A","N/A",IFERROR(INDEX(CRIT_MATRIX,MATCH(O9,CRIT_MATRIX_ROWS,0),MATCH(APP_RISK_TIER,CRIT_MATRIX_COLS,0)),"")))</f>
        <v/>
      </c>
      <c r="Q9" s="49" t="n"/>
      <c r="R9" s="49" cm="1">
        <f t="array" ref="R9">IF($A9="","",COUNTIFS(tblThreatControls[Control ID],$A9,tblThreatControls[Threat applies],"Applies"))</f>
        <v/>
      </c>
      <c r="S9" s="49" cm="1">
        <f t="array" ref="S9">IF($A9="","",IF(R9=0,"",INDEX(RISK_SCALE_NAMES,_xlfn.MAXIFS(tblThreatControls[Threat risk score],tblThreatControls[Control ID],$A9))))</f>
        <v/>
      </c>
      <c r="T9" s="49" cm="1">
        <f t="array" ref="T9">IF($A9="","",IF(AND(H9="Applicable",OR(L9="Not assessed",L9=""),R9&gt;0),"Yes","No"))</f>
        <v/>
      </c>
      <c r="U9" s="49" cm="1">
        <f t="array" ref="U9">IF($A9="","",IF(AND(H9="Applicable",OR(L9="Gap",L9="Partial coverage")),INDEX(RISK_SCALE_NAMES,MAX(IFERROR(MATCH(P9,RISK_SCALE_NAMES,0),1),IFERROR(MATCH(S9,RISK_SCALE_NAMES,0),0))),""))</f>
        <v/>
      </c>
      <c r="V9" s="49" cm="1">
        <f t="array" ref="V9">IF($A9="","",_xlfn.TEXTJOIN("; ",TRUE,_xlfn._xlws.FILTER(tblThreatControls[Threat ID],(tblThreatControls[Control ID]=$A9)*(tblThreatControls[Threat applies]="Applies"),"")))</f>
        <v/>
      </c>
    </row>
    <row r="10" ht="90" customHeight="1" s="19">
      <c r="A10" s="49" t="inlineStr">
        <is>
          <t>HB-VAL-01</t>
        </is>
      </c>
      <c r="B10" s="49" t="inlineStr">
        <is>
          <t>Validation and business logic</t>
        </is>
      </c>
      <c r="C10" s="48" cm="1">
        <f t="array" ref="C10">IF($A10="","",_xlfn.TEXTJOIN("; ",TRUE,_xlfn._xlws.FILTER(MT_IDS,MT_BASELINE=$A10,"")))</f>
        <v/>
      </c>
      <c r="D10" s="48">
        <f>IF($A10="","",_xlfn.MINIFS(MT_LEVEL,MT_BASELINE,$A10))</f>
        <v/>
      </c>
      <c r="E10" s="49" t="inlineStr">
        <is>
          <t>Input validation: validation rules for each data item (and for combinations of items) are defined and enforced at a trusted server-side layer using positive validation (allowlists, patterns, ranges); client-side validation is never relied on. L1: at least input used for business/security decisions; L2+: all input.</t>
        </is>
      </c>
      <c r="F10" s="48" cm="1">
        <f t="array" ref="F10">IF($A10="","",_xlfn.TEXTJOIN("; ",TRUE,_xlfn._xlws.FILTER(MT_IDS,(MT_BASELINE=$A10)*(MT_APPLICABLE="Applicable"),"")))</f>
        <v/>
      </c>
      <c r="G10" s="48">
        <f>IF($A10="","",COUNTIFS(MT_BASELINE,$A10,MT_APPLICABLE,"Applicable"))</f>
        <v/>
      </c>
      <c r="H10" s="50">
        <f>IF($A10="","",IF(G10&gt;0,"Applicable","N/A"))</f>
        <v/>
      </c>
      <c r="I10" s="49" t="inlineStr">
        <is>
          <t>SAST + DAST</t>
        </is>
      </c>
      <c r="J10" s="49" t="inlineStr">
        <is>
          <t>Deterministic, continuous</t>
        </is>
      </c>
      <c r="K10" s="49" t="inlineStr">
        <is>
          <t>Pipeline</t>
        </is>
      </c>
      <c r="L10" s="49" t="inlineStr">
        <is>
          <t>Not assessed</t>
        </is>
      </c>
      <c r="M10" s="49" t="n"/>
      <c r="N10" s="49" t="n"/>
      <c r="O10" s="50" t="inlineStr">
        <is>
          <t>High</t>
        </is>
      </c>
      <c r="P10" s="50">
        <f>IF($A10="","",IF(H10="N/A","N/A",IFERROR(INDEX(CRIT_MATRIX,MATCH(O10,CRIT_MATRIX_ROWS,0),MATCH(APP_RISK_TIER,CRIT_MATRIX_COLS,0)),"")))</f>
        <v/>
      </c>
      <c r="Q10" s="49" t="n"/>
      <c r="R10" s="49" cm="1">
        <f t="array" ref="R10">IF($A10="","",COUNTIFS(tblThreatControls[Control ID],$A10,tblThreatControls[Threat applies],"Applies"))</f>
        <v/>
      </c>
      <c r="S10" s="49" cm="1">
        <f t="array" ref="S10">IF($A10="","",IF(R10=0,"",INDEX(RISK_SCALE_NAMES,_xlfn.MAXIFS(tblThreatControls[Threat risk score],tblThreatControls[Control ID],$A10))))</f>
        <v/>
      </c>
      <c r="T10" s="49" cm="1">
        <f t="array" ref="T10">IF($A10="","",IF(AND(H10="Applicable",OR(L10="Not assessed",L10=""),R10&gt;0),"Yes","No"))</f>
        <v/>
      </c>
      <c r="U10" s="49" cm="1">
        <f t="array" ref="U10">IF($A10="","",IF(AND(H10="Applicable",OR(L10="Gap",L10="Partial coverage")),INDEX(RISK_SCALE_NAMES,MAX(IFERROR(MATCH(P10,RISK_SCALE_NAMES,0),1),IFERROR(MATCH(S10,RISK_SCALE_NAMES,0),0))),""))</f>
        <v/>
      </c>
      <c r="V10" s="49" cm="1">
        <f t="array" ref="V10">IF($A10="","",_xlfn.TEXTJOIN("; ",TRUE,_xlfn._xlws.FILTER(tblThreatControls[Threat ID],(tblThreatControls[Control ID]=$A10)*(tblThreatControls[Threat applies]="Applies"),"")))</f>
        <v/>
      </c>
    </row>
    <row r="11" ht="90" customHeight="1" s="19">
      <c r="A11" s="49" t="inlineStr">
        <is>
          <t>HB-BIZ-01</t>
        </is>
      </c>
      <c r="B11" s="49" t="inlineStr">
        <is>
          <t>Validation and business logic</t>
        </is>
      </c>
      <c r="C11" s="48" cm="1">
        <f t="array" ref="C11">IF($A11="","",_xlfn.TEXTJOIN("; ",TRUE,_xlfn._xlws.FILTER(MT_IDS,MT_BASELINE=$A11,"")))</f>
        <v/>
      </c>
      <c r="D11" s="48">
        <f>IF($A11="","",_xlfn.MINIFS(MT_LEVEL,MT_BASELINE,$A11))</f>
        <v/>
      </c>
      <c r="E11" s="49" t="inlineStr">
        <is>
          <t>Business logic integrity: business limits are documented and enforced (per user and globally); flows run only in the expected step order; operations are transactional (all-or-nothing) and limited resources are locked against double-booking; shared state is safe against race conditions and TOCTOU.</t>
        </is>
      </c>
      <c r="F11" s="48" cm="1">
        <f t="array" ref="F11">IF($A11="","",_xlfn.TEXTJOIN("; ",TRUE,_xlfn._xlws.FILTER(MT_IDS,(MT_BASELINE=$A11)*(MT_APPLICABLE="Applicable"),"")))</f>
        <v/>
      </c>
      <c r="G11" s="48">
        <f>IF($A11="","",COUNTIFS(MT_BASELINE,$A11,MT_APPLICABLE,"Applicable"))</f>
        <v/>
      </c>
      <c r="H11" s="50">
        <f>IF($A11="","",IF(G11&gt;0,"Applicable","N/A"))</f>
        <v/>
      </c>
      <c r="I11" s="49" t="inlineStr">
        <is>
          <t>Pentest / manual review</t>
        </is>
      </c>
      <c r="J11" s="49" t="inlineStr">
        <is>
          <t>Sampled, periodic</t>
        </is>
      </c>
      <c r="K11" s="49" t="inlineStr">
        <is>
          <t>Periodic</t>
        </is>
      </c>
      <c r="L11" s="49" t="inlineStr">
        <is>
          <t>Not assessed</t>
        </is>
      </c>
      <c r="M11" s="49" t="n"/>
      <c r="N11" s="49" t="n"/>
      <c r="O11" s="50" t="inlineStr">
        <is>
          <t>High</t>
        </is>
      </c>
      <c r="P11" s="50">
        <f>IF($A11="","",IF(H11="N/A","N/A",IFERROR(INDEX(CRIT_MATRIX,MATCH(O11,CRIT_MATRIX_ROWS,0),MATCH(APP_RISK_TIER,CRIT_MATRIX_COLS,0)),"")))</f>
        <v/>
      </c>
      <c r="Q11" s="49" t="n"/>
      <c r="R11" s="49" cm="1">
        <f t="array" ref="R11">IF($A11="","",COUNTIFS(tblThreatControls[Control ID],$A11,tblThreatControls[Threat applies],"Applies"))</f>
        <v/>
      </c>
      <c r="S11" s="49" cm="1">
        <f t="array" ref="S11">IF($A11="","",IF(R11=0,"",INDEX(RISK_SCALE_NAMES,_xlfn.MAXIFS(tblThreatControls[Threat risk score],tblThreatControls[Control ID],$A11))))</f>
        <v/>
      </c>
      <c r="T11" s="49" cm="1">
        <f t="array" ref="T11">IF($A11="","",IF(AND(H11="Applicable",OR(L11="Not assessed",L11=""),R11&gt;0),"Yes","No"))</f>
        <v/>
      </c>
      <c r="U11" s="49" cm="1">
        <f t="array" ref="U11">IF($A11="","",IF(AND(H11="Applicable",OR(L11="Gap",L11="Partial coverage")),INDEX(RISK_SCALE_NAMES,MAX(IFERROR(MATCH(P11,RISK_SCALE_NAMES,0),1),IFERROR(MATCH(S11,RISK_SCALE_NAMES,0),0))),""))</f>
        <v/>
      </c>
      <c r="V11" s="49" cm="1">
        <f t="array" ref="V11">IF($A11="","",_xlfn.TEXTJOIN("; ",TRUE,_xlfn._xlws.FILTER(tblThreatControls[Threat ID],(tblThreatControls[Control ID]=$A11)*(tblThreatControls[Threat applies]="Applies"),"")))</f>
        <v/>
      </c>
    </row>
    <row r="12" ht="90" customHeight="1" s="19">
      <c r="A12" s="49" t="inlineStr">
        <is>
          <t>HB-BIZ-02</t>
        </is>
      </c>
      <c r="B12" s="49" t="inlineStr">
        <is>
          <t>Validation and business logic</t>
        </is>
      </c>
      <c r="C12" s="48" cm="1">
        <f t="array" ref="C12">IF($A12="","",_xlfn.TEXTJOIN("; ",TRUE,_xlfn._xlws.FILTER(MT_IDS,MT_BASELINE=$A12,"")))</f>
        <v/>
      </c>
      <c r="D12" s="48">
        <f>IF($A12="","",_xlfn.MINIFS(MT_LEVEL,MT_BASELINE,$A12))</f>
        <v/>
      </c>
      <c r="E12" s="49" t="inlineStr">
        <is>
          <t>High-value operations: highly sensitive transactions require additional assurance — step-up authentication and, for high-value flows (e.g. large transfers, approvals, safety overrides), multi-user approval.</t>
        </is>
      </c>
      <c r="F12" s="48" cm="1">
        <f t="array" ref="F12">IF($A12="","",_xlfn.TEXTJOIN("; ",TRUE,_xlfn._xlws.FILTER(MT_IDS,(MT_BASELINE=$A12)*(MT_APPLICABLE="Applicable"),"")))</f>
        <v/>
      </c>
      <c r="G12" s="48">
        <f>IF($A12="","",COUNTIFS(MT_BASELINE,$A12,MT_APPLICABLE,"Applicable"))</f>
        <v/>
      </c>
      <c r="H12" s="50">
        <f>IF($A12="","",IF(G12&gt;0,"Applicable","N/A"))</f>
        <v/>
      </c>
      <c r="I12" s="49" t="inlineStr">
        <is>
          <t>Pentest / manual review</t>
        </is>
      </c>
      <c r="J12" s="49" t="inlineStr">
        <is>
          <t>Sampled, periodic</t>
        </is>
      </c>
      <c r="K12" s="49" t="inlineStr">
        <is>
          <t>Periodic</t>
        </is>
      </c>
      <c r="L12" s="49" t="inlineStr">
        <is>
          <t>Not assessed</t>
        </is>
      </c>
      <c r="M12" s="49" t="n"/>
      <c r="N12" s="49" t="n"/>
      <c r="O12" s="50" t="inlineStr">
        <is>
          <t>High</t>
        </is>
      </c>
      <c r="P12" s="50">
        <f>IF($A12="","",IF(H12="N/A","N/A",IFERROR(INDEX(CRIT_MATRIX,MATCH(O12,CRIT_MATRIX_ROWS,0),MATCH(APP_RISK_TIER,CRIT_MATRIX_COLS,0)),"")))</f>
        <v/>
      </c>
      <c r="Q12" s="49" t="n"/>
      <c r="R12" s="49" cm="1">
        <f t="array" ref="R12">IF($A12="","",COUNTIFS(tblThreatControls[Control ID],$A12,tblThreatControls[Threat applies],"Applies"))</f>
        <v/>
      </c>
      <c r="S12" s="49" cm="1">
        <f t="array" ref="S12">IF($A12="","",IF(R12=0,"",INDEX(RISK_SCALE_NAMES,_xlfn.MAXIFS(tblThreatControls[Threat risk score],tblThreatControls[Control ID],$A12))))</f>
        <v/>
      </c>
      <c r="T12" s="49" cm="1">
        <f t="array" ref="T12">IF($A12="","",IF(AND(H12="Applicable",OR(L12="Not assessed",L12=""),R12&gt;0),"Yes","No"))</f>
        <v/>
      </c>
      <c r="U12" s="49" cm="1">
        <f t="array" ref="U12">IF($A12="","",IF(AND(H12="Applicable",OR(L12="Gap",L12="Partial coverage")),INDEX(RISK_SCALE_NAMES,MAX(IFERROR(MATCH(P12,RISK_SCALE_NAMES,0),1),IFERROR(MATCH(S12,RISK_SCALE_NAMES,0),0))),""))</f>
        <v/>
      </c>
      <c r="V12" s="49" cm="1">
        <f t="array" ref="V12">IF($A12="","",_xlfn.TEXTJOIN("; ",TRUE,_xlfn._xlws.FILTER(tblThreatControls[Threat ID],(tblThreatControls[Control ID]=$A12)*(tblThreatControls[Threat applies]="Applies"),"")))</f>
        <v/>
      </c>
    </row>
    <row r="13" ht="90" customHeight="1" s="19">
      <c r="A13" s="49" t="inlineStr">
        <is>
          <t>HB-ABUSE-01</t>
        </is>
      </c>
      <c r="B13" s="49" t="inlineStr">
        <is>
          <t>Validation and business logic</t>
        </is>
      </c>
      <c r="C13" s="48" cm="1">
        <f t="array" ref="C13">IF($A13="","",_xlfn.TEXTJOIN("; ",TRUE,_xlfn._xlws.FILTER(MT_IDS,MT_BASELINE=$A13,"")))</f>
        <v/>
      </c>
      <c r="D13" s="48">
        <f>IF($A13="","",_xlfn.MINIFS(MT_LEVEL,MT_BASELINE,$A13))</f>
        <v/>
      </c>
      <c r="E13" s="49" t="inlineStr">
        <is>
          <t>Anti-automation: application functions are protected against excessive or automated use (rate limits, quotas, realistic human timing) to prevent data exfiltration, garbage data, cost abuse and denial of service.</t>
        </is>
      </c>
      <c r="F13" s="48" cm="1">
        <f t="array" ref="F13">IF($A13="","",_xlfn.TEXTJOIN("; ",TRUE,_xlfn._xlws.FILTER(MT_IDS,(MT_BASELINE=$A13)*(MT_APPLICABLE="Applicable"),"")))</f>
        <v/>
      </c>
      <c r="G13" s="48">
        <f>IF($A13="","",COUNTIFS(MT_BASELINE,$A13,MT_APPLICABLE,"Applicable"))</f>
        <v/>
      </c>
      <c r="H13" s="50">
        <f>IF($A13="","",IF(G13&gt;0,"Applicable","N/A"))</f>
        <v/>
      </c>
      <c r="I13" s="49" t="inlineStr">
        <is>
          <t>SAST + DAST</t>
        </is>
      </c>
      <c r="J13" s="49" t="inlineStr">
        <is>
          <t>Deterministic, continuous</t>
        </is>
      </c>
      <c r="K13" s="49" t="inlineStr">
        <is>
          <t>Pipeline</t>
        </is>
      </c>
      <c r="L13" s="49" t="inlineStr">
        <is>
          <t>Not assessed</t>
        </is>
      </c>
      <c r="M13" s="49" t="n"/>
      <c r="N13" s="49" t="n"/>
      <c r="O13" s="50" t="inlineStr">
        <is>
          <t>High</t>
        </is>
      </c>
      <c r="P13" s="50">
        <f>IF($A13="","",IF(H13="N/A","N/A",IFERROR(INDEX(CRIT_MATRIX,MATCH(O13,CRIT_MATRIX_ROWS,0),MATCH(APP_RISK_TIER,CRIT_MATRIX_COLS,0)),"")))</f>
        <v/>
      </c>
      <c r="Q13" s="49" t="n"/>
      <c r="R13" s="49" cm="1">
        <f t="array" ref="R13">IF($A13="","",COUNTIFS(tblThreatControls[Control ID],$A13,tblThreatControls[Threat applies],"Applies"))</f>
        <v/>
      </c>
      <c r="S13" s="49" cm="1">
        <f t="array" ref="S13">IF($A13="","",IF(R13=0,"",INDEX(RISK_SCALE_NAMES,_xlfn.MAXIFS(tblThreatControls[Threat risk score],tblThreatControls[Control ID],$A13))))</f>
        <v/>
      </c>
      <c r="T13" s="49" cm="1">
        <f t="array" ref="T13">IF($A13="","",IF(AND(H13="Applicable",OR(L13="Not assessed",L13=""),R13&gt;0),"Yes","No"))</f>
        <v/>
      </c>
      <c r="U13" s="49" cm="1">
        <f t="array" ref="U13">IF($A13="","",IF(AND(H13="Applicable",OR(L13="Gap",L13="Partial coverage")),INDEX(RISK_SCALE_NAMES,MAX(IFERROR(MATCH(P13,RISK_SCALE_NAMES,0),1),IFERROR(MATCH(S13,RISK_SCALE_NAMES,0),0))),""))</f>
        <v/>
      </c>
      <c r="V13" s="49" cm="1">
        <f t="array" ref="V13">IF($A13="","",_xlfn.TEXTJOIN("; ",TRUE,_xlfn._xlws.FILTER(tblThreatControls[Threat ID],(tblThreatControls[Control ID]=$A13)*(tblThreatControls[Threat applies]="Applies"),"")))</f>
        <v/>
      </c>
    </row>
    <row r="14" ht="90" customHeight="1" s="19">
      <c r="A14" s="49" t="inlineStr">
        <is>
          <t>HB-AVAIL-01</t>
        </is>
      </c>
      <c r="B14" s="49" t="inlineStr">
        <is>
          <t>Validation and business logic</t>
        </is>
      </c>
      <c r="C14" s="48" cm="1">
        <f t="array" ref="C14">IF($A14="","",_xlfn.TEXTJOIN("; ",TRUE,_xlfn._xlws.FILTER(MT_IDS,MT_BASELINE=$A14,"")))</f>
        <v/>
      </c>
      <c r="D14" s="48">
        <f>IF($A14="","",_xlfn.MINIFS(MT_LEVEL,MT_BASELINE,$A14))</f>
        <v/>
      </c>
      <c r="E14" s="49" t="inlineStr">
        <is>
          <t>Resource exhaustion and resilience: resource-demanding functions and every external dependency have documented limits (connection pools, timeouts, retries with back-off) that are enforced; the application degrades gracefully when a dependency fails (e.g. circuit breakers); threads and locks cannot starve or deadlock.</t>
        </is>
      </c>
      <c r="F14" s="48" cm="1">
        <f t="array" ref="F14">IF($A14="","",_xlfn.TEXTJOIN("; ",TRUE,_xlfn._xlws.FILTER(MT_IDS,(MT_BASELINE=$A14)*(MT_APPLICABLE="Applicable"),"")))</f>
        <v/>
      </c>
      <c r="G14" s="48">
        <f>IF($A14="","",COUNTIFS(MT_BASELINE,$A14,MT_APPLICABLE,"Applicable"))</f>
        <v/>
      </c>
      <c r="H14" s="50">
        <f>IF($A14="","",IF(G14&gt;0,"Applicable","N/A"))</f>
        <v/>
      </c>
      <c r="I14" s="49" t="inlineStr">
        <is>
          <t>Architecture / documentation review</t>
        </is>
      </c>
      <c r="J14" s="49" t="inlineStr">
        <is>
          <t>Deterministic, continuous</t>
        </is>
      </c>
      <c r="K14" s="49" t="inlineStr">
        <is>
          <t>Pipeline</t>
        </is>
      </c>
      <c r="L14" s="49" t="inlineStr">
        <is>
          <t>Not assessed</t>
        </is>
      </c>
      <c r="M14" s="49" t="n"/>
      <c r="N14" s="49" t="n"/>
      <c r="O14" s="50" t="inlineStr">
        <is>
          <t>Medium</t>
        </is>
      </c>
      <c r="P14" s="50">
        <f>IF($A14="","",IF(H14="N/A","N/A",IFERROR(INDEX(CRIT_MATRIX,MATCH(O14,CRIT_MATRIX_ROWS,0),MATCH(APP_RISK_TIER,CRIT_MATRIX_COLS,0)),"")))</f>
        <v/>
      </c>
      <c r="Q14" s="49" t="n"/>
      <c r="R14" s="49" cm="1">
        <f t="array" ref="R14">IF($A14="","",COUNTIFS(tblThreatControls[Control ID],$A14,tblThreatControls[Threat applies],"Applies"))</f>
        <v/>
      </c>
      <c r="S14" s="49" cm="1">
        <f t="array" ref="S14">IF($A14="","",IF(R14=0,"",INDEX(RISK_SCALE_NAMES,_xlfn.MAXIFS(tblThreatControls[Threat risk score],tblThreatControls[Control ID],$A14))))</f>
        <v/>
      </c>
      <c r="T14" s="49" cm="1">
        <f t="array" ref="T14">IF($A14="","",IF(AND(H14="Applicable",OR(L14="Not assessed",L14=""),R14&gt;0),"Yes","No"))</f>
        <v/>
      </c>
      <c r="U14" s="49" cm="1">
        <f t="array" ref="U14">IF($A14="","",IF(AND(H14="Applicable",OR(L14="Gap",L14="Partial coverage")),INDEX(RISK_SCALE_NAMES,MAX(IFERROR(MATCH(P14,RISK_SCALE_NAMES,0),1),IFERROR(MATCH(S14,RISK_SCALE_NAMES,0),0))),""))</f>
        <v/>
      </c>
      <c r="V14" s="49" cm="1">
        <f t="array" ref="V14">IF($A14="","",_xlfn.TEXTJOIN("; ",TRUE,_xlfn._xlws.FILTER(tblThreatControls[Threat ID],(tblThreatControls[Control ID]=$A14)*(tblThreatControls[Threat applies]="Applies"),"")))</f>
        <v/>
      </c>
    </row>
    <row r="15" ht="90" customHeight="1" s="19">
      <c r="A15" s="49" t="inlineStr">
        <is>
          <t>HB-WEB-01</t>
        </is>
      </c>
      <c r="B15" s="49" t="inlineStr">
        <is>
          <t>Web frontend</t>
        </is>
      </c>
      <c r="C15" s="48" cm="1">
        <f t="array" ref="C15">IF($A15="","",_xlfn.TEXTJOIN("; ",TRUE,_xlfn._xlws.FILTER(MT_IDS,MT_BASELINE=$A15,"")))</f>
        <v/>
      </c>
      <c r="D15" s="48">
        <f>IF($A15="","",_xlfn.MINIFS(MT_LEVEL,MT_BASELINE,$A15))</f>
        <v/>
      </c>
      <c r="E15" s="49" t="inlineStr">
        <is>
          <t>Safe rendering in the browser: responses cannot be rendered in an unintended context (Sec-Fetch-*, CSP sandbox or Content-Disposition: attachment); text is rendered with safe functions (textContent, createTextNode); client-side code avoids DOM clobbering.</t>
        </is>
      </c>
      <c r="F15" s="48" cm="1">
        <f t="array" ref="F15">IF($A15="","",_xlfn.TEXTJOIN("; ",TRUE,_xlfn._xlws.FILTER(MT_IDS,(MT_BASELINE=$A15)*(MT_APPLICABLE="Applicable"),"")))</f>
        <v/>
      </c>
      <c r="G15" s="48">
        <f>IF($A15="","",COUNTIFS(MT_BASELINE,$A15,MT_APPLICABLE,"Applicable"))</f>
        <v/>
      </c>
      <c r="H15" s="50">
        <f>IF($A15="","",IF(G15&gt;0,"Applicable","N/A"))</f>
        <v/>
      </c>
      <c r="I15" s="49" t="inlineStr">
        <is>
          <t>SAST + DAST / header scanner</t>
        </is>
      </c>
      <c r="J15" s="49" t="inlineStr">
        <is>
          <t>Deterministic, continuous</t>
        </is>
      </c>
      <c r="K15" s="49" t="inlineStr">
        <is>
          <t>Pipeline</t>
        </is>
      </c>
      <c r="L15" s="49" t="inlineStr">
        <is>
          <t>Not assessed</t>
        </is>
      </c>
      <c r="M15" s="49" t="n"/>
      <c r="N15" s="49" t="n"/>
      <c r="O15" s="50" t="inlineStr">
        <is>
          <t>Medium</t>
        </is>
      </c>
      <c r="P15" s="50">
        <f>IF($A15="","",IF(H15="N/A","N/A",IFERROR(INDEX(CRIT_MATRIX,MATCH(O15,CRIT_MATRIX_ROWS,0),MATCH(APP_RISK_TIER,CRIT_MATRIX_COLS,0)),"")))</f>
        <v/>
      </c>
      <c r="Q15" s="49" t="n"/>
      <c r="R15" s="49" cm="1">
        <f t="array" ref="R15">IF($A15="","",COUNTIFS(tblThreatControls[Control ID],$A15,tblThreatControls[Threat applies],"Applies"))</f>
        <v/>
      </c>
      <c r="S15" s="49" cm="1">
        <f t="array" ref="S15">IF($A15="","",IF(R15=0,"",INDEX(RISK_SCALE_NAMES,_xlfn.MAXIFS(tblThreatControls[Threat risk score],tblThreatControls[Control ID],$A15))))</f>
        <v/>
      </c>
      <c r="T15" s="49" cm="1">
        <f t="array" ref="T15">IF($A15="","",IF(AND(H15="Applicable",OR(L15="Not assessed",L15=""),R15&gt;0),"Yes","No"))</f>
        <v/>
      </c>
      <c r="U15" s="49" cm="1">
        <f t="array" ref="U15">IF($A15="","",IF(AND(H15="Applicable",OR(L15="Gap",L15="Partial coverage")),INDEX(RISK_SCALE_NAMES,MAX(IFERROR(MATCH(P15,RISK_SCALE_NAMES,0),1),IFERROR(MATCH(S15,RISK_SCALE_NAMES,0),0))),""))</f>
        <v/>
      </c>
      <c r="V15" s="49" cm="1">
        <f t="array" ref="V15">IF($A15="","",_xlfn.TEXTJOIN("; ",TRUE,_xlfn._xlws.FILTER(tblThreatControls[Threat ID],(tblThreatControls[Control ID]=$A15)*(tblThreatControls[Threat applies]="Applies"),"")))</f>
        <v/>
      </c>
    </row>
    <row r="16" ht="90" customHeight="1" s="19">
      <c r="A16" s="49" t="inlineStr">
        <is>
          <t>HB-WEB-02</t>
        </is>
      </c>
      <c r="B16" s="49" t="inlineStr">
        <is>
          <t>Web frontend</t>
        </is>
      </c>
      <c r="C16" s="48" cm="1">
        <f t="array" ref="C16">IF($A16="","",_xlfn.TEXTJOIN("; ",TRUE,_xlfn._xlws.FILTER(MT_IDS,MT_BASELINE=$A16,"")))</f>
        <v/>
      </c>
      <c r="D16" s="48">
        <f>IF($A16="","",_xlfn.MINIFS(MT_LEVEL,MT_BASELINE,$A16))</f>
        <v/>
      </c>
      <c r="E16" s="49" t="inlineStr">
        <is>
          <t>Cookie security: cookies use the Secure attribute and the __Host- (or __Secure-) prefix, an explicit SameSite value, and HttpOnly for anything not meant for scripts (e.g. session tokens).</t>
        </is>
      </c>
      <c r="F16" s="48" cm="1">
        <f t="array" ref="F16">IF($A16="","",_xlfn.TEXTJOIN("; ",TRUE,_xlfn._xlws.FILTER(MT_IDS,(MT_BASELINE=$A16)*(MT_APPLICABLE="Applicable"),"")))</f>
        <v/>
      </c>
      <c r="G16" s="48">
        <f>IF($A16="","",COUNTIFS(MT_BASELINE,$A16,MT_APPLICABLE,"Applicable"))</f>
        <v/>
      </c>
      <c r="H16" s="50">
        <f>IF($A16="","",IF(G16&gt;0,"Applicable","N/A"))</f>
        <v/>
      </c>
      <c r="I16" s="49" t="inlineStr">
        <is>
          <t>SAST + DAST / header scanner</t>
        </is>
      </c>
      <c r="J16" s="49" t="inlineStr">
        <is>
          <t>Deterministic, continuous</t>
        </is>
      </c>
      <c r="K16" s="49" t="inlineStr">
        <is>
          <t>Pipeline</t>
        </is>
      </c>
      <c r="L16" s="49" t="inlineStr">
        <is>
          <t>Not assessed</t>
        </is>
      </c>
      <c r="M16" s="49" t="n"/>
      <c r="N16" s="49" t="n"/>
      <c r="O16" s="50" t="inlineStr">
        <is>
          <t>Medium</t>
        </is>
      </c>
      <c r="P16" s="50">
        <f>IF($A16="","",IF(H16="N/A","N/A",IFERROR(INDEX(CRIT_MATRIX,MATCH(O16,CRIT_MATRIX_ROWS,0),MATCH(APP_RISK_TIER,CRIT_MATRIX_COLS,0)),"")))</f>
        <v/>
      </c>
      <c r="Q16" s="49" t="n"/>
      <c r="R16" s="49" cm="1">
        <f t="array" ref="R16">IF($A16="","",COUNTIFS(tblThreatControls[Control ID],$A16,tblThreatControls[Threat applies],"Applies"))</f>
        <v/>
      </c>
      <c r="S16" s="49" cm="1">
        <f t="array" ref="S16">IF($A16="","",IF(R16=0,"",INDEX(RISK_SCALE_NAMES,_xlfn.MAXIFS(tblThreatControls[Threat risk score],tblThreatControls[Control ID],$A16))))</f>
        <v/>
      </c>
      <c r="T16" s="49" cm="1">
        <f t="array" ref="T16">IF($A16="","",IF(AND(H16="Applicable",OR(L16="Not assessed",L16=""),R16&gt;0),"Yes","No"))</f>
        <v/>
      </c>
      <c r="U16" s="49" cm="1">
        <f t="array" ref="U16">IF($A16="","",IF(AND(H16="Applicable",OR(L16="Gap",L16="Partial coverage")),INDEX(RISK_SCALE_NAMES,MAX(IFERROR(MATCH(P16,RISK_SCALE_NAMES,0),1),IFERROR(MATCH(S16,RISK_SCALE_NAMES,0),0))),""))</f>
        <v/>
      </c>
      <c r="V16" s="49" cm="1">
        <f t="array" ref="V16">IF($A16="","",_xlfn.TEXTJOIN("; ",TRUE,_xlfn._xlws.FILTER(tblThreatControls[Threat ID],(tblThreatControls[Control ID]=$A16)*(tblThreatControls[Threat applies]="Applies"),"")))</f>
        <v/>
      </c>
    </row>
    <row r="17" ht="90" customHeight="1" s="19">
      <c r="A17" s="49" t="inlineStr">
        <is>
          <t>HB-WEB-03</t>
        </is>
      </c>
      <c r="B17" s="49" t="inlineStr">
        <is>
          <t>Web frontend</t>
        </is>
      </c>
      <c r="C17" s="48" cm="1">
        <f t="array" ref="C17">IF($A17="","",_xlfn.TEXTJOIN("; ",TRUE,_xlfn._xlws.FILTER(MT_IDS,MT_BASELINE=$A17,"")))</f>
        <v/>
      </c>
      <c r="D17" s="48">
        <f>IF($A17="","",_xlfn.MINIFS(MT_LEVEL,MT_BASELINE,$A17))</f>
        <v/>
      </c>
      <c r="E17" s="49" t="inlineStr">
        <is>
          <t>Browser security headers: HSTS (max-age &gt;= 1 year; L2+ includeSubDomains; L3 preload), Content-Security-Policy (at least object-src 'none', base-uri 'none', allowlist or nonces/hashes; frame-ancestors; violation reporting at L3), X-Content-Type-Options: nosniff, Referrer-Policy and, at L3, Cross-Origin-Opener-Policy.</t>
        </is>
      </c>
      <c r="F17" s="48" cm="1">
        <f t="array" ref="F17">IF($A17="","",_xlfn.TEXTJOIN("; ",TRUE,_xlfn._xlws.FILTER(MT_IDS,(MT_BASELINE=$A17)*(MT_APPLICABLE="Applicable"),"")))</f>
        <v/>
      </c>
      <c r="G17" s="48">
        <f>IF($A17="","",COUNTIFS(MT_BASELINE,$A17,MT_APPLICABLE,"Applicable"))</f>
        <v/>
      </c>
      <c r="H17" s="50">
        <f>IF($A17="","",IF(G17&gt;0,"Applicable","N/A"))</f>
        <v/>
      </c>
      <c r="I17" s="49" t="inlineStr">
        <is>
          <t>SAST + DAST / header scanner</t>
        </is>
      </c>
      <c r="J17" s="49" t="inlineStr">
        <is>
          <t>Deterministic, continuous</t>
        </is>
      </c>
      <c r="K17" s="49" t="inlineStr">
        <is>
          <t>Pipeline</t>
        </is>
      </c>
      <c r="L17" s="49" t="inlineStr">
        <is>
          <t>Not assessed</t>
        </is>
      </c>
      <c r="M17" s="49" t="n"/>
      <c r="N17" s="49" t="n"/>
      <c r="O17" s="50" t="inlineStr">
        <is>
          <t>Medium</t>
        </is>
      </c>
      <c r="P17" s="50">
        <f>IF($A17="","",IF(H17="N/A","N/A",IFERROR(INDEX(CRIT_MATRIX,MATCH(O17,CRIT_MATRIX_ROWS,0),MATCH(APP_RISK_TIER,CRIT_MATRIX_COLS,0)),"")))</f>
        <v/>
      </c>
      <c r="Q17" s="49" t="n"/>
      <c r="R17" s="49" cm="1">
        <f t="array" ref="R17">IF($A17="","",COUNTIFS(tblThreatControls[Control ID],$A17,tblThreatControls[Threat applies],"Applies"))</f>
        <v/>
      </c>
      <c r="S17" s="49" cm="1">
        <f t="array" ref="S17">IF($A17="","",IF(R17=0,"",INDEX(RISK_SCALE_NAMES,_xlfn.MAXIFS(tblThreatControls[Threat risk score],tblThreatControls[Control ID],$A17))))</f>
        <v/>
      </c>
      <c r="T17" s="49" cm="1">
        <f t="array" ref="T17">IF($A17="","",IF(AND(H17="Applicable",OR(L17="Not assessed",L17=""),R17&gt;0),"Yes","No"))</f>
        <v/>
      </c>
      <c r="U17" s="49" cm="1">
        <f t="array" ref="U17">IF($A17="","",IF(AND(H17="Applicable",OR(L17="Gap",L17="Partial coverage")),INDEX(RISK_SCALE_NAMES,MAX(IFERROR(MATCH(P17,RISK_SCALE_NAMES,0),1),IFERROR(MATCH(S17,RISK_SCALE_NAMES,0),0))),""))</f>
        <v/>
      </c>
      <c r="V17" s="49" cm="1">
        <f t="array" ref="V17">IF($A17="","",_xlfn.TEXTJOIN("; ",TRUE,_xlfn._xlws.FILTER(tblThreatControls[Threat ID],(tblThreatControls[Control ID]=$A17)*(tblThreatControls[Threat applies]="Applies"),"")))</f>
        <v/>
      </c>
    </row>
    <row r="18" ht="90" customHeight="1" s="19">
      <c r="A18" s="49" t="inlineStr">
        <is>
          <t>HB-WEB-04</t>
        </is>
      </c>
      <c r="B18" s="49" t="inlineStr">
        <is>
          <t>Web frontend</t>
        </is>
      </c>
      <c r="C18" s="48" cm="1">
        <f t="array" ref="C18">IF($A18="","",_xlfn.TEXTJOIN("; ",TRUE,_xlfn._xlws.FILTER(MT_IDS,MT_BASELINE=$A18,"")))</f>
        <v/>
      </c>
      <c r="D18" s="48">
        <f>IF($A18="","",_xlfn.MINIFS(MT_LEVEL,MT_BASELINE,$A18))</f>
        <v/>
      </c>
      <c r="E18" s="49" t="inlineStr">
        <is>
          <t>Cross-origin protection: CSRF defenses on sensitive functions (anti-forgery tokens or non-safelisted headers, correct HTTP methods), CORS Access-Control-Allow-Origin fixed or allowlisted, postMessage origins validated, separate applications on separate hostnames, no JSONP, and authenticated resources protected against cross-site inclusion (XSSI, CORP / Sec-Fetch-*).</t>
        </is>
      </c>
      <c r="F18" s="48" cm="1">
        <f t="array" ref="F18">IF($A18="","",_xlfn.TEXTJOIN("; ",TRUE,_xlfn._xlws.FILTER(MT_IDS,(MT_BASELINE=$A18)*(MT_APPLICABLE="Applicable"),"")))</f>
        <v/>
      </c>
      <c r="G18" s="48">
        <f>IF($A18="","",COUNTIFS(MT_BASELINE,$A18,MT_APPLICABLE,"Applicable"))</f>
        <v/>
      </c>
      <c r="H18" s="50">
        <f>IF($A18="","",IF(G18&gt;0,"Applicable","N/A"))</f>
        <v/>
      </c>
      <c r="I18" s="49" t="inlineStr">
        <is>
          <t>SAST + DAST / header scanner</t>
        </is>
      </c>
      <c r="J18" s="49" t="inlineStr">
        <is>
          <t>Deterministic, continuous</t>
        </is>
      </c>
      <c r="K18" s="49" t="inlineStr">
        <is>
          <t>Pipeline</t>
        </is>
      </c>
      <c r="L18" s="49" t="inlineStr">
        <is>
          <t>Not assessed</t>
        </is>
      </c>
      <c r="M18" s="49" t="n"/>
      <c r="N18" s="49" t="n"/>
      <c r="O18" s="50" t="inlineStr">
        <is>
          <t>Medium</t>
        </is>
      </c>
      <c r="P18" s="50">
        <f>IF($A18="","",IF(H18="N/A","N/A",IFERROR(INDEX(CRIT_MATRIX,MATCH(O18,CRIT_MATRIX_ROWS,0),MATCH(APP_RISK_TIER,CRIT_MATRIX_COLS,0)),"")))</f>
        <v/>
      </c>
      <c r="Q18" s="49" t="n"/>
      <c r="R18" s="49" cm="1">
        <f t="array" ref="R18">IF($A18="","",COUNTIFS(tblThreatControls[Control ID],$A18,tblThreatControls[Threat applies],"Applies"))</f>
        <v/>
      </c>
      <c r="S18" s="49" cm="1">
        <f t="array" ref="S18">IF($A18="","",IF(R18=0,"",INDEX(RISK_SCALE_NAMES,_xlfn.MAXIFS(tblThreatControls[Threat risk score],tblThreatControls[Control ID],$A18))))</f>
        <v/>
      </c>
      <c r="T18" s="49" cm="1">
        <f t="array" ref="T18">IF($A18="","",IF(AND(H18="Applicable",OR(L18="Not assessed",L18=""),R18&gt;0),"Yes","No"))</f>
        <v/>
      </c>
      <c r="U18" s="49" cm="1">
        <f t="array" ref="U18">IF($A18="","",IF(AND(H18="Applicable",OR(L18="Gap",L18="Partial coverage")),INDEX(RISK_SCALE_NAMES,MAX(IFERROR(MATCH(P18,RISK_SCALE_NAMES,0),1),IFERROR(MATCH(S18,RISK_SCALE_NAMES,0),0))),""))</f>
        <v/>
      </c>
      <c r="V18" s="49" cm="1">
        <f t="array" ref="V18">IF($A18="","",_xlfn.TEXTJOIN("; ",TRUE,_xlfn._xlws.FILTER(tblThreatControls[Threat ID],(tblThreatControls[Control ID]=$A18)*(tblThreatControls[Threat applies]="Applies"),"")))</f>
        <v/>
      </c>
    </row>
    <row r="19" ht="90" customHeight="1" s="19">
      <c r="A19" s="49" t="inlineStr">
        <is>
          <t>HB-WEB-05</t>
        </is>
      </c>
      <c r="B19" s="49" t="inlineStr">
        <is>
          <t>Web frontend</t>
        </is>
      </c>
      <c r="C19" s="48" cm="1">
        <f t="array" ref="C19">IF($A19="","",_xlfn.TEXTJOIN("; ",TRUE,_xlfn._xlws.FILTER(MT_IDS,MT_BASELINE=$A19,"")))</f>
        <v/>
      </c>
      <c r="D19" s="48">
        <f>IF($A19="","",_xlfn.MINIFS(MT_LEVEL,MT_BASELINE,$A19))</f>
        <v/>
      </c>
      <c r="E19" s="49" t="inlineStr">
        <is>
          <t>Browser platform and navigation: only supported, secure client-side technologies are used; external assets use Subresource Integrity; automatic redirects to other domains only go to allowlisted destinations (L3: with a warning the user can cancel); the expected browser security features and the behavior when they are missing are documented and implemented.</t>
        </is>
      </c>
      <c r="F19" s="48" cm="1">
        <f t="array" ref="F19">IF($A19="","",_xlfn.TEXTJOIN("; ",TRUE,_xlfn._xlws.FILTER(MT_IDS,(MT_BASELINE=$A19)*(MT_APPLICABLE="Applicable"),"")))</f>
        <v/>
      </c>
      <c r="G19" s="48">
        <f>IF($A19="","",COUNTIFS(MT_BASELINE,$A19,MT_APPLICABLE,"Applicable"))</f>
        <v/>
      </c>
      <c r="H19" s="50">
        <f>IF($A19="","",IF(G19&gt;0,"Applicable","N/A"))</f>
        <v/>
      </c>
      <c r="I19" s="49" t="inlineStr">
        <is>
          <t>SAST + DAST / header scanner</t>
        </is>
      </c>
      <c r="J19" s="49" t="inlineStr">
        <is>
          <t>Deterministic, continuous</t>
        </is>
      </c>
      <c r="K19" s="49" t="inlineStr">
        <is>
          <t>Pipeline</t>
        </is>
      </c>
      <c r="L19" s="49" t="inlineStr">
        <is>
          <t>Not assessed</t>
        </is>
      </c>
      <c r="M19" s="49" t="n"/>
      <c r="N19" s="49" t="n"/>
      <c r="O19" s="50" t="inlineStr">
        <is>
          <t>Medium</t>
        </is>
      </c>
      <c r="P19" s="50">
        <f>IF($A19="","",IF(H19="N/A","N/A",IFERROR(INDEX(CRIT_MATRIX,MATCH(O19,CRIT_MATRIX_ROWS,0),MATCH(APP_RISK_TIER,CRIT_MATRIX_COLS,0)),"")))</f>
        <v/>
      </c>
      <c r="Q19" s="49" t="n"/>
      <c r="R19" s="49" cm="1">
        <f t="array" ref="R19">IF($A19="","",COUNTIFS(tblThreatControls[Control ID],$A19,tblThreatControls[Threat applies],"Applies"))</f>
        <v/>
      </c>
      <c r="S19" s="49" cm="1">
        <f t="array" ref="S19">IF($A19="","",IF(R19=0,"",INDEX(RISK_SCALE_NAMES,_xlfn.MAXIFS(tblThreatControls[Threat risk score],tblThreatControls[Control ID],$A19))))</f>
        <v/>
      </c>
      <c r="T19" s="49" cm="1">
        <f t="array" ref="T19">IF($A19="","",IF(AND(H19="Applicable",OR(L19="Not assessed",L19=""),R19&gt;0),"Yes","No"))</f>
        <v/>
      </c>
      <c r="U19" s="49" cm="1">
        <f t="array" ref="U19">IF($A19="","",IF(AND(H19="Applicable",OR(L19="Gap",L19="Partial coverage")),INDEX(RISK_SCALE_NAMES,MAX(IFERROR(MATCH(P19,RISK_SCALE_NAMES,0),1),IFERROR(MATCH(S19,RISK_SCALE_NAMES,0),0))),""))</f>
        <v/>
      </c>
      <c r="V19" s="49" cm="1">
        <f t="array" ref="V19">IF($A19="","",_xlfn.TEXTJOIN("; ",TRUE,_xlfn._xlws.FILTER(tblThreatControls[Threat ID],(tblThreatControls[Control ID]=$A19)*(tblThreatControls[Threat applies]="Applies"),"")))</f>
        <v/>
      </c>
    </row>
    <row r="20" ht="90" customHeight="1" s="19">
      <c r="A20" s="49" t="inlineStr">
        <is>
          <t>HB-API-01</t>
        </is>
      </c>
      <c r="B20" s="49" t="inlineStr">
        <is>
          <t>HTTP and API</t>
        </is>
      </c>
      <c r="C20" s="48" cm="1">
        <f t="array" ref="C20">IF($A20="","",_xlfn.TEXTJOIN("; ",TRUE,_xlfn._xlws.FILTER(MT_IDS,MT_BASELINE=$A20,"")))</f>
        <v/>
      </c>
      <c r="D20" s="48">
        <f>IF($A20="","",_xlfn.MINIFS(MT_LEVEL,MT_BASELINE,$A20))</f>
        <v/>
      </c>
      <c r="E20" s="49" t="inlineStr">
        <is>
          <t>HTTP message handling: responses carry a correct Content-Type with charset; only user-facing endpoints redirect HTTP to HTTPS; headers set by intermediaries (X-Forwarded-*, X-Real-IP…) cannot be overridden by users and the real client IP is derived from trusted fields; unused HTTP methods are blocked; parameter pollution is prevented; all components agree on message boundaries (no request smuggling, no CR/LF in HTTP/2-3 headers, no oversized outbound requests); L3: highly sensitive messages are digitally signed.</t>
        </is>
      </c>
      <c r="F20" s="48" cm="1">
        <f t="array" ref="F20">IF($A20="","",_xlfn.TEXTJOIN("; ",TRUE,_xlfn._xlws.FILTER(MT_IDS,(MT_BASELINE=$A20)*(MT_APPLICABLE="Applicable"),"")))</f>
        <v/>
      </c>
      <c r="G20" s="48">
        <f>IF($A20="","",COUNTIFS(MT_BASELINE,$A20,MT_APPLICABLE,"Applicable"))</f>
        <v/>
      </c>
      <c r="H20" s="50">
        <f>IF($A20="","",IF(G20&gt;0,"Applicable","N/A"))</f>
        <v/>
      </c>
      <c r="I20" s="49" t="inlineStr">
        <is>
          <t>SAST + DAST</t>
        </is>
      </c>
      <c r="J20" s="49" t="inlineStr">
        <is>
          <t>Deterministic, continuous</t>
        </is>
      </c>
      <c r="K20" s="49" t="inlineStr">
        <is>
          <t>Pipeline</t>
        </is>
      </c>
      <c r="L20" s="49" t="inlineStr">
        <is>
          <t>Not assessed</t>
        </is>
      </c>
      <c r="M20" s="49" t="n"/>
      <c r="N20" s="49" t="n"/>
      <c r="O20" s="50" t="inlineStr">
        <is>
          <t>Medium</t>
        </is>
      </c>
      <c r="P20" s="50">
        <f>IF($A20="","",IF(H20="N/A","N/A",IFERROR(INDEX(CRIT_MATRIX,MATCH(O20,CRIT_MATRIX_ROWS,0),MATCH(APP_RISK_TIER,CRIT_MATRIX_COLS,0)),"")))</f>
        <v/>
      </c>
      <c r="Q20" s="49" t="n"/>
      <c r="R20" s="49" cm="1">
        <f t="array" ref="R20">IF($A20="","",COUNTIFS(tblThreatControls[Control ID],$A20,tblThreatControls[Threat applies],"Applies"))</f>
        <v/>
      </c>
      <c r="S20" s="49" cm="1">
        <f t="array" ref="S20">IF($A20="","",IF(R20=0,"",INDEX(RISK_SCALE_NAMES,_xlfn.MAXIFS(tblThreatControls[Threat risk score],tblThreatControls[Control ID],$A20))))</f>
        <v/>
      </c>
      <c r="T20" s="49" cm="1">
        <f t="array" ref="T20">IF($A20="","",IF(AND(H20="Applicable",OR(L20="Not assessed",L20=""),R20&gt;0),"Yes","No"))</f>
        <v/>
      </c>
      <c r="U20" s="49" cm="1">
        <f t="array" ref="U20">IF($A20="","",IF(AND(H20="Applicable",OR(L20="Gap",L20="Partial coverage")),INDEX(RISK_SCALE_NAMES,MAX(IFERROR(MATCH(P20,RISK_SCALE_NAMES,0),1),IFERROR(MATCH(S20,RISK_SCALE_NAMES,0),0))),""))</f>
        <v/>
      </c>
      <c r="V20" s="49" cm="1">
        <f t="array" ref="V20">IF($A20="","",_xlfn.TEXTJOIN("; ",TRUE,_xlfn._xlws.FILTER(tblThreatControls[Threat ID],(tblThreatControls[Control ID]=$A20)*(tblThreatControls[Threat applies]="Applies"),"")))</f>
        <v/>
      </c>
    </row>
    <row r="21" ht="90" customHeight="1" s="19">
      <c r="A21" s="49" t="inlineStr">
        <is>
          <t>HB-API-02</t>
        </is>
      </c>
      <c r="B21" s="49" t="inlineStr">
        <is>
          <t>HTTP and API</t>
        </is>
      </c>
      <c r="C21" s="48" cm="1">
        <f t="array" ref="C21">IF($A21="","",_xlfn.TEXTJOIN("; ",TRUE,_xlfn._xlws.FILTER(MT_IDS,MT_BASELINE=$A21,"")))</f>
        <v/>
      </c>
      <c r="D21" s="48">
        <f>IF($A21="","",_xlfn.MINIFS(MT_LEVEL,MT_BASELINE,$A21))</f>
        <v/>
      </c>
      <c r="E21" s="49" t="inlineStr">
        <is>
          <t>GraphQL: queries are limited by allowlist, depth, amount or cost analysis, and introspection is disabled in production unless the API is public by design.</t>
        </is>
      </c>
      <c r="F21" s="48" cm="1">
        <f t="array" ref="F21">IF($A21="","",_xlfn.TEXTJOIN("; ",TRUE,_xlfn._xlws.FILTER(MT_IDS,(MT_BASELINE=$A21)*(MT_APPLICABLE="Applicable"),"")))</f>
        <v/>
      </c>
      <c r="G21" s="48">
        <f>IF($A21="","",COUNTIFS(MT_BASELINE,$A21,MT_APPLICABLE,"Applicable"))</f>
        <v/>
      </c>
      <c r="H21" s="50">
        <f>IF($A21="","",IF(G21&gt;0,"Applicable","N/A"))</f>
        <v/>
      </c>
      <c r="I21" s="49" t="inlineStr">
        <is>
          <t>SAST + DAST</t>
        </is>
      </c>
      <c r="J21" s="49" t="inlineStr">
        <is>
          <t>Deterministic, continuous</t>
        </is>
      </c>
      <c r="K21" s="49" t="inlineStr">
        <is>
          <t>Pipeline</t>
        </is>
      </c>
      <c r="L21" s="49" t="inlineStr">
        <is>
          <t>Not assessed</t>
        </is>
      </c>
      <c r="M21" s="49" t="n"/>
      <c r="N21" s="49" t="n"/>
      <c r="O21" s="50" t="inlineStr">
        <is>
          <t>Medium</t>
        </is>
      </c>
      <c r="P21" s="50">
        <f>IF($A21="","",IF(H21="N/A","N/A",IFERROR(INDEX(CRIT_MATRIX,MATCH(O21,CRIT_MATRIX_ROWS,0),MATCH(APP_RISK_TIER,CRIT_MATRIX_COLS,0)),"")))</f>
        <v/>
      </c>
      <c r="Q21" s="49" t="n"/>
      <c r="R21" s="49" cm="1">
        <f t="array" ref="R21">IF($A21="","",COUNTIFS(tblThreatControls[Control ID],$A21,tblThreatControls[Threat applies],"Applies"))</f>
        <v/>
      </c>
      <c r="S21" s="49" cm="1">
        <f t="array" ref="S21">IF($A21="","",IF(R21=0,"",INDEX(RISK_SCALE_NAMES,_xlfn.MAXIFS(tblThreatControls[Threat risk score],tblThreatControls[Control ID],$A21))))</f>
        <v/>
      </c>
      <c r="T21" s="49" cm="1">
        <f t="array" ref="T21">IF($A21="","",IF(AND(H21="Applicable",OR(L21="Not assessed",L21=""),R21&gt;0),"Yes","No"))</f>
        <v/>
      </c>
      <c r="U21" s="49" cm="1">
        <f t="array" ref="U21">IF($A21="","",IF(AND(H21="Applicable",OR(L21="Gap",L21="Partial coverage")),INDEX(RISK_SCALE_NAMES,MAX(IFERROR(MATCH(P21,RISK_SCALE_NAMES,0),1),IFERROR(MATCH(S21,RISK_SCALE_NAMES,0),0))),""))</f>
        <v/>
      </c>
      <c r="V21" s="49" cm="1">
        <f t="array" ref="V21">IF($A21="","",_xlfn.TEXTJOIN("; ",TRUE,_xlfn._xlws.FILTER(tblThreatControls[Threat ID],(tblThreatControls[Control ID]=$A21)*(tblThreatControls[Threat applies]="Applies"),"")))</f>
        <v/>
      </c>
    </row>
    <row r="22" ht="90" customHeight="1" s="19">
      <c r="A22" s="49" t="inlineStr">
        <is>
          <t>HB-API-03</t>
        </is>
      </c>
      <c r="B22" s="49" t="inlineStr">
        <is>
          <t>HTTP and API</t>
        </is>
      </c>
      <c r="C22" s="48" cm="1">
        <f t="array" ref="C22">IF($A22="","",_xlfn.TEXTJOIN("; ",TRUE,_xlfn._xlws.FILTER(MT_IDS,MT_BASELINE=$A22,"")))</f>
        <v/>
      </c>
      <c r="D22" s="48">
        <f>IF($A22="","",_xlfn.MINIFS(MT_LEVEL,MT_BASELINE,$A22))</f>
        <v/>
      </c>
      <c r="E22" s="49" t="inlineStr">
        <is>
          <t>WebSocket: only WSS is used; the Origin is checked against an allowlist during the handshake; dedicated WebSocket tokens, when needed, are obtained through the authenticated HTTPS session and follow session management rules.</t>
        </is>
      </c>
      <c r="F22" s="48" cm="1">
        <f t="array" ref="F22">IF($A22="","",_xlfn.TEXTJOIN("; ",TRUE,_xlfn._xlws.FILTER(MT_IDS,(MT_BASELINE=$A22)*(MT_APPLICABLE="Applicable"),"")))</f>
        <v/>
      </c>
      <c r="G22" s="48">
        <f>IF($A22="","",COUNTIFS(MT_BASELINE,$A22,MT_APPLICABLE,"Applicable"))</f>
        <v/>
      </c>
      <c r="H22" s="50">
        <f>IF($A22="","",IF(G22&gt;0,"Applicable","N/A"))</f>
        <v/>
      </c>
      <c r="I22" s="49" t="inlineStr">
        <is>
          <t>SAST + DAST</t>
        </is>
      </c>
      <c r="J22" s="49" t="inlineStr">
        <is>
          <t>Deterministic, continuous</t>
        </is>
      </c>
      <c r="K22" s="49" t="inlineStr">
        <is>
          <t>Pipeline</t>
        </is>
      </c>
      <c r="L22" s="49" t="inlineStr">
        <is>
          <t>Not assessed</t>
        </is>
      </c>
      <c r="M22" s="49" t="n"/>
      <c r="N22" s="49" t="n"/>
      <c r="O22" s="50" t="inlineStr">
        <is>
          <t>Medium</t>
        </is>
      </c>
      <c r="P22" s="50">
        <f>IF($A22="","",IF(H22="N/A","N/A",IFERROR(INDEX(CRIT_MATRIX,MATCH(O22,CRIT_MATRIX_ROWS,0),MATCH(APP_RISK_TIER,CRIT_MATRIX_COLS,0)),"")))</f>
        <v/>
      </c>
      <c r="Q22" s="49" t="n"/>
      <c r="R22" s="49" cm="1">
        <f t="array" ref="R22">IF($A22="","",COUNTIFS(tblThreatControls[Control ID],$A22,tblThreatControls[Threat applies],"Applies"))</f>
        <v/>
      </c>
      <c r="S22" s="49" cm="1">
        <f t="array" ref="S22">IF($A22="","",IF(R22=0,"",INDEX(RISK_SCALE_NAMES,_xlfn.MAXIFS(tblThreatControls[Threat risk score],tblThreatControls[Control ID],$A22))))</f>
        <v/>
      </c>
      <c r="T22" s="49" cm="1">
        <f t="array" ref="T22">IF($A22="","",IF(AND(H22="Applicable",OR(L22="Not assessed",L22=""),R22&gt;0),"Yes","No"))</f>
        <v/>
      </c>
      <c r="U22" s="49" cm="1">
        <f t="array" ref="U22">IF($A22="","",IF(AND(H22="Applicable",OR(L22="Gap",L22="Partial coverage")),INDEX(RISK_SCALE_NAMES,MAX(IFERROR(MATCH(P22,RISK_SCALE_NAMES,0),1),IFERROR(MATCH(S22,RISK_SCALE_NAMES,0),0))),""))</f>
        <v/>
      </c>
      <c r="V22" s="49" cm="1">
        <f t="array" ref="V22">IF($A22="","",_xlfn.TEXTJOIN("; ",TRUE,_xlfn._xlws.FILTER(tblThreatControls[Threat ID],(tblThreatControls[Control ID]=$A22)*(tblThreatControls[Threat applies]="Applies"),"")))</f>
        <v/>
      </c>
    </row>
    <row r="23" ht="90" customHeight="1" s="19">
      <c r="A23" s="49" t="inlineStr">
        <is>
          <t>HB-FILE-01</t>
        </is>
      </c>
      <c r="B23" s="49" t="inlineStr">
        <is>
          <t>File handling</t>
        </is>
      </c>
      <c r="C23" s="48" cm="1">
        <f t="array" ref="C23">IF($A23="","",_xlfn.TEXTJOIN("; ",TRUE,_xlfn._xlws.FILTER(MT_IDS,MT_BASELINE=$A23,"")))</f>
        <v/>
      </c>
      <c r="D23" s="48">
        <f>IF($A23="","",_xlfn.MINIFS(MT_LEVEL,MT_BASELINE,$A23))</f>
        <v/>
      </c>
      <c r="E23" s="49" t="inlineStr">
        <is>
          <t>File upload validation: permitted types, extensions and sizes are documented per upload feature and enforced — size limits (including unpacked archives, file count, image pixel size and per-user quotas), extension and content (magic bytes) checks, no symlinks in archives, and antivirus scanning of files from untrusted sources.</t>
        </is>
      </c>
      <c r="F23" s="48" cm="1">
        <f t="array" ref="F23">IF($A23="","",_xlfn.TEXTJOIN("; ",TRUE,_xlfn._xlws.FILTER(MT_IDS,(MT_BASELINE=$A23)*(MT_APPLICABLE="Applicable"),"")))</f>
        <v/>
      </c>
      <c r="G23" s="48">
        <f>IF($A23="","",COUNTIFS(MT_BASELINE,$A23,MT_APPLICABLE,"Applicable"))</f>
        <v/>
      </c>
      <c r="H23" s="50">
        <f>IF($A23="","",IF(G23&gt;0,"Applicable","N/A"))</f>
        <v/>
      </c>
      <c r="I23" s="49" t="inlineStr">
        <is>
          <t>SAST + DAST / malware scanner</t>
        </is>
      </c>
      <c r="J23" s="49" t="inlineStr">
        <is>
          <t>Deterministic, continuous</t>
        </is>
      </c>
      <c r="K23" s="49" t="inlineStr">
        <is>
          <t>Pipeline</t>
        </is>
      </c>
      <c r="L23" s="49" t="inlineStr">
        <is>
          <t>Not assessed</t>
        </is>
      </c>
      <c r="M23" s="49" t="n"/>
      <c r="N23" s="49" t="n"/>
      <c r="O23" s="50" t="inlineStr">
        <is>
          <t>High</t>
        </is>
      </c>
      <c r="P23" s="50">
        <f>IF($A23="","",IF(H23="N/A","N/A",IFERROR(INDEX(CRIT_MATRIX,MATCH(O23,CRIT_MATRIX_ROWS,0),MATCH(APP_RISK_TIER,CRIT_MATRIX_COLS,0)),"")))</f>
        <v/>
      </c>
      <c r="Q23" s="49" t="n"/>
      <c r="R23" s="49" cm="1">
        <f t="array" ref="R23">IF($A23="","",COUNTIFS(tblThreatControls[Control ID],$A23,tblThreatControls[Threat applies],"Applies"))</f>
        <v/>
      </c>
      <c r="S23" s="49" cm="1">
        <f t="array" ref="S23">IF($A23="","",IF(R23=0,"",INDEX(RISK_SCALE_NAMES,_xlfn.MAXIFS(tblThreatControls[Threat risk score],tblThreatControls[Control ID],$A23))))</f>
        <v/>
      </c>
      <c r="T23" s="49" cm="1">
        <f t="array" ref="T23">IF($A23="","",IF(AND(H23="Applicable",OR(L23="Not assessed",L23=""),R23&gt;0),"Yes","No"))</f>
        <v/>
      </c>
      <c r="U23" s="49" cm="1">
        <f t="array" ref="U23">IF($A23="","",IF(AND(H23="Applicable",OR(L23="Gap",L23="Partial coverage")),INDEX(RISK_SCALE_NAMES,MAX(IFERROR(MATCH(P23,RISK_SCALE_NAMES,0),1),IFERROR(MATCH(S23,RISK_SCALE_NAMES,0),0))),""))</f>
        <v/>
      </c>
      <c r="V23" s="49" cm="1">
        <f t="array" ref="V23">IF($A23="","",_xlfn.TEXTJOIN("; ",TRUE,_xlfn._xlws.FILTER(tblThreatControls[Threat ID],(tblThreatControls[Control ID]=$A23)*(tblThreatControls[Threat applies]="Applies"),"")))</f>
        <v/>
      </c>
    </row>
    <row r="24" ht="90" customHeight="1" s="19">
      <c r="A24" s="49" t="inlineStr">
        <is>
          <t>HB-FILE-02</t>
        </is>
      </c>
      <c r="B24" s="49" t="inlineStr">
        <is>
          <t>File handling</t>
        </is>
      </c>
      <c r="C24" s="48" cm="1">
        <f t="array" ref="C24">IF($A24="","",_xlfn.TEXTJOIN("; ",TRUE,_xlfn._xlws.FILTER(MT_IDS,MT_BASELINE=$A24,"")))</f>
        <v/>
      </c>
      <c r="D24" s="48">
        <f>IF($A24="","",_xlfn.MINIFS(MT_LEVEL,MT_BASELINE,$A24))</f>
        <v/>
      </c>
      <c r="E24" s="49" t="inlineStr">
        <is>
          <t>File storage and serving: uploaded files are never executed by the server; file paths are built from internal data, never from user-supplied names or archive paths (path traversal, zip slip, LFI/RFI); served file names are sanitized and set in Content-Disposition; sensitive metadata is stripped from user files unless consented.</t>
        </is>
      </c>
      <c r="F24" s="48" cm="1">
        <f t="array" ref="F24">IF($A24="","",_xlfn.TEXTJOIN("; ",TRUE,_xlfn._xlws.FILTER(MT_IDS,(MT_BASELINE=$A24)*(MT_APPLICABLE="Applicable"),"")))</f>
        <v/>
      </c>
      <c r="G24" s="48">
        <f>IF($A24="","",COUNTIFS(MT_BASELINE,$A24,MT_APPLICABLE,"Applicable"))</f>
        <v/>
      </c>
      <c r="H24" s="50">
        <f>IF($A24="","",IF(G24&gt;0,"Applicable","N/A"))</f>
        <v/>
      </c>
      <c r="I24" s="49" t="inlineStr">
        <is>
          <t>SAST + DAST / malware scanner</t>
        </is>
      </c>
      <c r="J24" s="49" t="inlineStr">
        <is>
          <t>Deterministic, continuous</t>
        </is>
      </c>
      <c r="K24" s="49" t="inlineStr">
        <is>
          <t>Pipeline</t>
        </is>
      </c>
      <c r="L24" s="49" t="inlineStr">
        <is>
          <t>Not assessed</t>
        </is>
      </c>
      <c r="M24" s="49" t="n"/>
      <c r="N24" s="49" t="n"/>
      <c r="O24" s="50" t="inlineStr">
        <is>
          <t>High</t>
        </is>
      </c>
      <c r="P24" s="50">
        <f>IF($A24="","",IF(H24="N/A","N/A",IFERROR(INDEX(CRIT_MATRIX,MATCH(O24,CRIT_MATRIX_ROWS,0),MATCH(APP_RISK_TIER,CRIT_MATRIX_COLS,0)),"")))</f>
        <v/>
      </c>
      <c r="Q24" s="49" t="n"/>
      <c r="R24" s="49" cm="1">
        <f t="array" ref="R24">IF($A24="","",COUNTIFS(tblThreatControls[Control ID],$A24,tblThreatControls[Threat applies],"Applies"))</f>
        <v/>
      </c>
      <c r="S24" s="49" cm="1">
        <f t="array" ref="S24">IF($A24="","",IF(R24=0,"",INDEX(RISK_SCALE_NAMES,_xlfn.MAXIFS(tblThreatControls[Threat risk score],tblThreatControls[Control ID],$A24))))</f>
        <v/>
      </c>
      <c r="T24" s="49" cm="1">
        <f t="array" ref="T24">IF($A24="","",IF(AND(H24="Applicable",OR(L24="Not assessed",L24=""),R24&gt;0),"Yes","No"))</f>
        <v/>
      </c>
      <c r="U24" s="49" cm="1">
        <f t="array" ref="U24">IF($A24="","",IF(AND(H24="Applicable",OR(L24="Gap",L24="Partial coverage")),INDEX(RISK_SCALE_NAMES,MAX(IFERROR(MATCH(P24,RISK_SCALE_NAMES,0),1),IFERROR(MATCH(S24,RISK_SCALE_NAMES,0),0))),""))</f>
        <v/>
      </c>
      <c r="V24" s="49" cm="1">
        <f t="array" ref="V24">IF($A24="","",_xlfn.TEXTJOIN("; ",TRUE,_xlfn._xlws.FILTER(tblThreatControls[Threat ID],(tblThreatControls[Control ID]=$A24)*(tblThreatControls[Threat applies]="Applies"),"")))</f>
        <v/>
      </c>
    </row>
    <row r="25" ht="90" customHeight="1" s="19">
      <c r="A25" s="49" t="inlineStr">
        <is>
          <t>HB-AUTH-01</t>
        </is>
      </c>
      <c r="B25" s="49" t="inlineStr">
        <is>
          <t>Authentication</t>
        </is>
      </c>
      <c r="C25" s="48" cm="1">
        <f t="array" ref="C25">IF($A25="","",_xlfn.TEXTJOIN("; ",TRUE,_xlfn._xlws.FILTER(MT_IDS,MT_BASELINE=$A25,"")))</f>
        <v/>
      </c>
      <c r="D25" s="48">
        <f>IF($A25="","",_xlfn.MINIFS(MT_LEVEL,MT_BASELINE,$A25))</f>
        <v/>
      </c>
      <c r="E25" s="49" t="inlineStr">
        <is>
          <t>Password policy (NIST SP 800-63B aligned): minimum 8 characters (15 recommended), at least 64 allowed, any characters allowed with no composition rules, no truncation or case changes, no periodic rotation; new passwords are checked against common, breached and context-specific (documented) words; users can change their password with the current one; masked input, paste and password managers allowed.</t>
        </is>
      </c>
      <c r="F25" s="48" cm="1">
        <f t="array" ref="F25">IF($A25="","",_xlfn.TEXTJOIN("; ",TRUE,_xlfn._xlws.FILTER(MT_IDS,(MT_BASELINE=$A25)*(MT_APPLICABLE="Applicable"),"")))</f>
        <v/>
      </c>
      <c r="G25" s="48">
        <f>IF($A25="","",COUNTIFS(MT_BASELINE,$A25,MT_APPLICABLE,"Applicable"))</f>
        <v/>
      </c>
      <c r="H25" s="50">
        <f>IF($A25="","",IF(G25&gt;0,"Applicable","N/A"))</f>
        <v/>
      </c>
      <c r="I25" s="49" t="inlineStr">
        <is>
          <t>SAST + integration testing</t>
        </is>
      </c>
      <c r="J25" s="49" t="inlineStr">
        <is>
          <t>Deterministic, continuous</t>
        </is>
      </c>
      <c r="K25" s="49" t="inlineStr">
        <is>
          <t>Pipeline</t>
        </is>
      </c>
      <c r="L25" s="49" t="inlineStr">
        <is>
          <t>Not assessed</t>
        </is>
      </c>
      <c r="M25" s="49" t="n"/>
      <c r="N25" s="49" t="n"/>
      <c r="O25" s="50" t="inlineStr">
        <is>
          <t>High</t>
        </is>
      </c>
      <c r="P25" s="50">
        <f>IF($A25="","",IF(H25="N/A","N/A",IFERROR(INDEX(CRIT_MATRIX,MATCH(O25,CRIT_MATRIX_ROWS,0),MATCH(APP_RISK_TIER,CRIT_MATRIX_COLS,0)),"")))</f>
        <v/>
      </c>
      <c r="Q25" s="49" t="n"/>
      <c r="R25" s="49" cm="1">
        <f t="array" ref="R25">IF($A25="","",COUNTIFS(tblThreatControls[Control ID],$A25,tblThreatControls[Threat applies],"Applies"))</f>
        <v/>
      </c>
      <c r="S25" s="49" cm="1">
        <f t="array" ref="S25">IF($A25="","",IF(R25=0,"",INDEX(RISK_SCALE_NAMES,_xlfn.MAXIFS(tblThreatControls[Threat risk score],tblThreatControls[Control ID],$A25))))</f>
        <v/>
      </c>
      <c r="T25" s="49" cm="1">
        <f t="array" ref="T25">IF($A25="","",IF(AND(H25="Applicable",OR(L25="Not assessed",L25=""),R25&gt;0),"Yes","No"))</f>
        <v/>
      </c>
      <c r="U25" s="49" cm="1">
        <f t="array" ref="U25">IF($A25="","",IF(AND(H25="Applicable",OR(L25="Gap",L25="Partial coverage")),INDEX(RISK_SCALE_NAMES,MAX(IFERROR(MATCH(P25,RISK_SCALE_NAMES,0),1),IFERROR(MATCH(S25,RISK_SCALE_NAMES,0),0))),""))</f>
        <v/>
      </c>
      <c r="V25" s="49" cm="1">
        <f t="array" ref="V25">IF($A25="","",_xlfn.TEXTJOIN("; ",TRUE,_xlfn._xlws.FILTER(tblThreatControls[Threat ID],(tblThreatControls[Control ID]=$A25)*(tblThreatControls[Threat applies]="Applies"),"")))</f>
        <v/>
      </c>
    </row>
    <row r="26" ht="90" customHeight="1" s="19">
      <c r="A26" s="49" t="inlineStr">
        <is>
          <t>HB-AUTH-02</t>
        </is>
      </c>
      <c r="B26" s="49" t="inlineStr">
        <is>
          <t>Authentication</t>
        </is>
      </c>
      <c r="C26" s="48" cm="1">
        <f t="array" ref="C26">IF($A26="","",_xlfn.TEXTJOIN("; ",TRUE,_xlfn._xlws.FILTER(MT_IDS,MT_BASELINE=$A26,"")))</f>
        <v/>
      </c>
      <c r="D26" s="48">
        <f>IF($A26="","",_xlfn.MINIFS(MT_LEVEL,MT_BASELINE,$A26))</f>
        <v/>
      </c>
      <c r="E26" s="49" t="inlineStr">
        <is>
          <t>Brute-force and enumeration protection: documented controls against credential stuffing and password guessing (rate limiting, adaptive response) are implemented without enabling malicious lockout; login, registration and password recovery do not reveal whether an account exists (messages, status codes, timing).</t>
        </is>
      </c>
      <c r="F26" s="48" cm="1">
        <f t="array" ref="F26">IF($A26="","",_xlfn.TEXTJOIN("; ",TRUE,_xlfn._xlws.FILTER(MT_IDS,(MT_BASELINE=$A26)*(MT_APPLICABLE="Applicable"),"")))</f>
        <v/>
      </c>
      <c r="G26" s="48">
        <f>IF($A26="","",COUNTIFS(MT_BASELINE,$A26,MT_APPLICABLE,"Applicable"))</f>
        <v/>
      </c>
      <c r="H26" s="50">
        <f>IF($A26="","",IF(G26&gt;0,"Applicable","N/A"))</f>
        <v/>
      </c>
      <c r="I26" s="49" t="inlineStr">
        <is>
          <t>SAST + integration testing</t>
        </is>
      </c>
      <c r="J26" s="49" t="inlineStr">
        <is>
          <t>Deterministic, continuous</t>
        </is>
      </c>
      <c r="K26" s="49" t="inlineStr">
        <is>
          <t>Pipeline</t>
        </is>
      </c>
      <c r="L26" s="49" t="inlineStr">
        <is>
          <t>Not assessed</t>
        </is>
      </c>
      <c r="M26" s="49" t="n"/>
      <c r="N26" s="49" t="n"/>
      <c r="O26" s="50" t="inlineStr">
        <is>
          <t>High</t>
        </is>
      </c>
      <c r="P26" s="50">
        <f>IF($A26="","",IF(H26="N/A","N/A",IFERROR(INDEX(CRIT_MATRIX,MATCH(O26,CRIT_MATRIX_ROWS,0),MATCH(APP_RISK_TIER,CRIT_MATRIX_COLS,0)),"")))</f>
        <v/>
      </c>
      <c r="Q26" s="49" t="n"/>
      <c r="R26" s="49" cm="1">
        <f t="array" ref="R26">IF($A26="","",COUNTIFS(tblThreatControls[Control ID],$A26,tblThreatControls[Threat applies],"Applies"))</f>
        <v/>
      </c>
      <c r="S26" s="49" cm="1">
        <f t="array" ref="S26">IF($A26="","",IF(R26=0,"",INDEX(RISK_SCALE_NAMES,_xlfn.MAXIFS(tblThreatControls[Threat risk score],tblThreatControls[Control ID],$A26))))</f>
        <v/>
      </c>
      <c r="T26" s="49" cm="1">
        <f t="array" ref="T26">IF($A26="","",IF(AND(H26="Applicable",OR(L26="Not assessed",L26=""),R26&gt;0),"Yes","No"))</f>
        <v/>
      </c>
      <c r="U26" s="49" cm="1">
        <f t="array" ref="U26">IF($A26="","",IF(AND(H26="Applicable",OR(L26="Gap",L26="Partial coverage")),INDEX(RISK_SCALE_NAMES,MAX(IFERROR(MATCH(P26,RISK_SCALE_NAMES,0),1),IFERROR(MATCH(S26,RISK_SCALE_NAMES,0),0))),""))</f>
        <v/>
      </c>
      <c r="V26" s="49" cm="1">
        <f t="array" ref="V26">IF($A26="","",_xlfn.TEXTJOIN("; ",TRUE,_xlfn._xlws.FILTER(tblThreatControls[Threat ID],(tblThreatControls[Control ID]=$A26)*(tblThreatControls[Threat applies]="Applies"),"")))</f>
        <v/>
      </c>
    </row>
    <row r="27" ht="90" customHeight="1" s="19">
      <c r="A27" s="49" t="inlineStr">
        <is>
          <t>HB-AUTH-03</t>
        </is>
      </c>
      <c r="B27" s="49" t="inlineStr">
        <is>
          <t>Authentication</t>
        </is>
      </c>
      <c r="C27" s="48" cm="1">
        <f t="array" ref="C27">IF($A27="","",_xlfn.TEXTJOIN("; ",TRUE,_xlfn._xlws.FILTER(MT_IDS,MT_BASELINE=$A27,"")))</f>
        <v/>
      </c>
      <c r="D27" s="48">
        <f>IF($A27="","",_xlfn.MINIFS(MT_LEVEL,MT_BASELINE,$A27))</f>
        <v/>
      </c>
      <c r="E27" s="49" t="inlineStr">
        <is>
          <t>No default accounts or credentials: default user accounts (root, admin, sa…) are removed or disabled, and no service or integration uses a default credential.</t>
        </is>
      </c>
      <c r="F27" s="48" cm="1">
        <f t="array" ref="F27">IF($A27="","",_xlfn.TEXTJOIN("; ",TRUE,_xlfn._xlws.FILTER(MT_IDS,(MT_BASELINE=$A27)*(MT_APPLICABLE="Applicable"),"")))</f>
        <v/>
      </c>
      <c r="G27" s="48">
        <f>IF($A27="","",COUNTIFS(MT_BASELINE,$A27,MT_APPLICABLE,"Applicable"))</f>
        <v/>
      </c>
      <c r="H27" s="50">
        <f>IF($A27="","",IF(G27&gt;0,"Applicable","N/A"))</f>
        <v/>
      </c>
      <c r="I27" s="49" t="inlineStr">
        <is>
          <t>SAST + integration testing</t>
        </is>
      </c>
      <c r="J27" s="49" t="inlineStr">
        <is>
          <t>Deterministic, continuous</t>
        </is>
      </c>
      <c r="K27" s="49" t="inlineStr">
        <is>
          <t>Pipeline</t>
        </is>
      </c>
      <c r="L27" s="49" t="inlineStr">
        <is>
          <t>Not assessed</t>
        </is>
      </c>
      <c r="M27" s="49" t="n"/>
      <c r="N27" s="49" t="n"/>
      <c r="O27" s="50" t="inlineStr">
        <is>
          <t>High</t>
        </is>
      </c>
      <c r="P27" s="50">
        <f>IF($A27="","",IF(H27="N/A","N/A",IFERROR(INDEX(CRIT_MATRIX,MATCH(O27,CRIT_MATRIX_ROWS,0),MATCH(APP_RISK_TIER,CRIT_MATRIX_COLS,0)),"")))</f>
        <v/>
      </c>
      <c r="Q27" s="49" t="n"/>
      <c r="R27" s="49" cm="1">
        <f t="array" ref="R27">IF($A27="","",COUNTIFS(tblThreatControls[Control ID],$A27,tblThreatControls[Threat applies],"Applies"))</f>
        <v/>
      </c>
      <c r="S27" s="49" cm="1">
        <f t="array" ref="S27">IF($A27="","",IF(R27=0,"",INDEX(RISK_SCALE_NAMES,_xlfn.MAXIFS(tblThreatControls[Threat risk score],tblThreatControls[Control ID],$A27))))</f>
        <v/>
      </c>
      <c r="T27" s="49" cm="1">
        <f t="array" ref="T27">IF($A27="","",IF(AND(H27="Applicable",OR(L27="Not assessed",L27=""),R27&gt;0),"Yes","No"))</f>
        <v/>
      </c>
      <c r="U27" s="49" cm="1">
        <f t="array" ref="U27">IF($A27="","",IF(AND(H27="Applicable",OR(L27="Gap",L27="Partial coverage")),INDEX(RISK_SCALE_NAMES,MAX(IFERROR(MATCH(P27,RISK_SCALE_NAMES,0),1),IFERROR(MATCH(S27,RISK_SCALE_NAMES,0),0))),""))</f>
        <v/>
      </c>
      <c r="V27" s="49" cm="1">
        <f t="array" ref="V27">IF($A27="","",_xlfn.TEXTJOIN("; ",TRUE,_xlfn._xlws.FILTER(tblThreatControls[Threat ID],(tblThreatControls[Control ID]=$A27)*(tblThreatControls[Threat applies]="Applies"),"")))</f>
        <v/>
      </c>
    </row>
    <row r="28" ht="90" customHeight="1" s="19">
      <c r="A28" s="49" t="inlineStr">
        <is>
          <t>HB-AUTH-04</t>
        </is>
      </c>
      <c r="B28" s="49" t="inlineStr">
        <is>
          <t>Authentication</t>
        </is>
      </c>
      <c r="C28" s="48" cm="1">
        <f t="array" ref="C28">IF($A28="","",_xlfn.TEXTJOIN("; ",TRUE,_xlfn._xlws.FILTER(MT_IDS,MT_BASELINE=$A28,"")))</f>
        <v/>
      </c>
      <c r="D28" s="48">
        <f>IF($A28="","",_xlfn.MINIFS(MT_LEVEL,MT_BASELINE,$A28))</f>
        <v/>
      </c>
      <c r="E28" s="49" t="inlineStr">
        <is>
          <t>Multi-factor authentication: access requires MFA (or an equivalent combination of factors); email is never an authentication factor; biometrics only as a secondary factor; SMS/phone OTP only on validated numbers with stronger options offered (L3: not allowed); L3: one factor is phishing-resistant hardware (e.g. FIDO).</t>
        </is>
      </c>
      <c r="F28" s="48" cm="1">
        <f t="array" ref="F28">IF($A28="","",_xlfn.TEXTJOIN("; ",TRUE,_xlfn._xlws.FILTER(MT_IDS,(MT_BASELINE=$A28)*(MT_APPLICABLE="Applicable"),"")))</f>
        <v/>
      </c>
      <c r="G28" s="48">
        <f>IF($A28="","",COUNTIFS(MT_BASELINE,$A28,MT_APPLICABLE,"Applicable"))</f>
        <v/>
      </c>
      <c r="H28" s="50">
        <f>IF($A28="","",IF(G28&gt;0,"Applicable","N/A"))</f>
        <v/>
      </c>
      <c r="I28" s="49" t="inlineStr">
        <is>
          <t>SAST + integration testing</t>
        </is>
      </c>
      <c r="J28" s="49" t="inlineStr">
        <is>
          <t>Deterministic, continuous</t>
        </is>
      </c>
      <c r="K28" s="49" t="inlineStr">
        <is>
          <t>Pipeline</t>
        </is>
      </c>
      <c r="L28" s="49" t="inlineStr">
        <is>
          <t>Not assessed</t>
        </is>
      </c>
      <c r="M28" s="49" t="n"/>
      <c r="N28" s="49" t="n"/>
      <c r="O28" s="50" t="inlineStr">
        <is>
          <t>High</t>
        </is>
      </c>
      <c r="P28" s="50">
        <f>IF($A28="","",IF(H28="N/A","N/A",IFERROR(INDEX(CRIT_MATRIX,MATCH(O28,CRIT_MATRIX_ROWS,0),MATCH(APP_RISK_TIER,CRIT_MATRIX_COLS,0)),"")))</f>
        <v/>
      </c>
      <c r="Q28" s="49" t="n"/>
      <c r="R28" s="49" cm="1">
        <f t="array" ref="R28">IF($A28="","",COUNTIFS(tblThreatControls[Control ID],$A28,tblThreatControls[Threat applies],"Applies"))</f>
        <v/>
      </c>
      <c r="S28" s="49" cm="1">
        <f t="array" ref="S28">IF($A28="","",IF(R28=0,"",INDEX(RISK_SCALE_NAMES,_xlfn.MAXIFS(tblThreatControls[Threat risk score],tblThreatControls[Control ID],$A28))))</f>
        <v/>
      </c>
      <c r="T28" s="49" cm="1">
        <f t="array" ref="T28">IF($A28="","",IF(AND(H28="Applicable",OR(L28="Not assessed",L28=""),R28&gt;0),"Yes","No"))</f>
        <v/>
      </c>
      <c r="U28" s="49" cm="1">
        <f t="array" ref="U28">IF($A28="","",IF(AND(H28="Applicable",OR(L28="Gap",L28="Partial coverage")),INDEX(RISK_SCALE_NAMES,MAX(IFERROR(MATCH(P28,RISK_SCALE_NAMES,0),1),IFERROR(MATCH(S28,RISK_SCALE_NAMES,0),0))),""))</f>
        <v/>
      </c>
      <c r="V28" s="49" cm="1">
        <f t="array" ref="V28">IF($A28="","",_xlfn.TEXTJOIN("; ",TRUE,_xlfn._xlws.FILTER(tblThreatControls[Threat ID],(tblThreatControls[Control ID]=$A28)*(tblThreatControls[Threat applies]="Applies"),"")))</f>
        <v/>
      </c>
    </row>
    <row r="29" ht="90" customHeight="1" s="19">
      <c r="A29" s="49" t="inlineStr">
        <is>
          <t>HB-AUTH-05</t>
        </is>
      </c>
      <c r="B29" s="49" t="inlineStr">
        <is>
          <t>Authentication</t>
        </is>
      </c>
      <c r="C29" s="48" cm="1">
        <f t="array" ref="C29">IF($A29="","",_xlfn.TEXTJOIN("; ",TRUE,_xlfn._xlws.FILTER(MT_IDS,MT_BASELINE=$A29,"")))</f>
        <v/>
      </c>
      <c r="D29" s="48">
        <f>IF($A29="","",_xlfn.MINIFS(MT_LEVEL,MT_BASELINE,$A29))</f>
        <v/>
      </c>
      <c r="E29" s="49" t="inlineStr">
        <is>
          <t>Strength of MFA and one-time codes: OTPs, lookup secrets and out-of-band codes come from a CSPRNG with sufficient entropy, are single-use, bound to their originating request, short-lived (OOB 10 min, TOTP 30 s), rate-limited (including push-bombing), checked against a trusted time source and stored hashed when low-entropy; factors can be revoked; cryptographic authenticators use protected certificates and unique 64-bit+ nonces.</t>
        </is>
      </c>
      <c r="F29" s="48" cm="1">
        <f t="array" ref="F29">IF($A29="","",_xlfn.TEXTJOIN("; ",TRUE,_xlfn._xlws.FILTER(MT_IDS,(MT_BASELINE=$A29)*(MT_APPLICABLE="Applicable"),"")))</f>
        <v/>
      </c>
      <c r="G29" s="48">
        <f>IF($A29="","",COUNTIFS(MT_BASELINE,$A29,MT_APPLICABLE,"Applicable"))</f>
        <v/>
      </c>
      <c r="H29" s="50">
        <f>IF($A29="","",IF(G29&gt;0,"Applicable","N/A"))</f>
        <v/>
      </c>
      <c r="I29" s="49" t="inlineStr">
        <is>
          <t>SAST + integration testing</t>
        </is>
      </c>
      <c r="J29" s="49" t="inlineStr">
        <is>
          <t>Deterministic, continuous</t>
        </is>
      </c>
      <c r="K29" s="49" t="inlineStr">
        <is>
          <t>Pipeline</t>
        </is>
      </c>
      <c r="L29" s="49" t="inlineStr">
        <is>
          <t>Not assessed</t>
        </is>
      </c>
      <c r="M29" s="49" t="n"/>
      <c r="N29" s="49" t="n"/>
      <c r="O29" s="50" t="inlineStr">
        <is>
          <t>High</t>
        </is>
      </c>
      <c r="P29" s="50">
        <f>IF($A29="","",IF(H29="N/A","N/A",IFERROR(INDEX(CRIT_MATRIX,MATCH(O29,CRIT_MATRIX_ROWS,0),MATCH(APP_RISK_TIER,CRIT_MATRIX_COLS,0)),"")))</f>
        <v/>
      </c>
      <c r="Q29" s="49" t="n"/>
      <c r="R29" s="49" cm="1">
        <f t="array" ref="R29">IF($A29="","",COUNTIFS(tblThreatControls[Control ID],$A29,tblThreatControls[Threat applies],"Applies"))</f>
        <v/>
      </c>
      <c r="S29" s="49" cm="1">
        <f t="array" ref="S29">IF($A29="","",IF(R29=0,"",INDEX(RISK_SCALE_NAMES,_xlfn.MAXIFS(tblThreatControls[Threat risk score],tblThreatControls[Control ID],$A29))))</f>
        <v/>
      </c>
      <c r="T29" s="49" cm="1">
        <f t="array" ref="T29">IF($A29="","",IF(AND(H29="Applicable",OR(L29="Not assessed",L29=""),R29&gt;0),"Yes","No"))</f>
        <v/>
      </c>
      <c r="U29" s="49" cm="1">
        <f t="array" ref="U29">IF($A29="","",IF(AND(H29="Applicable",OR(L29="Gap",L29="Partial coverage")),INDEX(RISK_SCALE_NAMES,MAX(IFERROR(MATCH(P29,RISK_SCALE_NAMES,0),1),IFERROR(MATCH(S29,RISK_SCALE_NAMES,0),0))),""))</f>
        <v/>
      </c>
      <c r="V29" s="49" cm="1">
        <f t="array" ref="V29">IF($A29="","",_xlfn.TEXTJOIN("; ",TRUE,_xlfn._xlws.FILTER(tblThreatControls[Threat ID],(tblThreatControls[Control ID]=$A29)*(tblThreatControls[Threat applies]="Applies"),"")))</f>
        <v/>
      </c>
    </row>
    <row r="30" ht="90" customHeight="1" s="19">
      <c r="A30" s="49" t="inlineStr">
        <is>
          <t>HB-AUTH-06</t>
        </is>
      </c>
      <c r="B30" s="49" t="inlineStr">
        <is>
          <t>Authentication</t>
        </is>
      </c>
      <c r="C30" s="48" cm="1">
        <f t="array" ref="C30">IF($A30="","",_xlfn.TEXTJOIN("; ",TRUE,_xlfn._xlws.FILTER(MT_IDS,MT_BASELINE=$A30,"")))</f>
        <v/>
      </c>
      <c r="D30" s="48">
        <f>IF($A30="","",_xlfn.MINIFS(MT_LEVEL,MT_BASELINE,$A30))</f>
        <v/>
      </c>
      <c r="E30" s="49" t="inlineStr">
        <is>
          <t>Authentication pathways and identity providers: every authentication pathway is documented and enforces the same strength (no undocumented pathways); with external IdPs, assertion signatures are always validated, SAML assertions used once, users namespaced per IdP, and required strength/recency (acr, amr, auth_time) verified.</t>
        </is>
      </c>
      <c r="F30" s="48" cm="1">
        <f t="array" ref="F30">IF($A30="","",_xlfn.TEXTJOIN("; ",TRUE,_xlfn._xlws.FILTER(MT_IDS,(MT_BASELINE=$A30)*(MT_APPLICABLE="Applicable"),"")))</f>
        <v/>
      </c>
      <c r="G30" s="48">
        <f>IF($A30="","",COUNTIFS(MT_BASELINE,$A30,MT_APPLICABLE,"Applicable"))</f>
        <v/>
      </c>
      <c r="H30" s="50">
        <f>IF($A30="","",IF(G30&gt;0,"Applicable","N/A"))</f>
        <v/>
      </c>
      <c r="I30" s="49" t="inlineStr">
        <is>
          <t>SAST + integration testing</t>
        </is>
      </c>
      <c r="J30" s="49" t="inlineStr">
        <is>
          <t>Deterministic, continuous</t>
        </is>
      </c>
      <c r="K30" s="49" t="inlineStr">
        <is>
          <t>Pipeline</t>
        </is>
      </c>
      <c r="L30" s="49" t="inlineStr">
        <is>
          <t>Not assessed</t>
        </is>
      </c>
      <c r="M30" s="49" t="n"/>
      <c r="N30" s="49" t="n"/>
      <c r="O30" s="50" t="inlineStr">
        <is>
          <t>High</t>
        </is>
      </c>
      <c r="P30" s="50">
        <f>IF($A30="","",IF(H30="N/A","N/A",IFERROR(INDEX(CRIT_MATRIX,MATCH(O30,CRIT_MATRIX_ROWS,0),MATCH(APP_RISK_TIER,CRIT_MATRIX_COLS,0)),"")))</f>
        <v/>
      </c>
      <c r="Q30" s="49" t="n"/>
      <c r="R30" s="49" cm="1">
        <f t="array" ref="R30">IF($A30="","",COUNTIFS(tblThreatControls[Control ID],$A30,tblThreatControls[Threat applies],"Applies"))</f>
        <v/>
      </c>
      <c r="S30" s="49" cm="1">
        <f t="array" ref="S30">IF($A30="","",IF(R30=0,"",INDEX(RISK_SCALE_NAMES,_xlfn.MAXIFS(tblThreatControls[Threat risk score],tblThreatControls[Control ID],$A30))))</f>
        <v/>
      </c>
      <c r="T30" s="49" cm="1">
        <f t="array" ref="T30">IF($A30="","",IF(AND(H30="Applicable",OR(L30="Not assessed",L30=""),R30&gt;0),"Yes","No"))</f>
        <v/>
      </c>
      <c r="U30" s="49" cm="1">
        <f t="array" ref="U30">IF($A30="","",IF(AND(H30="Applicable",OR(L30="Gap",L30="Partial coverage")),INDEX(RISK_SCALE_NAMES,MAX(IFERROR(MATCH(P30,RISK_SCALE_NAMES,0),1),IFERROR(MATCH(S30,RISK_SCALE_NAMES,0),0))),""))</f>
        <v/>
      </c>
      <c r="V30" s="49" cm="1">
        <f t="array" ref="V30">IF($A30="","",_xlfn.TEXTJOIN("; ",TRUE,_xlfn._xlws.FILTER(tblThreatControls[Threat ID],(tblThreatControls[Control ID]=$A30)*(tblThreatControls[Threat applies]="Applies"),"")))</f>
        <v/>
      </c>
    </row>
    <row r="31" ht="90" customHeight="1" s="19">
      <c r="A31" s="49" t="inlineStr">
        <is>
          <t>HB-AUTH-07</t>
        </is>
      </c>
      <c r="B31" s="49" t="inlineStr">
        <is>
          <t>Authentication</t>
        </is>
      </c>
      <c r="C31" s="48" cm="1">
        <f t="array" ref="C31">IF($A31="","",_xlfn.TEXTJOIN("; ",TRUE,_xlfn._xlws.FILTER(MT_IDS,MT_BASELINE=$A31,"")))</f>
        <v/>
      </c>
      <c r="D31" s="48">
        <f>IF($A31="","",_xlfn.MINIFS(MT_LEVEL,MT_BASELINE,$A31))</f>
        <v/>
      </c>
      <c r="E31" s="49" t="inlineStr">
        <is>
          <t>Credential lifecycle and recovery: initial passwords/activation codes are random, short-lived and single-use; no password hints or secret questions; password reset and lost-factor recovery do not bypass MFA and re-prove identity; admins can trigger but not set a user's password; changes to authentication details require re-authentication and notify the user; L3: users are notified of suspicious logins and of expiring authenticators.</t>
        </is>
      </c>
      <c r="F31" s="48" cm="1">
        <f t="array" ref="F31">IF($A31="","",_xlfn.TEXTJOIN("; ",TRUE,_xlfn._xlws.FILTER(MT_IDS,(MT_BASELINE=$A31)*(MT_APPLICABLE="Applicable"),"")))</f>
        <v/>
      </c>
      <c r="G31" s="48">
        <f>IF($A31="","",COUNTIFS(MT_BASELINE,$A31,MT_APPLICABLE,"Applicable"))</f>
        <v/>
      </c>
      <c r="H31" s="50">
        <f>IF($A31="","",IF(G31&gt;0,"Applicable","N/A"))</f>
        <v/>
      </c>
      <c r="I31" s="49" t="inlineStr">
        <is>
          <t>SAST + integration testing</t>
        </is>
      </c>
      <c r="J31" s="49" t="inlineStr">
        <is>
          <t>Deterministic, continuous</t>
        </is>
      </c>
      <c r="K31" s="49" t="inlineStr">
        <is>
          <t>Pipeline</t>
        </is>
      </c>
      <c r="L31" s="49" t="inlineStr">
        <is>
          <t>Not assessed</t>
        </is>
      </c>
      <c r="M31" s="49" t="n"/>
      <c r="N31" s="49" t="n"/>
      <c r="O31" s="50" t="inlineStr">
        <is>
          <t>High</t>
        </is>
      </c>
      <c r="P31" s="50">
        <f>IF($A31="","",IF(H31="N/A","N/A",IFERROR(INDEX(CRIT_MATRIX,MATCH(O31,CRIT_MATRIX_ROWS,0),MATCH(APP_RISK_TIER,CRIT_MATRIX_COLS,0)),"")))</f>
        <v/>
      </c>
      <c r="Q31" s="49" t="n"/>
      <c r="R31" s="49" cm="1">
        <f t="array" ref="R31">IF($A31="","",COUNTIFS(tblThreatControls[Control ID],$A31,tblThreatControls[Threat applies],"Applies"))</f>
        <v/>
      </c>
      <c r="S31" s="49" cm="1">
        <f t="array" ref="S31">IF($A31="","",IF(R31=0,"",INDEX(RISK_SCALE_NAMES,_xlfn.MAXIFS(tblThreatControls[Threat risk score],tblThreatControls[Control ID],$A31))))</f>
        <v/>
      </c>
      <c r="T31" s="49" cm="1">
        <f t="array" ref="T31">IF($A31="","",IF(AND(H31="Applicable",OR(L31="Not assessed",L31=""),R31&gt;0),"Yes","No"))</f>
        <v/>
      </c>
      <c r="U31" s="49" cm="1">
        <f t="array" ref="U31">IF($A31="","",IF(AND(H31="Applicable",OR(L31="Gap",L31="Partial coverage")),INDEX(RISK_SCALE_NAMES,MAX(IFERROR(MATCH(P31,RISK_SCALE_NAMES,0),1),IFERROR(MATCH(S31,RISK_SCALE_NAMES,0),0))),""))</f>
        <v/>
      </c>
      <c r="V31" s="49" cm="1">
        <f t="array" ref="V31">IF($A31="","",_xlfn.TEXTJOIN("; ",TRUE,_xlfn._xlws.FILTER(tblThreatControls[Threat ID],(tblThreatControls[Control ID]=$A31)*(tblThreatControls[Threat applies]="Applies"),"")))</f>
        <v/>
      </c>
    </row>
    <row r="32" ht="90" customHeight="1" s="19">
      <c r="A32" s="49" t="inlineStr">
        <is>
          <t>HB-AUTH-08</t>
        </is>
      </c>
      <c r="B32" s="49" t="inlineStr">
        <is>
          <t>Authentication</t>
        </is>
      </c>
      <c r="C32" s="48" cm="1">
        <f t="array" ref="C32">IF($A32="","",_xlfn.TEXTJOIN("; ",TRUE,_xlfn._xlws.FILTER(MT_IDS,MT_BASELINE=$A32,"")))</f>
        <v/>
      </c>
      <c r="D32" s="48">
        <f>IF($A32="","",_xlfn.MINIFS(MT_LEVEL,MT_BASELINE,$A32))</f>
        <v/>
      </c>
      <c r="E32" s="49" t="inlineStr">
        <is>
          <t>Password and key-derivation storage: passwords are stored with an approved, computationally intensive password hashing function (e.g. Argon2id, scrypt, bcrypt, PBKDF2) with current parameters; keys derived from passwords use an approved KDF with key stretching.</t>
        </is>
      </c>
      <c r="F32" s="48" cm="1">
        <f t="array" ref="F32">IF($A32="","",_xlfn.TEXTJOIN("; ",TRUE,_xlfn._xlws.FILTER(MT_IDS,(MT_BASELINE=$A32)*(MT_APPLICABLE="Applicable"),"")))</f>
        <v/>
      </c>
      <c r="G32" s="48">
        <f>IF($A32="","",COUNTIFS(MT_BASELINE,$A32,MT_APPLICABLE,"Applicable"))</f>
        <v/>
      </c>
      <c r="H32" s="50">
        <f>IF($A32="","",IF(G32&gt;0,"Applicable","N/A"))</f>
        <v/>
      </c>
      <c r="I32" s="49" t="inlineStr">
        <is>
          <t>SAST (crypto rules) + configuration review</t>
        </is>
      </c>
      <c r="J32" s="49" t="inlineStr">
        <is>
          <t>Deterministic, continuous</t>
        </is>
      </c>
      <c r="K32" s="49" t="inlineStr">
        <is>
          <t>Pipeline</t>
        </is>
      </c>
      <c r="L32" s="49" t="inlineStr">
        <is>
          <t>Not assessed</t>
        </is>
      </c>
      <c r="M32" s="49" t="n"/>
      <c r="N32" s="49" t="n"/>
      <c r="O32" s="50" t="inlineStr">
        <is>
          <t>High</t>
        </is>
      </c>
      <c r="P32" s="50">
        <f>IF($A32="","",IF(H32="N/A","N/A",IFERROR(INDEX(CRIT_MATRIX,MATCH(O32,CRIT_MATRIX_ROWS,0),MATCH(APP_RISK_TIER,CRIT_MATRIX_COLS,0)),"")))</f>
        <v/>
      </c>
      <c r="Q32" s="49" t="n"/>
      <c r="R32" s="49" cm="1">
        <f t="array" ref="R32">IF($A32="","",COUNTIFS(tblThreatControls[Control ID],$A32,tblThreatControls[Threat applies],"Applies"))</f>
        <v/>
      </c>
      <c r="S32" s="49" cm="1">
        <f t="array" ref="S32">IF($A32="","",IF(R32=0,"",INDEX(RISK_SCALE_NAMES,_xlfn.MAXIFS(tblThreatControls[Threat risk score],tblThreatControls[Control ID],$A32))))</f>
        <v/>
      </c>
      <c r="T32" s="49" cm="1">
        <f t="array" ref="T32">IF($A32="","",IF(AND(H32="Applicable",OR(L32="Not assessed",L32=""),R32&gt;0),"Yes","No"))</f>
        <v/>
      </c>
      <c r="U32" s="49" cm="1">
        <f t="array" ref="U32">IF($A32="","",IF(AND(H32="Applicable",OR(L32="Gap",L32="Partial coverage")),INDEX(RISK_SCALE_NAMES,MAX(IFERROR(MATCH(P32,RISK_SCALE_NAMES,0),1),IFERROR(MATCH(S32,RISK_SCALE_NAMES,0),0))),""))</f>
        <v/>
      </c>
      <c r="V32" s="49" cm="1">
        <f t="array" ref="V32">IF($A32="","",_xlfn.TEXTJOIN("; ",TRUE,_xlfn._xlws.FILTER(tblThreatControls[Threat ID],(tblThreatControls[Control ID]=$A32)*(tblThreatControls[Threat applies]="Applies"),"")))</f>
        <v/>
      </c>
    </row>
    <row r="33" ht="90" customHeight="1" s="19">
      <c r="A33" s="49" t="inlineStr">
        <is>
          <t>HB-SESS-01</t>
        </is>
      </c>
      <c r="B33" s="49" t="inlineStr">
        <is>
          <t>Session management</t>
        </is>
      </c>
      <c r="C33" s="48" cm="1">
        <f t="array" ref="C33">IF($A33="","",_xlfn.TEXTJOIN("; ",TRUE,_xlfn._xlws.FILTER(MT_IDS,MT_BASELINE=$A33,"")))</f>
        <v/>
      </c>
      <c r="D33" s="48">
        <f>IF($A33="","",_xlfn.MINIFS(MT_LEVEL,MT_BASELINE,$A33))</f>
        <v/>
      </c>
      <c r="E33" s="49" t="inlineStr">
        <is>
          <t>Session tokens: tokens are dynamic (no static API keys as sessions), verified by a trusted backend, unique, generated by a CSPRNG with &gt;= 128 bits of entropy, and regenerated on every (re-)authentication.</t>
        </is>
      </c>
      <c r="F33" s="48" cm="1">
        <f t="array" ref="F33">IF($A33="","",_xlfn.TEXTJOIN("; ",TRUE,_xlfn._xlws.FILTER(MT_IDS,(MT_BASELINE=$A33)*(MT_APPLICABLE="Applicable"),"")))</f>
        <v/>
      </c>
      <c r="G33" s="48">
        <f>IF($A33="","",COUNTIFS(MT_BASELINE,$A33,MT_APPLICABLE,"Applicable"))</f>
        <v/>
      </c>
      <c r="H33" s="50">
        <f>IF($A33="","",IF(G33&gt;0,"Applicable","N/A"))</f>
        <v/>
      </c>
      <c r="I33" s="49" t="inlineStr">
        <is>
          <t>Integration testing</t>
        </is>
      </c>
      <c r="J33" s="49" t="inlineStr">
        <is>
          <t>Deterministic, continuous</t>
        </is>
      </c>
      <c r="K33" s="49" t="inlineStr">
        <is>
          <t>Pipeline</t>
        </is>
      </c>
      <c r="L33" s="49" t="inlineStr">
        <is>
          <t>Not assessed</t>
        </is>
      </c>
      <c r="M33" s="49" t="n"/>
      <c r="N33" s="49" t="n"/>
      <c r="O33" s="50" t="inlineStr">
        <is>
          <t>High</t>
        </is>
      </c>
      <c r="P33" s="50">
        <f>IF($A33="","",IF(H33="N/A","N/A",IFERROR(INDEX(CRIT_MATRIX,MATCH(O33,CRIT_MATRIX_ROWS,0),MATCH(APP_RISK_TIER,CRIT_MATRIX_COLS,0)),"")))</f>
        <v/>
      </c>
      <c r="Q33" s="49" t="n"/>
      <c r="R33" s="49" cm="1">
        <f t="array" ref="R33">IF($A33="","",COUNTIFS(tblThreatControls[Control ID],$A33,tblThreatControls[Threat applies],"Applies"))</f>
        <v/>
      </c>
      <c r="S33" s="49" cm="1">
        <f t="array" ref="S33">IF($A33="","",IF(R33=0,"",INDEX(RISK_SCALE_NAMES,_xlfn.MAXIFS(tblThreatControls[Threat risk score],tblThreatControls[Control ID],$A33))))</f>
        <v/>
      </c>
      <c r="T33" s="49" cm="1">
        <f t="array" ref="T33">IF($A33="","",IF(AND(H33="Applicable",OR(L33="Not assessed",L33=""),R33&gt;0),"Yes","No"))</f>
        <v/>
      </c>
      <c r="U33" s="49" cm="1">
        <f t="array" ref="U33">IF($A33="","",IF(AND(H33="Applicable",OR(L33="Gap",L33="Partial coverage")),INDEX(RISK_SCALE_NAMES,MAX(IFERROR(MATCH(P33,RISK_SCALE_NAMES,0),1),IFERROR(MATCH(S33,RISK_SCALE_NAMES,0),0))),""))</f>
        <v/>
      </c>
      <c r="V33" s="49" cm="1">
        <f t="array" ref="V33">IF($A33="","",_xlfn.TEXTJOIN("; ",TRUE,_xlfn._xlws.FILTER(tblThreatControls[Threat ID],(tblThreatControls[Control ID]=$A33)*(tblThreatControls[Threat applies]="Applies"),"")))</f>
        <v/>
      </c>
    </row>
    <row r="34" ht="90" customHeight="1" s="19">
      <c r="A34" s="49" t="inlineStr">
        <is>
          <t>HB-SESS-02</t>
        </is>
      </c>
      <c r="B34" s="49" t="inlineStr">
        <is>
          <t>Session management</t>
        </is>
      </c>
      <c r="C34" s="48" cm="1">
        <f t="array" ref="C34">IF($A34="","",_xlfn.TEXTJOIN("; ",TRUE,_xlfn._xlws.FILTER(MT_IDS,MT_BASELINE=$A34,"")))</f>
        <v/>
      </c>
      <c r="D34" s="48">
        <f>IF($A34="","",_xlfn.MINIFS(MT_LEVEL,MT_BASELINE,$A34))</f>
        <v/>
      </c>
      <c r="E34" s="49" t="inlineStr">
        <is>
          <t>Session lifetime: inactivity timeout and absolute maximum lifetime are documented (with justification for deviations from NIST SP 800-63B) and enforced; in federated SSO, session lifetimes between RP and IdP are coordinated as documented and new sessions require explicit user action.</t>
        </is>
      </c>
      <c r="F34" s="48" cm="1">
        <f t="array" ref="F34">IF($A34="","",_xlfn.TEXTJOIN("; ",TRUE,_xlfn._xlws.FILTER(MT_IDS,(MT_BASELINE=$A34)*(MT_APPLICABLE="Applicable"),"")))</f>
        <v/>
      </c>
      <c r="G34" s="48">
        <f>IF($A34="","",COUNTIFS(MT_BASELINE,$A34,MT_APPLICABLE,"Applicable"))</f>
        <v/>
      </c>
      <c r="H34" s="50">
        <f>IF($A34="","",IF(G34&gt;0,"Applicable","N/A"))</f>
        <v/>
      </c>
      <c r="I34" s="49" t="inlineStr">
        <is>
          <t>Integration testing</t>
        </is>
      </c>
      <c r="J34" s="49" t="inlineStr">
        <is>
          <t>Deterministic, continuous</t>
        </is>
      </c>
      <c r="K34" s="49" t="inlineStr">
        <is>
          <t>Pipeline</t>
        </is>
      </c>
      <c r="L34" s="49" t="inlineStr">
        <is>
          <t>Not assessed</t>
        </is>
      </c>
      <c r="M34" s="49" t="n"/>
      <c r="N34" s="49" t="n"/>
      <c r="O34" s="50" t="inlineStr">
        <is>
          <t>High</t>
        </is>
      </c>
      <c r="P34" s="50">
        <f>IF($A34="","",IF(H34="N/A","N/A",IFERROR(INDEX(CRIT_MATRIX,MATCH(O34,CRIT_MATRIX_ROWS,0),MATCH(APP_RISK_TIER,CRIT_MATRIX_COLS,0)),"")))</f>
        <v/>
      </c>
      <c r="Q34" s="49" t="n"/>
      <c r="R34" s="49" cm="1">
        <f t="array" ref="R34">IF($A34="","",COUNTIFS(tblThreatControls[Control ID],$A34,tblThreatControls[Threat applies],"Applies"))</f>
        <v/>
      </c>
      <c r="S34" s="49" cm="1">
        <f t="array" ref="S34">IF($A34="","",IF(R34=0,"",INDEX(RISK_SCALE_NAMES,_xlfn.MAXIFS(tblThreatControls[Threat risk score],tblThreatControls[Control ID],$A34))))</f>
        <v/>
      </c>
      <c r="T34" s="49" cm="1">
        <f t="array" ref="T34">IF($A34="","",IF(AND(H34="Applicable",OR(L34="Not assessed",L34=""),R34&gt;0),"Yes","No"))</f>
        <v/>
      </c>
      <c r="U34" s="49" cm="1">
        <f t="array" ref="U34">IF($A34="","",IF(AND(H34="Applicable",OR(L34="Gap",L34="Partial coverage")),INDEX(RISK_SCALE_NAMES,MAX(IFERROR(MATCH(P34,RISK_SCALE_NAMES,0),1),IFERROR(MATCH(S34,RISK_SCALE_NAMES,0),0))),""))</f>
        <v/>
      </c>
      <c r="V34" s="49" cm="1">
        <f t="array" ref="V34">IF($A34="","",_xlfn.TEXTJOIN("; ",TRUE,_xlfn._xlws.FILTER(tblThreatControls[Threat ID],(tblThreatControls[Control ID]=$A34)*(tblThreatControls[Threat applies]="Applies"),"")))</f>
        <v/>
      </c>
    </row>
    <row r="35" ht="90" customHeight="1" s="19">
      <c r="A35" s="49" t="inlineStr">
        <is>
          <t>HB-SESS-03</t>
        </is>
      </c>
      <c r="B35" s="49" t="inlineStr">
        <is>
          <t>Session management</t>
        </is>
      </c>
      <c r="C35" s="48" cm="1">
        <f t="array" ref="C35">IF($A35="","",_xlfn.TEXTJOIN("; ",TRUE,_xlfn._xlws.FILTER(MT_IDS,MT_BASELINE=$A35,"")))</f>
        <v/>
      </c>
      <c r="D35" s="48">
        <f>IF($A35="","",_xlfn.MINIFS(MT_LEVEL,MT_BASELINE,$A35))</f>
        <v/>
      </c>
      <c r="E35" s="49" t="inlineStr">
        <is>
          <t>Session termination and control: logout and expiry invalidate the session server-side; all sessions end when an account is disabled or deleted; users can see and end their other sessions (and are offered to after changing a factor); admins can end sessions of a user or all users; concurrent session limits are documented; logout is visible on every authenticated page.</t>
        </is>
      </c>
      <c r="F35" s="48" cm="1">
        <f t="array" ref="F35">IF($A35="","",_xlfn.TEXTJOIN("; ",TRUE,_xlfn._xlws.FILTER(MT_IDS,(MT_BASELINE=$A35)*(MT_APPLICABLE="Applicable"),"")))</f>
        <v/>
      </c>
      <c r="G35" s="48">
        <f>IF($A35="","",COUNTIFS(MT_BASELINE,$A35,MT_APPLICABLE,"Applicable"))</f>
        <v/>
      </c>
      <c r="H35" s="50">
        <f>IF($A35="","",IF(G35&gt;0,"Applicable","N/A"))</f>
        <v/>
      </c>
      <c r="I35" s="49" t="inlineStr">
        <is>
          <t>Integration testing</t>
        </is>
      </c>
      <c r="J35" s="49" t="inlineStr">
        <is>
          <t>Deterministic, continuous</t>
        </is>
      </c>
      <c r="K35" s="49" t="inlineStr">
        <is>
          <t>Pipeline</t>
        </is>
      </c>
      <c r="L35" s="49" t="inlineStr">
        <is>
          <t>Not assessed</t>
        </is>
      </c>
      <c r="M35" s="49" t="n"/>
      <c r="N35" s="49" t="n"/>
      <c r="O35" s="50" t="inlineStr">
        <is>
          <t>High</t>
        </is>
      </c>
      <c r="P35" s="50">
        <f>IF($A35="","",IF(H35="N/A","N/A",IFERROR(INDEX(CRIT_MATRIX,MATCH(O35,CRIT_MATRIX_ROWS,0),MATCH(APP_RISK_TIER,CRIT_MATRIX_COLS,0)),"")))</f>
        <v/>
      </c>
      <c r="Q35" s="49" t="n"/>
      <c r="R35" s="49" cm="1">
        <f t="array" ref="R35">IF($A35="","",COUNTIFS(tblThreatControls[Control ID],$A35,tblThreatControls[Threat applies],"Applies"))</f>
        <v/>
      </c>
      <c r="S35" s="49" cm="1">
        <f t="array" ref="S35">IF($A35="","",IF(R35=0,"",INDEX(RISK_SCALE_NAMES,_xlfn.MAXIFS(tblThreatControls[Threat risk score],tblThreatControls[Control ID],$A35))))</f>
        <v/>
      </c>
      <c r="T35" s="49" cm="1">
        <f t="array" ref="T35">IF($A35="","",IF(AND(H35="Applicable",OR(L35="Not assessed",L35=""),R35&gt;0),"Yes","No"))</f>
        <v/>
      </c>
      <c r="U35" s="49" cm="1">
        <f t="array" ref="U35">IF($A35="","",IF(AND(H35="Applicable",OR(L35="Gap",L35="Partial coverage")),INDEX(RISK_SCALE_NAMES,MAX(IFERROR(MATCH(P35,RISK_SCALE_NAMES,0),1),IFERROR(MATCH(S35,RISK_SCALE_NAMES,0),0))),""))</f>
        <v/>
      </c>
      <c r="V35" s="49" cm="1">
        <f t="array" ref="V35">IF($A35="","",_xlfn.TEXTJOIN("; ",TRUE,_xlfn._xlws.FILTER(tblThreatControls[Threat ID],(tblThreatControls[Control ID]=$A35)*(tblThreatControls[Threat applies]="Applies"),"")))</f>
        <v/>
      </c>
    </row>
    <row r="36" ht="90" customHeight="1" s="19">
      <c r="A36" s="49" t="inlineStr">
        <is>
          <t>HB-TOKEN-01</t>
        </is>
      </c>
      <c r="B36" s="49" t="inlineStr">
        <is>
          <t>Session management</t>
        </is>
      </c>
      <c r="C36" s="48" cm="1">
        <f t="array" ref="C36">IF($A36="","",_xlfn.TEXTJOIN("; ",TRUE,_xlfn._xlws.FILTER(MT_IDS,MT_BASELINE=$A36,"")))</f>
        <v/>
      </c>
      <c r="D36" s="48">
        <f>IF($A36="","",_xlfn.MINIFS(MT_LEVEL,MT_BASELINE,$A36))</f>
        <v/>
      </c>
      <c r="E36" s="49" t="inlineStr">
        <is>
          <t>Self-contained tokens (e.g. JWT): signature or MAC is verified before use, with an algorithm allowlist (never 'none') and keys only from trusted, pre-configured sources (jku/x5u/jwk allowlisted); exp/nbf, token type and audience are validated; issuers using one key for several audiences include an audience restriction.</t>
        </is>
      </c>
      <c r="F36" s="48" cm="1">
        <f t="array" ref="F36">IF($A36="","",_xlfn.TEXTJOIN("; ",TRUE,_xlfn._xlws.FILTER(MT_IDS,(MT_BASELINE=$A36)*(MT_APPLICABLE="Applicable"),"")))</f>
        <v/>
      </c>
      <c r="G36" s="48">
        <f>IF($A36="","",COUNTIFS(MT_BASELINE,$A36,MT_APPLICABLE,"Applicable"))</f>
        <v/>
      </c>
      <c r="H36" s="50">
        <f>IF($A36="","",IF(G36&gt;0,"Applicable","N/A"))</f>
        <v/>
      </c>
      <c r="I36" s="49" t="inlineStr">
        <is>
          <t>SAST + configuration review</t>
        </is>
      </c>
      <c r="J36" s="49" t="inlineStr">
        <is>
          <t>Deterministic, continuous</t>
        </is>
      </c>
      <c r="K36" s="49" t="inlineStr">
        <is>
          <t>Pipeline</t>
        </is>
      </c>
      <c r="L36" s="49" t="inlineStr">
        <is>
          <t>Not assessed</t>
        </is>
      </c>
      <c r="M36" s="49" t="n"/>
      <c r="N36" s="49" t="n"/>
      <c r="O36" s="50" t="inlineStr">
        <is>
          <t>High</t>
        </is>
      </c>
      <c r="P36" s="50">
        <f>IF($A36="","",IF(H36="N/A","N/A",IFERROR(INDEX(CRIT_MATRIX,MATCH(O36,CRIT_MATRIX_ROWS,0),MATCH(APP_RISK_TIER,CRIT_MATRIX_COLS,0)),"")))</f>
        <v/>
      </c>
      <c r="Q36" s="49" t="n"/>
      <c r="R36" s="49" cm="1">
        <f t="array" ref="R36">IF($A36="","",COUNTIFS(tblThreatControls[Control ID],$A36,tblThreatControls[Threat applies],"Applies"))</f>
        <v/>
      </c>
      <c r="S36" s="49" cm="1">
        <f t="array" ref="S36">IF($A36="","",IF(R36=0,"",INDEX(RISK_SCALE_NAMES,_xlfn.MAXIFS(tblThreatControls[Threat risk score],tblThreatControls[Control ID],$A36))))</f>
        <v/>
      </c>
      <c r="T36" s="49" cm="1">
        <f t="array" ref="T36">IF($A36="","",IF(AND(H36="Applicable",OR(L36="Not assessed",L36=""),R36&gt;0),"Yes","No"))</f>
        <v/>
      </c>
      <c r="U36" s="49" cm="1">
        <f t="array" ref="U36">IF($A36="","",IF(AND(H36="Applicable",OR(L36="Gap",L36="Partial coverage")),INDEX(RISK_SCALE_NAMES,MAX(IFERROR(MATCH(P36,RISK_SCALE_NAMES,0),1),IFERROR(MATCH(S36,RISK_SCALE_NAMES,0),0))),""))</f>
        <v/>
      </c>
      <c r="V36" s="49" cm="1">
        <f t="array" ref="V36">IF($A36="","",_xlfn.TEXTJOIN("; ",TRUE,_xlfn._xlws.FILTER(tblThreatControls[Threat ID],(tblThreatControls[Control ID]=$A36)*(tblThreatControls[Threat applies]="Applies"),"")))</f>
        <v/>
      </c>
    </row>
    <row r="37" ht="90" customHeight="1" s="19">
      <c r="A37" s="49" t="inlineStr">
        <is>
          <t>HB-AUTHZ-01</t>
        </is>
      </c>
      <c r="B37" s="49" t="inlineStr">
        <is>
          <t>Access control</t>
        </is>
      </c>
      <c r="C37" s="48" cm="1">
        <f t="array" ref="C37">IF($A37="","",_xlfn.TEXTJOIN("; ",TRUE,_xlfn._xlws.FILTER(MT_IDS,MT_BASELINE=$A37,"")))</f>
        <v/>
      </c>
      <c r="D37" s="48">
        <f>IF($A37="","",_xlfn.MINIFS(MT_LEVEL,MT_BASELINE,$A37))</f>
        <v/>
      </c>
      <c r="E37" s="49" t="inlineStr">
        <is>
          <t>Function- and object-level authorization: documented authorization rules are enforced at a trusted server-side layer on every request — functions only for consumers with explicit permission, and data items only for consumers with permission to that specific item (IDOR / BOLA).</t>
        </is>
      </c>
      <c r="F37" s="48" cm="1">
        <f t="array" ref="F37">IF($A37="","",_xlfn.TEXTJOIN("; ",TRUE,_xlfn._xlws.FILTER(MT_IDS,(MT_BASELINE=$A37)*(MT_APPLICABLE="Applicable"),"")))</f>
        <v/>
      </c>
      <c r="G37" s="48">
        <f>IF($A37="","",COUNTIFS(MT_BASELINE,$A37,MT_APPLICABLE,"Applicable"))</f>
        <v/>
      </c>
      <c r="H37" s="50">
        <f>IF($A37="","",IF(G37&gt;0,"Applicable","N/A"))</f>
        <v/>
      </c>
      <c r="I37" s="49" t="inlineStr">
        <is>
          <t>SAST + integration testing</t>
        </is>
      </c>
      <c r="J37" s="49" t="inlineStr">
        <is>
          <t>Sampled, periodic</t>
        </is>
      </c>
      <c r="K37" s="49" t="inlineStr">
        <is>
          <t>Pipeline</t>
        </is>
      </c>
      <c r="L37" s="49" t="inlineStr">
        <is>
          <t>Not assessed</t>
        </is>
      </c>
      <c r="M37" s="49" t="n"/>
      <c r="N37" s="49" t="n"/>
      <c r="O37" s="50" t="inlineStr">
        <is>
          <t>High</t>
        </is>
      </c>
      <c r="P37" s="50">
        <f>IF($A37="","",IF(H37="N/A","N/A",IFERROR(INDEX(CRIT_MATRIX,MATCH(O37,CRIT_MATRIX_ROWS,0),MATCH(APP_RISK_TIER,CRIT_MATRIX_COLS,0)),"")))</f>
        <v/>
      </c>
      <c r="Q37" s="49" t="n"/>
      <c r="R37" s="49" cm="1">
        <f t="array" ref="R37">IF($A37="","",COUNTIFS(tblThreatControls[Control ID],$A37,tblThreatControls[Threat applies],"Applies"))</f>
        <v/>
      </c>
      <c r="S37" s="49" cm="1">
        <f t="array" ref="S37">IF($A37="","",IF(R37=0,"",INDEX(RISK_SCALE_NAMES,_xlfn.MAXIFS(tblThreatControls[Threat risk score],tblThreatControls[Control ID],$A37))))</f>
        <v/>
      </c>
      <c r="T37" s="49" cm="1">
        <f t="array" ref="T37">IF($A37="","",IF(AND(H37="Applicable",OR(L37="Not assessed",L37=""),R37&gt;0),"Yes","No"))</f>
        <v/>
      </c>
      <c r="U37" s="49" cm="1">
        <f t="array" ref="U37">IF($A37="","",IF(AND(H37="Applicable",OR(L37="Gap",L37="Partial coverage")),INDEX(RISK_SCALE_NAMES,MAX(IFERROR(MATCH(P37,RISK_SCALE_NAMES,0),1),IFERROR(MATCH(S37,RISK_SCALE_NAMES,0),0))),""))</f>
        <v/>
      </c>
      <c r="V37" s="49" cm="1">
        <f t="array" ref="V37">IF($A37="","",_xlfn.TEXTJOIN("; ",TRUE,_xlfn._xlws.FILTER(tblThreatControls[Threat ID],(tblThreatControls[Control ID]=$A37)*(tblThreatControls[Threat applies]="Applies"),"")))</f>
        <v/>
      </c>
    </row>
    <row r="38" ht="90" customHeight="1" s="19">
      <c r="A38" s="49" t="inlineStr">
        <is>
          <t>HB-AUTHZ-02</t>
        </is>
      </c>
      <c r="B38" s="49" t="inlineStr">
        <is>
          <t>Access control</t>
        </is>
      </c>
      <c r="C38" s="48" cm="1">
        <f t="array" ref="C38">IF($A38="","",_xlfn.TEXTJOIN("; ",TRUE,_xlfn._xlws.FILTER(MT_IDS,MT_BASELINE=$A38,"")))</f>
        <v/>
      </c>
      <c r="D38" s="48">
        <f>IF($A38="","",_xlfn.MINIFS(MT_LEVEL,MT_BASELINE,$A38))</f>
        <v/>
      </c>
      <c r="E38" s="49" t="inlineStr">
        <is>
          <t>Field-level authorization and data exposure: documented field-level read/write rules are enforced (BOPLA); responses return only the fields required, and mass assignment is prevented by limiting writable fields per action.</t>
        </is>
      </c>
      <c r="F38" s="48" cm="1">
        <f t="array" ref="F38">IF($A38="","",_xlfn.TEXTJOIN("; ",TRUE,_xlfn._xlws.FILTER(MT_IDS,(MT_BASELINE=$A38)*(MT_APPLICABLE="Applicable"),"")))</f>
        <v/>
      </c>
      <c r="G38" s="48">
        <f>IF($A38="","",COUNTIFS(MT_BASELINE,$A38,MT_APPLICABLE,"Applicable"))</f>
        <v/>
      </c>
      <c r="H38" s="50">
        <f>IF($A38="","",IF(G38&gt;0,"Applicable","N/A"))</f>
        <v/>
      </c>
      <c r="I38" s="49" t="inlineStr">
        <is>
          <t>SAST</t>
        </is>
      </c>
      <c r="J38" s="49" t="inlineStr">
        <is>
          <t>Deterministic, continuous</t>
        </is>
      </c>
      <c r="K38" s="49" t="inlineStr">
        <is>
          <t>Pipeline</t>
        </is>
      </c>
      <c r="L38" s="49" t="inlineStr">
        <is>
          <t>Not assessed</t>
        </is>
      </c>
      <c r="M38" s="49" t="n"/>
      <c r="N38" s="49" t="n"/>
      <c r="O38" s="50" t="inlineStr">
        <is>
          <t>High</t>
        </is>
      </c>
      <c r="P38" s="50">
        <f>IF($A38="","",IF(H38="N/A","N/A",IFERROR(INDEX(CRIT_MATRIX,MATCH(O38,CRIT_MATRIX_ROWS,0),MATCH(APP_RISK_TIER,CRIT_MATRIX_COLS,0)),"")))</f>
        <v/>
      </c>
      <c r="Q38" s="49" t="n"/>
      <c r="R38" s="49" cm="1">
        <f t="array" ref="R38">IF($A38="","",COUNTIFS(tblThreatControls[Control ID],$A38,tblThreatControls[Threat applies],"Applies"))</f>
        <v/>
      </c>
      <c r="S38" s="49" cm="1">
        <f t="array" ref="S38">IF($A38="","",IF(R38=0,"",INDEX(RISK_SCALE_NAMES,_xlfn.MAXIFS(tblThreatControls[Threat risk score],tblThreatControls[Control ID],$A38))))</f>
        <v/>
      </c>
      <c r="T38" s="49" cm="1">
        <f t="array" ref="T38">IF($A38="","",IF(AND(H38="Applicable",OR(L38="Not assessed",L38=""),R38&gt;0),"Yes","No"))</f>
        <v/>
      </c>
      <c r="U38" s="49" cm="1">
        <f t="array" ref="U38">IF($A38="","",IF(AND(H38="Applicable",OR(L38="Gap",L38="Partial coverage")),INDEX(RISK_SCALE_NAMES,MAX(IFERROR(MATCH(P38,RISK_SCALE_NAMES,0),1),IFERROR(MATCH(S38,RISK_SCALE_NAMES,0),0))),""))</f>
        <v/>
      </c>
      <c r="V38" s="49" cm="1">
        <f t="array" ref="V38">IF($A38="","",_xlfn.TEXTJOIN("; ",TRUE,_xlfn._xlws.FILTER(tblThreatControls[Threat ID],(tblThreatControls[Control ID]=$A38)*(tblThreatControls[Threat applies]="Applies"),"")))</f>
        <v/>
      </c>
    </row>
    <row r="39" ht="90" customHeight="1" s="19">
      <c r="A39" s="49" t="inlineStr">
        <is>
          <t>HB-AUTHZ-03</t>
        </is>
      </c>
      <c r="B39" s="49" t="inlineStr">
        <is>
          <t>Access control</t>
        </is>
      </c>
      <c r="C39" s="48" cm="1">
        <f t="array" ref="C39">IF($A39="","",_xlfn.TEXTJOIN("; ",TRUE,_xlfn._xlws.FILTER(MT_IDS,MT_BASELINE=$A39,"")))</f>
        <v/>
      </c>
      <c r="D39" s="48">
        <f>IF($A39="","",_xlfn.MINIFS(MT_LEVEL,MT_BASELINE,$A39))</f>
        <v/>
      </c>
      <c r="E39" s="49" t="inlineStr">
        <is>
          <t>Contextual and delegated authorization (L3): environmental attributes used for security decisions (time, location, IP, device) are documented and adaptive controls enforce them at login and during the session; authorization changes apply immediately (or are detected and reverted); downstream services decide on the originating user's permissions, not the intermediary's.</t>
        </is>
      </c>
      <c r="F39" s="48" cm="1">
        <f t="array" ref="F39">IF($A39="","",_xlfn.TEXTJOIN("; ",TRUE,_xlfn._xlws.FILTER(MT_IDS,(MT_BASELINE=$A39)*(MT_APPLICABLE="Applicable"),"")))</f>
        <v/>
      </c>
      <c r="G39" s="48">
        <f>IF($A39="","",COUNTIFS(MT_BASELINE,$A39,MT_APPLICABLE,"Applicable"))</f>
        <v/>
      </c>
      <c r="H39" s="50">
        <f>IF($A39="","",IF(G39&gt;0,"Applicable","N/A"))</f>
        <v/>
      </c>
      <c r="I39" s="49" t="inlineStr">
        <is>
          <t>Architecture / documentation review</t>
        </is>
      </c>
      <c r="J39" s="49" t="inlineStr">
        <is>
          <t>Sampled, periodic</t>
        </is>
      </c>
      <c r="K39" s="49" t="inlineStr">
        <is>
          <t>Design/Governance</t>
        </is>
      </c>
      <c r="L39" s="49" t="inlineStr">
        <is>
          <t>Not assessed</t>
        </is>
      </c>
      <c r="M39" s="49" t="n"/>
      <c r="N39" s="49" t="n"/>
      <c r="O39" s="50" t="inlineStr">
        <is>
          <t>High</t>
        </is>
      </c>
      <c r="P39" s="50">
        <f>IF($A39="","",IF(H39="N/A","N/A",IFERROR(INDEX(CRIT_MATRIX,MATCH(O39,CRIT_MATRIX_ROWS,0),MATCH(APP_RISK_TIER,CRIT_MATRIX_COLS,0)),"")))</f>
        <v/>
      </c>
      <c r="Q39" s="49" t="n"/>
      <c r="R39" s="49" cm="1">
        <f t="array" ref="R39">IF($A39="","",COUNTIFS(tblThreatControls[Control ID],$A39,tblThreatControls[Threat applies],"Applies"))</f>
        <v/>
      </c>
      <c r="S39" s="49" cm="1">
        <f t="array" ref="S39">IF($A39="","",IF(R39=0,"",INDEX(RISK_SCALE_NAMES,_xlfn.MAXIFS(tblThreatControls[Threat risk score],tblThreatControls[Control ID],$A39))))</f>
        <v/>
      </c>
      <c r="T39" s="49" cm="1">
        <f t="array" ref="T39">IF($A39="","",IF(AND(H39="Applicable",OR(L39="Not assessed",L39=""),R39&gt;0),"Yes","No"))</f>
        <v/>
      </c>
      <c r="U39" s="49" cm="1">
        <f t="array" ref="U39">IF($A39="","",IF(AND(H39="Applicable",OR(L39="Gap",L39="Partial coverage")),INDEX(RISK_SCALE_NAMES,MAX(IFERROR(MATCH(P39,RISK_SCALE_NAMES,0),1),IFERROR(MATCH(S39,RISK_SCALE_NAMES,0),0))),""))</f>
        <v/>
      </c>
      <c r="V39" s="49" cm="1">
        <f t="array" ref="V39">IF($A39="","",_xlfn.TEXTJOIN("; ",TRUE,_xlfn._xlws.FILTER(tblThreatControls[Threat ID],(tblThreatControls[Control ID]=$A39)*(tblThreatControls[Threat applies]="Applies"),"")))</f>
        <v/>
      </c>
    </row>
    <row r="40" ht="90" customHeight="1" s="19">
      <c r="A40" s="49" t="inlineStr">
        <is>
          <t>HB-AUTHZ-04</t>
        </is>
      </c>
      <c r="B40" s="49" t="inlineStr">
        <is>
          <t>Access control</t>
        </is>
      </c>
      <c r="C40" s="48" cm="1">
        <f t="array" ref="C40">IF($A40="","",_xlfn.TEXTJOIN("; ",TRUE,_xlfn._xlws.FILTER(MT_IDS,MT_BASELINE=$A40,"")))</f>
        <v/>
      </c>
      <c r="D40" s="48">
        <f>IF($A40="","",_xlfn.MINIFS(MT_LEVEL,MT_BASELINE,$A40))</f>
        <v/>
      </c>
      <c r="E40" s="49" t="inlineStr">
        <is>
          <t>Multi-tenant isolation: cross-tenant controls guarantee that a consumer's operations never read or affect tenants they have no permission for.</t>
        </is>
      </c>
      <c r="F40" s="48" cm="1">
        <f t="array" ref="F40">IF($A40="","",_xlfn.TEXTJOIN("; ",TRUE,_xlfn._xlws.FILTER(MT_IDS,(MT_BASELINE=$A40)*(MT_APPLICABLE="Applicable"),"")))</f>
        <v/>
      </c>
      <c r="G40" s="48">
        <f>IF($A40="","",COUNTIFS(MT_BASELINE,$A40,MT_APPLICABLE,"Applicable"))</f>
        <v/>
      </c>
      <c r="H40" s="50">
        <f>IF($A40="","",IF(G40&gt;0,"Applicable","N/A"))</f>
        <v/>
      </c>
      <c r="I40" s="49" t="inlineStr">
        <is>
          <t>SAST + integration testing</t>
        </is>
      </c>
      <c r="J40" s="49" t="inlineStr">
        <is>
          <t>Deterministic, continuous</t>
        </is>
      </c>
      <c r="K40" s="49" t="inlineStr">
        <is>
          <t>Pipeline</t>
        </is>
      </c>
      <c r="L40" s="49" t="inlineStr">
        <is>
          <t>Not assessed</t>
        </is>
      </c>
      <c r="M40" s="49" t="n"/>
      <c r="N40" s="49" t="n"/>
      <c r="O40" s="50" t="inlineStr">
        <is>
          <t>High</t>
        </is>
      </c>
      <c r="P40" s="50">
        <f>IF($A40="","",IF(H40="N/A","N/A",IFERROR(INDEX(CRIT_MATRIX,MATCH(O40,CRIT_MATRIX_ROWS,0),MATCH(APP_RISK_TIER,CRIT_MATRIX_COLS,0)),"")))</f>
        <v/>
      </c>
      <c r="Q40" s="49" t="n"/>
      <c r="R40" s="49" cm="1">
        <f t="array" ref="R40">IF($A40="","",COUNTIFS(tblThreatControls[Control ID],$A40,tblThreatControls[Threat applies],"Applies"))</f>
        <v/>
      </c>
      <c r="S40" s="49" cm="1">
        <f t="array" ref="S40">IF($A40="","",IF(R40=0,"",INDEX(RISK_SCALE_NAMES,_xlfn.MAXIFS(tblThreatControls[Threat risk score],tblThreatControls[Control ID],$A40))))</f>
        <v/>
      </c>
      <c r="T40" s="49" cm="1">
        <f t="array" ref="T40">IF($A40="","",IF(AND(H40="Applicable",OR(L40="Not assessed",L40=""),R40&gt;0),"Yes","No"))</f>
        <v/>
      </c>
      <c r="U40" s="49" cm="1">
        <f t="array" ref="U40">IF($A40="","",IF(AND(H40="Applicable",OR(L40="Gap",L40="Partial coverage")),INDEX(RISK_SCALE_NAMES,MAX(IFERROR(MATCH(P40,RISK_SCALE_NAMES,0),1),IFERROR(MATCH(S40,RISK_SCALE_NAMES,0),0))),""))</f>
        <v/>
      </c>
      <c r="V40" s="49" cm="1">
        <f t="array" ref="V40">IF($A40="","",_xlfn.TEXTJOIN("; ",TRUE,_xlfn._xlws.FILTER(tblThreatControls[Threat ID],(tblThreatControls[Control ID]=$A40)*(tblThreatControls[Threat applies]="Applies"),"")))</f>
        <v/>
      </c>
    </row>
    <row r="41" ht="90" customHeight="1" s="19">
      <c r="A41" s="49" t="inlineStr">
        <is>
          <t>HB-AUTHZ-05</t>
        </is>
      </c>
      <c r="B41" s="49" t="inlineStr">
        <is>
          <t>Access control</t>
        </is>
      </c>
      <c r="C41" s="48" cm="1">
        <f t="array" ref="C41">IF($A41="","",_xlfn.TEXTJOIN("; ",TRUE,_xlfn._xlws.FILTER(MT_IDS,MT_BASELINE=$A41,"")))</f>
        <v/>
      </c>
      <c r="D41" s="48">
        <f>IF($A41="","",_xlfn.MINIFS(MT_LEVEL,MT_BASELINE,$A41))</f>
        <v/>
      </c>
      <c r="E41" s="49" t="inlineStr">
        <is>
          <t>Administrative interfaces: access to admin interfaces uses multiple layers of security (continuous identity verification, device posture, contextual risk); network location or a trusted endpoint is never the only factor.</t>
        </is>
      </c>
      <c r="F41" s="48" cm="1">
        <f t="array" ref="F41">IF($A41="","",_xlfn.TEXTJOIN("; ",TRUE,_xlfn._xlws.FILTER(MT_IDS,(MT_BASELINE=$A41)*(MT_APPLICABLE="Applicable"),"")))</f>
        <v/>
      </c>
      <c r="G41" s="48">
        <f>IF($A41="","",COUNTIFS(MT_BASELINE,$A41,MT_APPLICABLE,"Applicable"))</f>
        <v/>
      </c>
      <c r="H41" s="50">
        <f>IF($A41="","",IF(G41&gt;0,"Applicable","N/A"))</f>
        <v/>
      </c>
      <c r="I41" s="49" t="inlineStr">
        <is>
          <t>SAST + integration testing</t>
        </is>
      </c>
      <c r="J41" s="49" t="inlineStr">
        <is>
          <t>Deterministic, continuous</t>
        </is>
      </c>
      <c r="K41" s="49" t="inlineStr">
        <is>
          <t>Pipeline</t>
        </is>
      </c>
      <c r="L41" s="49" t="inlineStr">
        <is>
          <t>Not assessed</t>
        </is>
      </c>
      <c r="M41" s="49" t="n"/>
      <c r="N41" s="49" t="n"/>
      <c r="O41" s="50" t="inlineStr">
        <is>
          <t>High</t>
        </is>
      </c>
      <c r="P41" s="50">
        <f>IF($A41="","",IF(H41="N/A","N/A",IFERROR(INDEX(CRIT_MATRIX,MATCH(O41,CRIT_MATRIX_ROWS,0),MATCH(APP_RISK_TIER,CRIT_MATRIX_COLS,0)),"")))</f>
        <v/>
      </c>
      <c r="Q41" s="49" t="n"/>
      <c r="R41" s="49" cm="1">
        <f t="array" ref="R41">IF($A41="","",COUNTIFS(tblThreatControls[Control ID],$A41,tblThreatControls[Threat applies],"Applies"))</f>
        <v/>
      </c>
      <c r="S41" s="49" cm="1">
        <f t="array" ref="S41">IF($A41="","",IF(R41=0,"",INDEX(RISK_SCALE_NAMES,_xlfn.MAXIFS(tblThreatControls[Threat risk score],tblThreatControls[Control ID],$A41))))</f>
        <v/>
      </c>
      <c r="T41" s="49" cm="1">
        <f t="array" ref="T41">IF($A41="","",IF(AND(H41="Applicable",OR(L41="Not assessed",L41=""),R41&gt;0),"Yes","No"))</f>
        <v/>
      </c>
      <c r="U41" s="49" cm="1">
        <f t="array" ref="U41">IF($A41="","",IF(AND(H41="Applicable",OR(L41="Gap",L41="Partial coverage")),INDEX(RISK_SCALE_NAMES,MAX(IFERROR(MATCH(P41,RISK_SCALE_NAMES,0),1),IFERROR(MATCH(S41,RISK_SCALE_NAMES,0),0))),""))</f>
        <v/>
      </c>
      <c r="V41" s="49" cm="1">
        <f t="array" ref="V41">IF($A41="","",_xlfn.TEXTJOIN("; ",TRUE,_xlfn._xlws.FILTER(tblThreatControls[Threat ID],(tblThreatControls[Control ID]=$A41)*(tblThreatControls[Threat applies]="Applies"),"")))</f>
        <v/>
      </c>
    </row>
    <row r="42" ht="90" customHeight="1" s="19">
      <c r="A42" s="49" t="inlineStr">
        <is>
          <t>HB-OAUTH-01</t>
        </is>
      </c>
      <c r="B42" s="49" t="inlineStr">
        <is>
          <t>OAuth and OIDC</t>
        </is>
      </c>
      <c r="C42" s="48" cm="1">
        <f t="array" ref="C42">IF($A42="","",_xlfn.TEXTJOIN("; ",TRUE,_xlfn._xlws.FILTER(MT_IDS,MT_BASELINE=$A42,"")))</f>
        <v/>
      </c>
      <c r="D42" s="48">
        <f>IF($A42="","",_xlfn.MINIFS(MT_LEVEL,MT_BASELINE,$A42))</f>
        <v/>
      </c>
      <c r="E42" s="49" t="inlineStr">
        <is>
          <t>OAuth/OIDC client: tokens only reach components that need them (e.g. backend-for-frontend); flows are bound to the initiating session (PKCE, state, nonce); mix-up attacks are prevented (iss checked); only required scopes are requested; ID tokens are checked for nonce, audience and issuer metadata; users are identified by non-reassignable claims (sub); back-channel logout tokens are validated.</t>
        </is>
      </c>
      <c r="F42" s="48" cm="1">
        <f t="array" ref="F42">IF($A42="","",_xlfn.TEXTJOIN("; ",TRUE,_xlfn._xlws.FILTER(MT_IDS,(MT_BASELINE=$A42)*(MT_APPLICABLE="Applicable"),"")))</f>
        <v/>
      </c>
      <c r="G42" s="48">
        <f>IF($A42="","",COUNTIFS(MT_BASELINE,$A42,MT_APPLICABLE,"Applicable"))</f>
        <v/>
      </c>
      <c r="H42" s="50">
        <f>IF($A42="","",IF(G42&gt;0,"Applicable","N/A"))</f>
        <v/>
      </c>
      <c r="I42" s="49" t="inlineStr">
        <is>
          <t>SAST + integration testing</t>
        </is>
      </c>
      <c r="J42" s="49" t="inlineStr">
        <is>
          <t>Deterministic, continuous</t>
        </is>
      </c>
      <c r="K42" s="49" t="inlineStr">
        <is>
          <t>Pipeline</t>
        </is>
      </c>
      <c r="L42" s="49" t="inlineStr">
        <is>
          <t>Not assessed</t>
        </is>
      </c>
      <c r="M42" s="49" t="n"/>
      <c r="N42" s="49" t="n"/>
      <c r="O42" s="50" t="inlineStr">
        <is>
          <t>High</t>
        </is>
      </c>
      <c r="P42" s="50">
        <f>IF($A42="","",IF(H42="N/A","N/A",IFERROR(INDEX(CRIT_MATRIX,MATCH(O42,CRIT_MATRIX_ROWS,0),MATCH(APP_RISK_TIER,CRIT_MATRIX_COLS,0)),"")))</f>
        <v/>
      </c>
      <c r="Q42" s="49" t="n"/>
      <c r="R42" s="49" cm="1">
        <f t="array" ref="R42">IF($A42="","",COUNTIFS(tblThreatControls[Control ID],$A42,tblThreatControls[Threat applies],"Applies"))</f>
        <v/>
      </c>
      <c r="S42" s="49" cm="1">
        <f t="array" ref="S42">IF($A42="","",IF(R42=0,"",INDEX(RISK_SCALE_NAMES,_xlfn.MAXIFS(tblThreatControls[Threat risk score],tblThreatControls[Control ID],$A42))))</f>
        <v/>
      </c>
      <c r="T42" s="49" cm="1">
        <f t="array" ref="T42">IF($A42="","",IF(AND(H42="Applicable",OR(L42="Not assessed",L42=""),R42&gt;0),"Yes","No"))</f>
        <v/>
      </c>
      <c r="U42" s="49" cm="1">
        <f t="array" ref="U42">IF($A42="","",IF(AND(H42="Applicable",OR(L42="Gap",L42="Partial coverage")),INDEX(RISK_SCALE_NAMES,MAX(IFERROR(MATCH(P42,RISK_SCALE_NAMES,0),1),IFERROR(MATCH(S42,RISK_SCALE_NAMES,0),0))),""))</f>
        <v/>
      </c>
      <c r="V42" s="49" cm="1">
        <f t="array" ref="V42">IF($A42="","",_xlfn.TEXTJOIN("; ",TRUE,_xlfn._xlws.FILTER(tblThreatControls[Threat ID],(tblThreatControls[Control ID]=$A42)*(tblThreatControls[Threat applies]="Applies"),"")))</f>
        <v/>
      </c>
    </row>
    <row r="43" ht="90" customHeight="1" s="19">
      <c r="A43" s="49" t="inlineStr">
        <is>
          <t>HB-OAUTH-02</t>
        </is>
      </c>
      <c r="B43" s="49" t="inlineStr">
        <is>
          <t>OAuth and OIDC</t>
        </is>
      </c>
      <c r="C43" s="48" cm="1">
        <f t="array" ref="C43">IF($A43="","",_xlfn.TEXTJOIN("; ",TRUE,_xlfn._xlws.FILTER(MT_IDS,MT_BASELINE=$A43,"")))</f>
        <v/>
      </c>
      <c r="D43" s="48">
        <f>IF($A43="","",_xlfn.MINIFS(MT_LEVEL,MT_BASELINE,$A43))</f>
        <v/>
      </c>
      <c r="E43" s="49" t="inlineStr">
        <is>
          <t>OAuth resource server: only access tokens meant for this service (audience) are accepted; authorization uses the delegated claims (sub, scope, authorization_details); users are identified by iss + sub; required authentication strength is verified; L3: only sender-constrained tokens (mTLS or DPoP).</t>
        </is>
      </c>
      <c r="F43" s="48" cm="1">
        <f t="array" ref="F43">IF($A43="","",_xlfn.TEXTJOIN("; ",TRUE,_xlfn._xlws.FILTER(MT_IDS,(MT_BASELINE=$A43)*(MT_APPLICABLE="Applicable"),"")))</f>
        <v/>
      </c>
      <c r="G43" s="48">
        <f>IF($A43="","",COUNTIFS(MT_BASELINE,$A43,MT_APPLICABLE,"Applicable"))</f>
        <v/>
      </c>
      <c r="H43" s="50">
        <f>IF($A43="","",IF(G43&gt;0,"Applicable","N/A"))</f>
        <v/>
      </c>
      <c r="I43" s="49" t="inlineStr">
        <is>
          <t>SAST + integration testing</t>
        </is>
      </c>
      <c r="J43" s="49" t="inlineStr">
        <is>
          <t>Deterministic, continuous</t>
        </is>
      </c>
      <c r="K43" s="49" t="inlineStr">
        <is>
          <t>Pipeline</t>
        </is>
      </c>
      <c r="L43" s="49" t="inlineStr">
        <is>
          <t>Not assessed</t>
        </is>
      </c>
      <c r="M43" s="49" t="n"/>
      <c r="N43" s="49" t="n"/>
      <c r="O43" s="50" t="inlineStr">
        <is>
          <t>High</t>
        </is>
      </c>
      <c r="P43" s="50">
        <f>IF($A43="","",IF(H43="N/A","N/A",IFERROR(INDEX(CRIT_MATRIX,MATCH(O43,CRIT_MATRIX_ROWS,0),MATCH(APP_RISK_TIER,CRIT_MATRIX_COLS,0)),"")))</f>
        <v/>
      </c>
      <c r="Q43" s="49" t="n"/>
      <c r="R43" s="49" cm="1">
        <f t="array" ref="R43">IF($A43="","",COUNTIFS(tblThreatControls[Control ID],$A43,tblThreatControls[Threat applies],"Applies"))</f>
        <v/>
      </c>
      <c r="S43" s="49" cm="1">
        <f t="array" ref="S43">IF($A43="","",IF(R43=0,"",INDEX(RISK_SCALE_NAMES,_xlfn.MAXIFS(tblThreatControls[Threat risk score],tblThreatControls[Control ID],$A43))))</f>
        <v/>
      </c>
      <c r="T43" s="49" cm="1">
        <f t="array" ref="T43">IF($A43="","",IF(AND(H43="Applicable",OR(L43="Not assessed",L43=""),R43&gt;0),"Yes","No"))</f>
        <v/>
      </c>
      <c r="U43" s="49" cm="1">
        <f t="array" ref="U43">IF($A43="","",IF(AND(H43="Applicable",OR(L43="Gap",L43="Partial coverage")),INDEX(RISK_SCALE_NAMES,MAX(IFERROR(MATCH(P43,RISK_SCALE_NAMES,0),1),IFERROR(MATCH(S43,RISK_SCALE_NAMES,0),0))),""))</f>
        <v/>
      </c>
      <c r="V43" s="49" cm="1">
        <f t="array" ref="V43">IF($A43="","",_xlfn.TEXTJOIN("; ",TRUE,_xlfn._xlws.FILTER(tblThreatControls[Threat ID],(tblThreatControls[Control ID]=$A43)*(tblThreatControls[Threat applies]="Applies"),"")))</f>
        <v/>
      </c>
    </row>
    <row r="44" ht="90" customHeight="1" s="19">
      <c r="A44" s="49" t="inlineStr">
        <is>
          <t>HB-OAUTH-03</t>
        </is>
      </c>
      <c r="B44" s="49" t="inlineStr">
        <is>
          <t>OAuth and OIDC</t>
        </is>
      </c>
      <c r="C44" s="48" cm="1">
        <f t="array" ref="C44">IF($A44="","",_xlfn.TEXTJOIN("; ",TRUE,_xlfn._xlws.FILTER(MT_IDS,MT_BASELINE=$A44,"")))</f>
        <v/>
      </c>
      <c r="D44" s="48">
        <f>IF($A44="","",_xlfn.MINIFS(MT_LEVEL,MT_BASELINE,$A44))</f>
        <v/>
      </c>
      <c r="E44" s="49" t="inlineStr">
        <is>
          <t>Authorization server / OpenID Provider (only when the application plays this role — otherwise set N/A with a note): exact redirect-URI matching; single-use, short-lived authorization codes; PKCE (S256) required; only the grants, response modes and scopes each client needs (no implicit or password grant); refresh-token replay protection, absolute expiry and revocation; confidential clients authenticated; dynamic registration controlled; explicit, informed and revocable user consent; forced-logout DoS mitigated; L3: PAR, sender-constrained tokens and strong client authentication.</t>
        </is>
      </c>
      <c r="F44" s="48" cm="1">
        <f t="array" ref="F44">IF($A44="","",_xlfn.TEXTJOIN("; ",TRUE,_xlfn._xlws.FILTER(MT_IDS,(MT_BASELINE=$A44)*(MT_APPLICABLE="Applicable"),"")))</f>
        <v/>
      </c>
      <c r="G44" s="48">
        <f>IF($A44="","",COUNTIFS(MT_BASELINE,$A44,MT_APPLICABLE,"Applicable"))</f>
        <v/>
      </c>
      <c r="H44" s="50">
        <f>IF($A44="","",IF(G44&gt;0,"Applicable","N/A"))</f>
        <v/>
      </c>
      <c r="I44" s="49" t="inlineStr">
        <is>
          <t>SAST + integration testing</t>
        </is>
      </c>
      <c r="J44" s="49" t="inlineStr">
        <is>
          <t>Deterministic, continuous</t>
        </is>
      </c>
      <c r="K44" s="49" t="inlineStr">
        <is>
          <t>Pipeline</t>
        </is>
      </c>
      <c r="L44" s="49" t="inlineStr">
        <is>
          <t>Not assessed</t>
        </is>
      </c>
      <c r="M44" s="49" t="n"/>
      <c r="N44" s="49" t="n"/>
      <c r="O44" s="50" t="inlineStr">
        <is>
          <t>High</t>
        </is>
      </c>
      <c r="P44" s="50">
        <f>IF($A44="","",IF(H44="N/A","N/A",IFERROR(INDEX(CRIT_MATRIX,MATCH(O44,CRIT_MATRIX_ROWS,0),MATCH(APP_RISK_TIER,CRIT_MATRIX_COLS,0)),"")))</f>
        <v/>
      </c>
      <c r="Q44" s="49" t="n"/>
      <c r="R44" s="49" cm="1">
        <f t="array" ref="R44">IF($A44="","",COUNTIFS(tblThreatControls[Control ID],$A44,tblThreatControls[Threat applies],"Applies"))</f>
        <v/>
      </c>
      <c r="S44" s="49" cm="1">
        <f t="array" ref="S44">IF($A44="","",IF(R44=0,"",INDEX(RISK_SCALE_NAMES,_xlfn.MAXIFS(tblThreatControls[Threat risk score],tblThreatControls[Control ID],$A44))))</f>
        <v/>
      </c>
      <c r="T44" s="49" cm="1">
        <f t="array" ref="T44">IF($A44="","",IF(AND(H44="Applicable",OR(L44="Not assessed",L44=""),R44&gt;0),"Yes","No"))</f>
        <v/>
      </c>
      <c r="U44" s="49" cm="1">
        <f t="array" ref="U44">IF($A44="","",IF(AND(H44="Applicable",OR(L44="Gap",L44="Partial coverage")),INDEX(RISK_SCALE_NAMES,MAX(IFERROR(MATCH(P44,RISK_SCALE_NAMES,0),1),IFERROR(MATCH(S44,RISK_SCALE_NAMES,0),0))),""))</f>
        <v/>
      </c>
      <c r="V44" s="49" cm="1">
        <f t="array" ref="V44">IF($A44="","",_xlfn.TEXTJOIN("; ",TRUE,_xlfn._xlws.FILTER(tblThreatControls[Threat ID],(tblThreatControls[Control ID]=$A44)*(tblThreatControls[Threat applies]="Applies"),"")))</f>
        <v/>
      </c>
    </row>
    <row r="45" ht="90" customHeight="1" s="19">
      <c r="A45" s="49" t="inlineStr">
        <is>
          <t>HB-CRYPTO-01</t>
        </is>
      </c>
      <c r="B45" s="49" t="inlineStr">
        <is>
          <t>Cryptography</t>
        </is>
      </c>
      <c r="C45" s="48" cm="1">
        <f t="array" ref="C45">IF($A45="","",_xlfn.TEXTJOIN("; ",TRUE,_xlfn._xlws.FILTER(MT_IDS,MT_BASELINE=$A45,"")))</f>
        <v/>
      </c>
      <c r="D45" s="48">
        <f>IF($A45="","",_xlfn.MINIFS(MT_LEVEL,MT_BASELINE,$A45))</f>
        <v/>
      </c>
      <c r="E45" s="49" t="inlineStr">
        <is>
          <t>Cryptographic inventory and key management: a documented key-management policy and lifecycle (e.g. NIST SP 800-57) and an up-to-date inventory of keys, algorithms and certificates exist; the design is crypto-agile (algorithms and keys replaceable, data re-encryptable); L3: cryptographic discovery and a post-quantum migration plan.</t>
        </is>
      </c>
      <c r="F45" s="48" cm="1">
        <f t="array" ref="F45">IF($A45="","",_xlfn.TEXTJOIN("; ",TRUE,_xlfn._xlws.FILTER(MT_IDS,(MT_BASELINE=$A45)*(MT_APPLICABLE="Applicable"),"")))</f>
        <v/>
      </c>
      <c r="G45" s="48">
        <f>IF($A45="","",COUNTIFS(MT_BASELINE,$A45,MT_APPLICABLE,"Applicable"))</f>
        <v/>
      </c>
      <c r="H45" s="50">
        <f>IF($A45="","",IF(G45&gt;0,"Applicable","N/A"))</f>
        <v/>
      </c>
      <c r="I45" s="49" t="inlineStr">
        <is>
          <t>Architecture / documentation review</t>
        </is>
      </c>
      <c r="J45" s="49" t="inlineStr">
        <is>
          <t>Sampled, periodic</t>
        </is>
      </c>
      <c r="K45" s="49" t="inlineStr">
        <is>
          <t>Design/Governance</t>
        </is>
      </c>
      <c r="L45" s="49" t="inlineStr">
        <is>
          <t>Not assessed</t>
        </is>
      </c>
      <c r="M45" s="49" t="n"/>
      <c r="N45" s="49" t="n"/>
      <c r="O45" s="50" t="inlineStr">
        <is>
          <t>High</t>
        </is>
      </c>
      <c r="P45" s="50">
        <f>IF($A45="","",IF(H45="N/A","N/A",IFERROR(INDEX(CRIT_MATRIX,MATCH(O45,CRIT_MATRIX_ROWS,0),MATCH(APP_RISK_TIER,CRIT_MATRIX_COLS,0)),"")))</f>
        <v/>
      </c>
      <c r="Q45" s="49" t="n"/>
      <c r="R45" s="49" cm="1">
        <f t="array" ref="R45">IF($A45="","",COUNTIFS(tblThreatControls[Control ID],$A45,tblThreatControls[Threat applies],"Applies"))</f>
        <v/>
      </c>
      <c r="S45" s="49" cm="1">
        <f t="array" ref="S45">IF($A45="","",IF(R45=0,"",INDEX(RISK_SCALE_NAMES,_xlfn.MAXIFS(tblThreatControls[Threat risk score],tblThreatControls[Control ID],$A45))))</f>
        <v/>
      </c>
      <c r="T45" s="49" cm="1">
        <f t="array" ref="T45">IF($A45="","",IF(AND(H45="Applicable",OR(L45="Not assessed",L45=""),R45&gt;0),"Yes","No"))</f>
        <v/>
      </c>
      <c r="U45" s="49" cm="1">
        <f t="array" ref="U45">IF($A45="","",IF(AND(H45="Applicable",OR(L45="Gap",L45="Partial coverage")),INDEX(RISK_SCALE_NAMES,MAX(IFERROR(MATCH(P45,RISK_SCALE_NAMES,0),1),IFERROR(MATCH(S45,RISK_SCALE_NAMES,0),0))),""))</f>
        <v/>
      </c>
      <c r="V45" s="49" cm="1">
        <f t="array" ref="V45">IF($A45="","",_xlfn.TEXTJOIN("; ",TRUE,_xlfn._xlws.FILTER(tblThreatControls[Threat ID],(tblThreatControls[Control ID]=$A45)*(tblThreatControls[Threat applies]="Applies"),"")))</f>
        <v/>
      </c>
    </row>
    <row r="46" ht="90" customHeight="1" s="19">
      <c r="A46" s="49" t="inlineStr">
        <is>
          <t>HB-CRYPTO-02</t>
        </is>
      </c>
      <c r="B46" s="49" t="inlineStr">
        <is>
          <t>Cryptography</t>
        </is>
      </c>
      <c r="C46" s="48" cm="1">
        <f t="array" ref="C46">IF($A46="","",_xlfn.TEXTJOIN("; ",TRUE,_xlfn._xlws.FILTER(MT_IDS,MT_BASELINE=$A46,"")))</f>
        <v/>
      </c>
      <c r="D46" s="48">
        <f>IF($A46="","",_xlfn.MINIFS(MT_LEVEL,MT_BASELINE,$A46))</f>
        <v/>
      </c>
      <c r="E46" s="49" t="inlineStr">
        <is>
          <t>Approved algorithms and implementations: only industry-validated libraries; at least 128-bit security; approved ciphers and modes (e.g. AES-GCM) with authenticated encryption — no ECB or weak padding, no reused nonces/IVs, encrypt-then-MAC when combining; approved hash functions (no MD5/SHA-1 for security); approved key generation, signatures and key exchange; non-guessable values from a CSPRNG with &gt;= 128 bits; L3: constant-time operations and secure failure (no padding oracles).</t>
        </is>
      </c>
      <c r="F46" s="48" cm="1">
        <f t="array" ref="F46">IF($A46="","",_xlfn.TEXTJOIN("; ",TRUE,_xlfn._xlws.FILTER(MT_IDS,(MT_BASELINE=$A46)*(MT_APPLICABLE="Applicable"),"")))</f>
        <v/>
      </c>
      <c r="G46" s="48">
        <f>IF($A46="","",COUNTIFS(MT_BASELINE,$A46,MT_APPLICABLE,"Applicable"))</f>
        <v/>
      </c>
      <c r="H46" s="50">
        <f>IF($A46="","",IF(G46&gt;0,"Applicable","N/A"))</f>
        <v/>
      </c>
      <c r="I46" s="49" t="inlineStr">
        <is>
          <t>SAST (crypto rules) + configuration review</t>
        </is>
      </c>
      <c r="J46" s="49" t="inlineStr">
        <is>
          <t>Deterministic, continuous</t>
        </is>
      </c>
      <c r="K46" s="49" t="inlineStr">
        <is>
          <t>Pipeline</t>
        </is>
      </c>
      <c r="L46" s="49" t="inlineStr">
        <is>
          <t>Not assessed</t>
        </is>
      </c>
      <c r="M46" s="49" t="n"/>
      <c r="N46" s="49" t="n"/>
      <c r="O46" s="50" t="inlineStr">
        <is>
          <t>High</t>
        </is>
      </c>
      <c r="P46" s="50">
        <f>IF($A46="","",IF(H46="N/A","N/A",IFERROR(INDEX(CRIT_MATRIX,MATCH(O46,CRIT_MATRIX_ROWS,0),MATCH(APP_RISK_TIER,CRIT_MATRIX_COLS,0)),"")))</f>
        <v/>
      </c>
      <c r="Q46" s="49" t="n"/>
      <c r="R46" s="49" cm="1">
        <f t="array" ref="R46">IF($A46="","",COUNTIFS(tblThreatControls[Control ID],$A46,tblThreatControls[Threat applies],"Applies"))</f>
        <v/>
      </c>
      <c r="S46" s="49" cm="1">
        <f t="array" ref="S46">IF($A46="","",IF(R46=0,"",INDEX(RISK_SCALE_NAMES,_xlfn.MAXIFS(tblThreatControls[Threat risk score],tblThreatControls[Control ID],$A46))))</f>
        <v/>
      </c>
      <c r="T46" s="49" cm="1">
        <f t="array" ref="T46">IF($A46="","",IF(AND(H46="Applicable",OR(L46="Not assessed",L46=""),R46&gt;0),"Yes","No"))</f>
        <v/>
      </c>
      <c r="U46" s="49" cm="1">
        <f t="array" ref="U46">IF($A46="","",IF(AND(H46="Applicable",OR(L46="Gap",L46="Partial coverage")),INDEX(RISK_SCALE_NAMES,MAX(IFERROR(MATCH(P46,RISK_SCALE_NAMES,0),1),IFERROR(MATCH(S46,RISK_SCALE_NAMES,0),0))),""))</f>
        <v/>
      </c>
      <c r="V46" s="49" cm="1">
        <f t="array" ref="V46">IF($A46="","",_xlfn.TEXTJOIN("; ",TRUE,_xlfn._xlws.FILTER(tblThreatControls[Threat ID],(tblThreatControls[Control ID]=$A46)*(tblThreatControls[Threat applies]="Applies"),"")))</f>
        <v/>
      </c>
    </row>
    <row r="47" ht="90" customHeight="1" s="19">
      <c r="A47" s="49" t="inlineStr">
        <is>
          <t>HB-TLS-01</t>
        </is>
      </c>
      <c r="B47" s="49" t="inlineStr">
        <is>
          <t>Communication (TLS)</t>
        </is>
      </c>
      <c r="C47" s="48" cm="1">
        <f t="array" ref="C47">IF($A47="","",_xlfn.TEXTJOIN("; ",TRUE,_xlfn._xlws.FILTER(MT_IDS,MT_BASELINE=$A47,"")))</f>
        <v/>
      </c>
      <c r="D47" s="48">
        <f>IF($A47="","",_xlfn.MINIFS(MT_LEVEL,MT_BASELINE,$A47))</f>
        <v/>
      </c>
      <c r="E47" s="49" t="inlineStr">
        <is>
          <t>TLS for client-facing services: all external, HTTP-based connectivity uses TLS with no fallback to cleartext; only TLS 1.2/1.3 (1.3 preferred) and recommended cipher suites (L3: forward secrecy only); publicly trusted certificates; L3: certificate revocation checking (e.g. OCSP stapling).</t>
        </is>
      </c>
      <c r="F47" s="48" cm="1">
        <f t="array" ref="F47">IF($A47="","",_xlfn.TEXTJOIN("; ",TRUE,_xlfn._xlws.FILTER(MT_IDS,(MT_BASELINE=$A47)*(MT_APPLICABLE="Applicable"),"")))</f>
        <v/>
      </c>
      <c r="G47" s="48">
        <f>IF($A47="","",COUNTIFS(MT_BASELINE,$A47,MT_APPLICABLE,"Applicable"))</f>
        <v/>
      </c>
      <c r="H47" s="50">
        <f>IF($A47="","",IF(G47&gt;0,"Applicable","N/A"))</f>
        <v/>
      </c>
      <c r="I47" s="49" t="inlineStr">
        <is>
          <t>Configuration scanner / DAST</t>
        </is>
      </c>
      <c r="J47" s="49" t="inlineStr">
        <is>
          <t>Deterministic, continuous</t>
        </is>
      </c>
      <c r="K47" s="49" t="inlineStr">
        <is>
          <t>Pipeline</t>
        </is>
      </c>
      <c r="L47" s="49" t="inlineStr">
        <is>
          <t>Not assessed</t>
        </is>
      </c>
      <c r="M47" s="49" t="n"/>
      <c r="N47" s="49" t="n"/>
      <c r="O47" s="50" t="inlineStr">
        <is>
          <t>Medium</t>
        </is>
      </c>
      <c r="P47" s="50">
        <f>IF($A47="","",IF(H47="N/A","N/A",IFERROR(INDEX(CRIT_MATRIX,MATCH(O47,CRIT_MATRIX_ROWS,0),MATCH(APP_RISK_TIER,CRIT_MATRIX_COLS,0)),"")))</f>
        <v/>
      </c>
      <c r="Q47" s="49" t="n"/>
      <c r="R47" s="49" cm="1">
        <f t="array" ref="R47">IF($A47="","",COUNTIFS(tblThreatControls[Control ID],$A47,tblThreatControls[Threat applies],"Applies"))</f>
        <v/>
      </c>
      <c r="S47" s="49" cm="1">
        <f t="array" ref="S47">IF($A47="","",IF(R47=0,"",INDEX(RISK_SCALE_NAMES,_xlfn.MAXIFS(tblThreatControls[Threat risk score],tblThreatControls[Control ID],$A47))))</f>
        <v/>
      </c>
      <c r="T47" s="49" cm="1">
        <f t="array" ref="T47">IF($A47="","",IF(AND(H47="Applicable",OR(L47="Not assessed",L47=""),R47&gt;0),"Yes","No"))</f>
        <v/>
      </c>
      <c r="U47" s="49" cm="1">
        <f t="array" ref="U47">IF($A47="","",IF(AND(H47="Applicable",OR(L47="Gap",L47="Partial coverage")),INDEX(RISK_SCALE_NAMES,MAX(IFERROR(MATCH(P47,RISK_SCALE_NAMES,0),1),IFERROR(MATCH(S47,RISK_SCALE_NAMES,0),0))),""))</f>
        <v/>
      </c>
      <c r="V47" s="49" cm="1">
        <f t="array" ref="V47">IF($A47="","",_xlfn.TEXTJOIN("; ",TRUE,_xlfn._xlws.FILTER(tblThreatControls[Threat ID],(tblThreatControls[Control ID]=$A47)*(tblThreatControls[Threat applies]="Applies"),"")))</f>
        <v/>
      </c>
    </row>
    <row r="48" ht="90" customHeight="1" s="19">
      <c r="A48" s="49" t="inlineStr">
        <is>
          <t>HB-TLS-02</t>
        </is>
      </c>
      <c r="B48" s="49" t="inlineStr">
        <is>
          <t>Communication (TLS)</t>
        </is>
      </c>
      <c r="C48" s="48" cm="1">
        <f t="array" ref="C48">IF($A48="","",_xlfn.TEXTJOIN("; ",TRUE,_xlfn._xlws.FILTER(MT_IDS,MT_BASELINE=$A48,"")))</f>
        <v/>
      </c>
      <c r="D48" s="48">
        <f>IF($A48="","",_xlfn.MINIFS(MT_LEVEL,MT_BASELINE,$A48))</f>
        <v/>
      </c>
      <c r="E48" s="49" t="inlineStr">
        <is>
          <t>Encryption and authentication between services: every inbound and outbound connection (databases, middleware, internal services, monitoring, partners, management access) is encrypted with no cleartext fallback; TLS clients validate certificates and trust only specific internal CAs; mTLS client certificates are validated before use; L3: strong mutual authentication between services.</t>
        </is>
      </c>
      <c r="F48" s="48" cm="1">
        <f t="array" ref="F48">IF($A48="","",_xlfn.TEXTJOIN("; ",TRUE,_xlfn._xlws.FILTER(MT_IDS,(MT_BASELINE=$A48)*(MT_APPLICABLE="Applicable"),"")))</f>
        <v/>
      </c>
      <c r="G48" s="48">
        <f>IF($A48="","",COUNTIFS(MT_BASELINE,$A48,MT_APPLICABLE,"Applicable"))</f>
        <v/>
      </c>
      <c r="H48" s="50">
        <f>IF($A48="","",IF(G48&gt;0,"Applicable","N/A"))</f>
        <v/>
      </c>
      <c r="I48" s="49" t="inlineStr">
        <is>
          <t>Configuration scanner / DAST</t>
        </is>
      </c>
      <c r="J48" s="49" t="inlineStr">
        <is>
          <t>Deterministic, continuous</t>
        </is>
      </c>
      <c r="K48" s="49" t="inlineStr">
        <is>
          <t>Pipeline</t>
        </is>
      </c>
      <c r="L48" s="49" t="inlineStr">
        <is>
          <t>Not assessed</t>
        </is>
      </c>
      <c r="M48" s="49" t="n"/>
      <c r="N48" s="49" t="n"/>
      <c r="O48" s="50" t="inlineStr">
        <is>
          <t>Medium</t>
        </is>
      </c>
      <c r="P48" s="50">
        <f>IF($A48="","",IF(H48="N/A","N/A",IFERROR(INDEX(CRIT_MATRIX,MATCH(O48,CRIT_MATRIX_ROWS,0),MATCH(APP_RISK_TIER,CRIT_MATRIX_COLS,0)),"")))</f>
        <v/>
      </c>
      <c r="Q48" s="49" t="n"/>
      <c r="R48" s="49" cm="1">
        <f t="array" ref="R48">IF($A48="","",COUNTIFS(tblThreatControls[Control ID],$A48,tblThreatControls[Threat applies],"Applies"))</f>
        <v/>
      </c>
      <c r="S48" s="49" cm="1">
        <f t="array" ref="S48">IF($A48="","",IF(R48=0,"",INDEX(RISK_SCALE_NAMES,_xlfn.MAXIFS(tblThreatControls[Threat risk score],tblThreatControls[Control ID],$A48))))</f>
        <v/>
      </c>
      <c r="T48" s="49" cm="1">
        <f t="array" ref="T48">IF($A48="","",IF(AND(H48="Applicable",OR(L48="Not assessed",L48=""),R48&gt;0),"Yes","No"))</f>
        <v/>
      </c>
      <c r="U48" s="49" cm="1">
        <f t="array" ref="U48">IF($A48="","",IF(AND(H48="Applicable",OR(L48="Gap",L48="Partial coverage")),INDEX(RISK_SCALE_NAMES,MAX(IFERROR(MATCH(P48,RISK_SCALE_NAMES,0),1),IFERROR(MATCH(S48,RISK_SCALE_NAMES,0),0))),""))</f>
        <v/>
      </c>
      <c r="V48" s="49" cm="1">
        <f t="array" ref="V48">IF($A48="","",_xlfn.TEXTJOIN("; ",TRUE,_xlfn._xlws.FILTER(tblThreatControls[Threat ID],(tblThreatControls[Control ID]=$A48)*(tblThreatControls[Threat applies]="Applies"),"")))</f>
        <v/>
      </c>
    </row>
    <row r="49" ht="90" customHeight="1" s="19">
      <c r="A49" s="49" t="inlineStr">
        <is>
          <t>HB-CFG-01</t>
        </is>
      </c>
      <c r="B49" s="49" t="inlineStr">
        <is>
          <t>Configuration</t>
        </is>
      </c>
      <c r="C49" s="48" cm="1">
        <f t="array" ref="C49">IF($A49="","",_xlfn.TEXTJOIN("; ",TRUE,_xlfn._xlws.FILTER(MT_IDS,MT_BASELINE=$A49,"")))</f>
        <v/>
      </c>
      <c r="D49" s="48">
        <f>IF($A49="","",_xlfn.MINIFS(MT_LEVEL,MT_BASELINE,$A49))</f>
        <v/>
      </c>
      <c r="E49" s="49" t="inlineStr">
        <is>
          <t>Service accounts and backend authentication: communication between backend components (APIs, middleware, data layers, OS services) is authenticated with individual service accounts, short-lived tokens or certificates — never shared or static privileged credentials — and each account has the least privilege needed.</t>
        </is>
      </c>
      <c r="F49" s="48" cm="1">
        <f t="array" ref="F49">IF($A49="","",_xlfn.TEXTJOIN("; ",TRUE,_xlfn._xlws.FILTER(MT_IDS,(MT_BASELINE=$A49)*(MT_APPLICABLE="Applicable"),"")))</f>
        <v/>
      </c>
      <c r="G49" s="48">
        <f>IF($A49="","",COUNTIFS(MT_BASELINE,$A49,MT_APPLICABLE,"Applicable"))</f>
        <v/>
      </c>
      <c r="H49" s="50">
        <f>IF($A49="","",IF(G49&gt;0,"Applicable","N/A"))</f>
        <v/>
      </c>
      <c r="I49" s="49" t="inlineStr">
        <is>
          <t>IaC scanning + configuration review</t>
        </is>
      </c>
      <c r="J49" s="49" t="inlineStr">
        <is>
          <t>Deterministic, continuous</t>
        </is>
      </c>
      <c r="K49" s="49" t="inlineStr">
        <is>
          <t>Pipeline</t>
        </is>
      </c>
      <c r="L49" s="49" t="inlineStr">
        <is>
          <t>Not assessed</t>
        </is>
      </c>
      <c r="M49" s="49" t="n"/>
      <c r="N49" s="49" t="n"/>
      <c r="O49" s="50" t="inlineStr">
        <is>
          <t>Low</t>
        </is>
      </c>
      <c r="P49" s="50">
        <f>IF($A49="","",IF(H49="N/A","N/A",IFERROR(INDEX(CRIT_MATRIX,MATCH(O49,CRIT_MATRIX_ROWS,0),MATCH(APP_RISK_TIER,CRIT_MATRIX_COLS,0)),"")))</f>
        <v/>
      </c>
      <c r="Q49" s="49" t="n"/>
      <c r="R49" s="49" cm="1">
        <f t="array" ref="R49">IF($A49="","",COUNTIFS(tblThreatControls[Control ID],$A49,tblThreatControls[Threat applies],"Applies"))</f>
        <v/>
      </c>
      <c r="S49" s="49" cm="1">
        <f t="array" ref="S49">IF($A49="","",IF(R49=0,"",INDEX(RISK_SCALE_NAMES,_xlfn.MAXIFS(tblThreatControls[Threat risk score],tblThreatControls[Control ID],$A49))))</f>
        <v/>
      </c>
      <c r="T49" s="49" cm="1">
        <f t="array" ref="T49">IF($A49="","",IF(AND(H49="Applicable",OR(L49="Not assessed",L49=""),R49&gt;0),"Yes","No"))</f>
        <v/>
      </c>
      <c r="U49" s="49" cm="1">
        <f t="array" ref="U49">IF($A49="","",IF(AND(H49="Applicable",OR(L49="Gap",L49="Partial coverage")),INDEX(RISK_SCALE_NAMES,MAX(IFERROR(MATCH(P49,RISK_SCALE_NAMES,0),1),IFERROR(MATCH(S49,RISK_SCALE_NAMES,0),0))),""))</f>
        <v/>
      </c>
      <c r="V49" s="49" cm="1">
        <f t="array" ref="V49">IF($A49="","",_xlfn.TEXTJOIN("; ",TRUE,_xlfn._xlws.FILTER(tblThreatControls[Threat ID],(tblThreatControls[Control ID]=$A49)*(tblThreatControls[Threat applies]="Applies"),"")))</f>
        <v/>
      </c>
    </row>
    <row r="50" ht="90" customHeight="1" s="19">
      <c r="A50" s="49" t="inlineStr">
        <is>
          <t>HB-CFG-02</t>
        </is>
      </c>
      <c r="B50" s="49" t="inlineStr">
        <is>
          <t>Configuration</t>
        </is>
      </c>
      <c r="C50" s="48" cm="1">
        <f t="array" ref="C50">IF($A50="","",_xlfn.TEXTJOIN("; ",TRUE,_xlfn._xlws.FILTER(MT_IDS,MT_BASELINE=$A50,"")))</f>
        <v/>
      </c>
      <c r="D50" s="48">
        <f>IF($A50="","",_xlfn.MINIFS(MT_LEVEL,MT_BASELINE,$A50))</f>
        <v/>
      </c>
      <c r="E50" s="49" t="inlineStr">
        <is>
          <t>Secrets management: backend secrets (passwords, keys, API tokens, TOTP seeds) live in a secrets manager, never in source code or build artifacts; access follows least privilege; critical secrets are documented with a rotation schedule and expire/rotate accordingly; L3: hardware-backed (HSM) and key material never leaves the security module.</t>
        </is>
      </c>
      <c r="F50" s="48" cm="1">
        <f t="array" ref="F50">IF($A50="","",_xlfn.TEXTJOIN("; ",TRUE,_xlfn._xlws.FILTER(MT_IDS,(MT_BASELINE=$A50)*(MT_APPLICABLE="Applicable"),"")))</f>
        <v/>
      </c>
      <c r="G50" s="48">
        <f>IF($A50="","",COUNTIFS(MT_BASELINE,$A50,MT_APPLICABLE,"Applicable"))</f>
        <v/>
      </c>
      <c r="H50" s="50">
        <f>IF($A50="","",IF(G50&gt;0,"Applicable","N/A"))</f>
        <v/>
      </c>
      <c r="I50" s="49" t="inlineStr">
        <is>
          <t>IaC scanning + configuration review</t>
        </is>
      </c>
      <c r="J50" s="49" t="inlineStr">
        <is>
          <t>Deterministic, continuous</t>
        </is>
      </c>
      <c r="K50" s="49" t="inlineStr">
        <is>
          <t>Pipeline</t>
        </is>
      </c>
      <c r="L50" s="49" t="inlineStr">
        <is>
          <t>Not assessed</t>
        </is>
      </c>
      <c r="M50" s="49" t="n"/>
      <c r="N50" s="49" t="n"/>
      <c r="O50" s="50" t="inlineStr">
        <is>
          <t>Low</t>
        </is>
      </c>
      <c r="P50" s="50">
        <f>IF($A50="","",IF(H50="N/A","N/A",IFERROR(INDEX(CRIT_MATRIX,MATCH(O50,CRIT_MATRIX_ROWS,0),MATCH(APP_RISK_TIER,CRIT_MATRIX_COLS,0)),"")))</f>
        <v/>
      </c>
      <c r="Q50" s="49" t="n"/>
      <c r="R50" s="49" cm="1">
        <f t="array" ref="R50">IF($A50="","",COUNTIFS(tblThreatControls[Control ID],$A50,tblThreatControls[Threat applies],"Applies"))</f>
        <v/>
      </c>
      <c r="S50" s="49" cm="1">
        <f t="array" ref="S50">IF($A50="","",IF(R50=0,"",INDEX(RISK_SCALE_NAMES,_xlfn.MAXIFS(tblThreatControls[Threat risk score],tblThreatControls[Control ID],$A50))))</f>
        <v/>
      </c>
      <c r="T50" s="49" cm="1">
        <f t="array" ref="T50">IF($A50="","",IF(AND(H50="Applicable",OR(L50="Not assessed",L50=""),R50&gt;0),"Yes","No"))</f>
        <v/>
      </c>
      <c r="U50" s="49" cm="1">
        <f t="array" ref="U50">IF($A50="","",IF(AND(H50="Applicable",OR(L50="Gap",L50="Partial coverage")),INDEX(RISK_SCALE_NAMES,MAX(IFERROR(MATCH(P50,RISK_SCALE_NAMES,0),1),IFERROR(MATCH(S50,RISK_SCALE_NAMES,0),0))),""))</f>
        <v/>
      </c>
      <c r="V50" s="49" cm="1">
        <f t="array" ref="V50">IF($A50="","",_xlfn.TEXTJOIN("; ",TRUE,_xlfn._xlws.FILTER(tblThreatControls[Threat ID],(tblThreatControls[Control ID]=$A50)*(tblThreatControls[Threat applies]="Applies"),"")))</f>
        <v/>
      </c>
    </row>
    <row r="51" ht="90" customHeight="1" s="19">
      <c r="A51" s="49" t="inlineStr">
        <is>
          <t>HB-CFG-03</t>
        </is>
      </c>
      <c r="B51" s="49" t="inlineStr">
        <is>
          <t>Configuration</t>
        </is>
      </c>
      <c r="C51" s="48" cm="1">
        <f t="array" ref="C51">IF($A51="","",_xlfn.TEXTJOIN("; ",TRUE,_xlfn._xlws.FILTER(MT_IDS,MT_BASELINE=$A51,"")))</f>
        <v/>
      </c>
      <c r="D51" s="48">
        <f>IF($A51="","",_xlfn.MINIFS(MT_LEVEL,MT_BASELINE,$A51))</f>
        <v/>
      </c>
      <c r="E51" s="49" t="inlineStr">
        <is>
          <t>Minimal production surface, no information leakage: no source-control metadata, debug modes, directory listings, TRACE method, test code or sample/development features in production; internal documentation and monitoring endpoints not exposed unless intended; L3: no detailed version banners and only expected file extensions served.</t>
        </is>
      </c>
      <c r="F51" s="48" cm="1">
        <f t="array" ref="F51">IF($A51="","",_xlfn.TEXTJOIN("; ",TRUE,_xlfn._xlws.FILTER(MT_IDS,(MT_BASELINE=$A51)*(MT_APPLICABLE="Applicable"),"")))</f>
        <v/>
      </c>
      <c r="G51" s="48">
        <f>IF($A51="","",COUNTIFS(MT_BASELINE,$A51,MT_APPLICABLE,"Applicable"))</f>
        <v/>
      </c>
      <c r="H51" s="50">
        <f>IF($A51="","",IF(G51&gt;0,"Applicable","N/A"))</f>
        <v/>
      </c>
      <c r="I51" s="49" t="inlineStr">
        <is>
          <t>IaC scanning + configuration review</t>
        </is>
      </c>
      <c r="J51" s="49" t="inlineStr">
        <is>
          <t>Deterministic, continuous</t>
        </is>
      </c>
      <c r="K51" s="49" t="inlineStr">
        <is>
          <t>Pipeline</t>
        </is>
      </c>
      <c r="L51" s="49" t="inlineStr">
        <is>
          <t>Not assessed</t>
        </is>
      </c>
      <c r="M51" s="49" t="n"/>
      <c r="N51" s="49" t="n"/>
      <c r="O51" s="50" t="inlineStr">
        <is>
          <t>Medium</t>
        </is>
      </c>
      <c r="P51" s="50">
        <f>IF($A51="","",IF(H51="N/A","N/A",IFERROR(INDEX(CRIT_MATRIX,MATCH(O51,CRIT_MATRIX_ROWS,0),MATCH(APP_RISK_TIER,CRIT_MATRIX_COLS,0)),"")))</f>
        <v/>
      </c>
      <c r="Q51" s="49" t="n"/>
      <c r="R51" s="49" cm="1">
        <f t="array" ref="R51">IF($A51="","",COUNTIFS(tblThreatControls[Control ID],$A51,tblThreatControls[Threat applies],"Applies"))</f>
        <v/>
      </c>
      <c r="S51" s="49" cm="1">
        <f t="array" ref="S51">IF($A51="","",IF(R51=0,"",INDEX(RISK_SCALE_NAMES,_xlfn.MAXIFS(tblThreatControls[Threat risk score],tblThreatControls[Control ID],$A51))))</f>
        <v/>
      </c>
      <c r="T51" s="49" cm="1">
        <f t="array" ref="T51">IF($A51="","",IF(AND(H51="Applicable",OR(L51="Not assessed",L51=""),R51&gt;0),"Yes","No"))</f>
        <v/>
      </c>
      <c r="U51" s="49" cm="1">
        <f t="array" ref="U51">IF($A51="","",IF(AND(H51="Applicable",OR(L51="Gap",L51="Partial coverage")),INDEX(RISK_SCALE_NAMES,MAX(IFERROR(MATCH(P51,RISK_SCALE_NAMES,0),1),IFERROR(MATCH(S51,RISK_SCALE_NAMES,0),0))),""))</f>
        <v/>
      </c>
      <c r="V51" s="49" cm="1">
        <f t="array" ref="V51">IF($A51="","",_xlfn.TEXTJOIN("; ",TRUE,_xlfn._xlws.FILTER(tblThreatControls[Threat ID],(tblThreatControls[Control ID]=$A51)*(tblThreatControls[Threat applies]="Applies"),"")))</f>
        <v/>
      </c>
    </row>
    <row r="52" ht="90" customHeight="1" s="19">
      <c r="A52" s="49" t="inlineStr">
        <is>
          <t>HB-CFG-04</t>
        </is>
      </c>
      <c r="B52" s="49" t="inlineStr">
        <is>
          <t>Configuration</t>
        </is>
      </c>
      <c r="C52" s="48" cm="1">
        <f t="array" ref="C52">IF($A52="","",_xlfn.TEXTJOIN("; ",TRUE,_xlfn._xlws.FILTER(MT_IDS,MT_BASELINE=$A52,"")))</f>
        <v/>
      </c>
      <c r="D52" s="48">
        <f>IF($A52="","",_xlfn.MINIFS(MT_LEVEL,MT_BASELINE,$A52))</f>
        <v/>
      </c>
      <c r="E52" s="49" t="inlineStr">
        <is>
          <t>Outbound connections restricted (SSRF / egress): all communication needs are documented; outbound requests, data loads and file access are limited to an allowlist of destinations (application, server or network layer); untrusted URLs are validated against allowed protocols, hosts, paths and ports; the backend does not follow redirects unless intended.</t>
        </is>
      </c>
      <c r="F52" s="48" cm="1">
        <f t="array" ref="F52">IF($A52="","",_xlfn.TEXTJOIN("; ",TRUE,_xlfn._xlws.FILTER(MT_IDS,(MT_BASELINE=$A52)*(MT_APPLICABLE="Applicable"),"")))</f>
        <v/>
      </c>
      <c r="G52" s="48">
        <f>IF($A52="","",COUNTIFS(MT_BASELINE,$A52,MT_APPLICABLE,"Applicable"))</f>
        <v/>
      </c>
      <c r="H52" s="50">
        <f>IF($A52="","",IF(G52&gt;0,"Applicable","N/A"))</f>
        <v/>
      </c>
      <c r="I52" s="49" t="inlineStr">
        <is>
          <t>IaC scanning + configuration review</t>
        </is>
      </c>
      <c r="J52" s="49" t="inlineStr">
        <is>
          <t>Deterministic, continuous</t>
        </is>
      </c>
      <c r="K52" s="49" t="inlineStr">
        <is>
          <t>Pipeline</t>
        </is>
      </c>
      <c r="L52" s="49" t="inlineStr">
        <is>
          <t>Not assessed</t>
        </is>
      </c>
      <c r="M52" s="49" t="n"/>
      <c r="N52" s="49" t="n"/>
      <c r="O52" s="50" t="inlineStr">
        <is>
          <t>High</t>
        </is>
      </c>
      <c r="P52" s="50">
        <f>IF($A52="","",IF(H52="N/A","N/A",IFERROR(INDEX(CRIT_MATRIX,MATCH(O52,CRIT_MATRIX_ROWS,0),MATCH(APP_RISK_TIER,CRIT_MATRIX_COLS,0)),"")))</f>
        <v/>
      </c>
      <c r="Q52" s="49" t="n"/>
      <c r="R52" s="49" cm="1">
        <f t="array" ref="R52">IF($A52="","",COUNTIFS(tblThreatControls[Control ID],$A52,tblThreatControls[Threat applies],"Applies"))</f>
        <v/>
      </c>
      <c r="S52" s="49" cm="1">
        <f t="array" ref="S52">IF($A52="","",IF(R52=0,"",INDEX(RISK_SCALE_NAMES,_xlfn.MAXIFS(tblThreatControls[Threat risk score],tblThreatControls[Control ID],$A52))))</f>
        <v/>
      </c>
      <c r="T52" s="49" cm="1">
        <f t="array" ref="T52">IF($A52="","",IF(AND(H52="Applicable",OR(L52="Not assessed",L52=""),R52&gt;0),"Yes","No"))</f>
        <v/>
      </c>
      <c r="U52" s="49" cm="1">
        <f t="array" ref="U52">IF($A52="","",IF(AND(H52="Applicable",OR(L52="Gap",L52="Partial coverage")),INDEX(RISK_SCALE_NAMES,MAX(IFERROR(MATCH(P52,RISK_SCALE_NAMES,0),1),IFERROR(MATCH(S52,RISK_SCALE_NAMES,0),0))),""))</f>
        <v/>
      </c>
      <c r="V52" s="49" cm="1">
        <f t="array" ref="V52">IF($A52="","",_xlfn.TEXTJOIN("; ",TRUE,_xlfn._xlws.FILTER(tblThreatControls[Threat ID],(tblThreatControls[Control ID]=$A52)*(tblThreatControls[Threat applies]="Applies"),"")))</f>
        <v/>
      </c>
    </row>
    <row r="53" ht="90" customHeight="1" s="19">
      <c r="A53" s="49" t="inlineStr">
        <is>
          <t>HB-DATA-01</t>
        </is>
      </c>
      <c r="B53" s="49" t="inlineStr">
        <is>
          <t>Data protection</t>
        </is>
      </c>
      <c r="C53" s="48" cm="1">
        <f t="array" ref="C53">IF($A53="","",_xlfn.TEXTJOIN("; ",TRUE,_xlfn._xlws.FILTER(MT_IDS,MT_BASELINE=$A53,"")))</f>
        <v/>
      </c>
      <c r="D53" s="48">
        <f>IF($A53="","",_xlfn.MINIFS(MT_LEVEL,MT_BASELINE,$A53))</f>
        <v/>
      </c>
      <c r="E53" s="49" t="inlineStr">
        <is>
          <t>Data classification and protection requirements: all sensitive data is identified and classified into protection levels (considering applicable privacy regulations); each level has documented requirements (encryption, integrity, retention, logging, access) that are implemented; L3: outdated sensitive data is deleted on a defined retention schedule.</t>
        </is>
      </c>
      <c r="F53" s="48" cm="1">
        <f t="array" ref="F53">IF($A53="","",_xlfn.TEXTJOIN("; ",TRUE,_xlfn._xlws.FILTER(MT_IDS,(MT_BASELINE=$A53)*(MT_APPLICABLE="Applicable"),"")))</f>
        <v/>
      </c>
      <c r="G53" s="48">
        <f>IF($A53="","",COUNTIFS(MT_BASELINE,$A53,MT_APPLICABLE,"Applicable"))</f>
        <v/>
      </c>
      <c r="H53" s="50">
        <f>IF($A53="","",IF(G53&gt;0,"Applicable","N/A"))</f>
        <v/>
      </c>
      <c r="I53" s="49" t="inlineStr">
        <is>
          <t>Architecture / documentation review</t>
        </is>
      </c>
      <c r="J53" s="49" t="inlineStr">
        <is>
          <t>Sampled, periodic</t>
        </is>
      </c>
      <c r="K53" s="49" t="inlineStr">
        <is>
          <t>Design/Governance</t>
        </is>
      </c>
      <c r="L53" s="49" t="inlineStr">
        <is>
          <t>Not assessed</t>
        </is>
      </c>
      <c r="M53" s="49" t="n"/>
      <c r="N53" s="49" t="n"/>
      <c r="O53" s="50" t="inlineStr">
        <is>
          <t>High</t>
        </is>
      </c>
      <c r="P53" s="50">
        <f>IF($A53="","",IF(H53="N/A","N/A",IFERROR(INDEX(CRIT_MATRIX,MATCH(O53,CRIT_MATRIX_ROWS,0),MATCH(APP_RISK_TIER,CRIT_MATRIX_COLS,0)),"")))</f>
        <v/>
      </c>
      <c r="Q53" s="49" t="n"/>
      <c r="R53" s="49" cm="1">
        <f t="array" ref="R53">IF($A53="","",COUNTIFS(tblThreatControls[Control ID],$A53,tblThreatControls[Threat applies],"Applies"))</f>
        <v/>
      </c>
      <c r="S53" s="49" cm="1">
        <f t="array" ref="S53">IF($A53="","",IF(R53=0,"",INDEX(RISK_SCALE_NAMES,_xlfn.MAXIFS(tblThreatControls[Threat risk score],tblThreatControls[Control ID],$A53))))</f>
        <v/>
      </c>
      <c r="T53" s="49" cm="1">
        <f t="array" ref="T53">IF($A53="","",IF(AND(H53="Applicable",OR(L53="Not assessed",L53=""),R53&gt;0),"Yes","No"))</f>
        <v/>
      </c>
      <c r="U53" s="49" cm="1">
        <f t="array" ref="U53">IF($A53="","",IF(AND(H53="Applicable",OR(L53="Gap",L53="Partial coverage")),INDEX(RISK_SCALE_NAMES,MAX(IFERROR(MATCH(P53,RISK_SCALE_NAMES,0),1),IFERROR(MATCH(S53,RISK_SCALE_NAMES,0),0))),""))</f>
        <v/>
      </c>
      <c r="V53" s="49" cm="1">
        <f t="array" ref="V53">IF($A53="","",_xlfn.TEXTJOIN("; ",TRUE,_xlfn._xlws.FILTER(tblThreatControls[Threat ID],(tblThreatControls[Control ID]=$A53)*(tblThreatControls[Threat applies]="Applies"),"")))</f>
        <v/>
      </c>
    </row>
    <row r="54" ht="90" customHeight="1" s="19">
      <c r="A54" s="49" t="inlineStr">
        <is>
          <t>HB-DATA-02</t>
        </is>
      </c>
      <c r="B54" s="49" t="inlineStr">
        <is>
          <t>Data protection</t>
        </is>
      </c>
      <c r="C54" s="48" cm="1">
        <f t="array" ref="C54">IF($A54="","",_xlfn.TEXTJOIN("; ",TRUE,_xlfn._xlws.FILTER(MT_IDS,MT_BASELINE=$A54,"")))</f>
        <v/>
      </c>
      <c r="D54" s="48">
        <f>IF($A54="","",_xlfn.MINIFS(MT_LEVEL,MT_BASELINE,$A54))</f>
        <v/>
      </c>
      <c r="E54" s="49" t="inlineStr">
        <is>
          <t>Sensitive data exposure: sensitive data is never in URLs or query strings, never cached by server components (or securely purged), never sent to untrusted parties (e.g. trackers); caches only store expected, non-sensitive content (web cache deception); L3: only the minimum sensitive data is returned or processed, masked in the UI where possible.</t>
        </is>
      </c>
      <c r="F54" s="48" cm="1">
        <f t="array" ref="F54">IF($A54="","",_xlfn.TEXTJOIN("; ",TRUE,_xlfn._xlws.FILTER(MT_IDS,(MT_BASELINE=$A54)*(MT_APPLICABLE="Applicable"),"")))</f>
        <v/>
      </c>
      <c r="G54" s="48">
        <f>IF($A54="","",COUNTIFS(MT_BASELINE,$A54,MT_APPLICABLE,"Applicable"))</f>
        <v/>
      </c>
      <c r="H54" s="50">
        <f>IF($A54="","",IF(G54&gt;0,"Applicable","N/A"))</f>
        <v/>
      </c>
      <c r="I54" s="49" t="inlineStr">
        <is>
          <t>SAST + architecture review</t>
        </is>
      </c>
      <c r="J54" s="49" t="inlineStr">
        <is>
          <t>Mixed</t>
        </is>
      </c>
      <c r="K54" s="49" t="inlineStr">
        <is>
          <t>Design/Pipeline</t>
        </is>
      </c>
      <c r="L54" s="49" t="inlineStr">
        <is>
          <t>Not assessed</t>
        </is>
      </c>
      <c r="M54" s="49" t="n"/>
      <c r="N54" s="49" t="n"/>
      <c r="O54" s="50" t="inlineStr">
        <is>
          <t>High</t>
        </is>
      </c>
      <c r="P54" s="50">
        <f>IF($A54="","",IF(H54="N/A","N/A",IFERROR(INDEX(CRIT_MATRIX,MATCH(O54,CRIT_MATRIX_ROWS,0),MATCH(APP_RISK_TIER,CRIT_MATRIX_COLS,0)),"")))</f>
        <v/>
      </c>
      <c r="Q54" s="49" t="n"/>
      <c r="R54" s="49" cm="1">
        <f t="array" ref="R54">IF($A54="","",COUNTIFS(tblThreatControls[Control ID],$A54,tblThreatControls[Threat applies],"Applies"))</f>
        <v/>
      </c>
      <c r="S54" s="49" cm="1">
        <f t="array" ref="S54">IF($A54="","",IF(R54=0,"",INDEX(RISK_SCALE_NAMES,_xlfn.MAXIFS(tblThreatControls[Threat risk score],tblThreatControls[Control ID],$A54))))</f>
        <v/>
      </c>
      <c r="T54" s="49" cm="1">
        <f t="array" ref="T54">IF($A54="","",IF(AND(H54="Applicable",OR(L54="Not assessed",L54=""),R54&gt;0),"Yes","No"))</f>
        <v/>
      </c>
      <c r="U54" s="49" cm="1">
        <f t="array" ref="U54">IF($A54="","",IF(AND(H54="Applicable",OR(L54="Gap",L54="Partial coverage")),INDEX(RISK_SCALE_NAMES,MAX(IFERROR(MATCH(P54,RISK_SCALE_NAMES,0),1),IFERROR(MATCH(S54,RISK_SCALE_NAMES,0),0))),""))</f>
        <v/>
      </c>
      <c r="V54" s="49" cm="1">
        <f t="array" ref="V54">IF($A54="","",_xlfn.TEXTJOIN("; ",TRUE,_xlfn._xlws.FILTER(tblThreatControls[Threat ID],(tblThreatControls[Control ID]=$A54)*(tblThreatControls[Threat applies]="Applies"),"")))</f>
        <v/>
      </c>
    </row>
    <row r="55" ht="90" customHeight="1" s="19">
      <c r="A55" s="49" t="inlineStr">
        <is>
          <t>HB-DATA-03</t>
        </is>
      </c>
      <c r="B55" s="49" t="inlineStr">
        <is>
          <t>Data protection</t>
        </is>
      </c>
      <c r="C55" s="48" cm="1">
        <f t="array" ref="C55">IF($A55="","",_xlfn.TEXTJOIN("; ",TRUE,_xlfn._xlws.FILTER(MT_IDS,MT_BASELINE=$A55,"")))</f>
        <v/>
      </c>
      <c r="D55" s="48">
        <f>IF($A55="","",_xlfn.MINIFS(MT_LEVEL,MT_BASELINE,$A55))</f>
        <v/>
      </c>
      <c r="E55" s="49" t="inlineStr">
        <is>
          <t>Client-side data protection: sensitive responses use Cache-Control: no-store; browser storage holds no sensitive data other than session tokens; authenticated data is cleared from the client when the session ends (e.g. Clear-Site-Data).</t>
        </is>
      </c>
      <c r="F55" s="48" cm="1">
        <f t="array" ref="F55">IF($A55="","",_xlfn.TEXTJOIN("; ",TRUE,_xlfn._xlws.FILTER(MT_IDS,(MT_BASELINE=$A55)*(MT_APPLICABLE="Applicable"),"")))</f>
        <v/>
      </c>
      <c r="G55" s="48">
        <f>IF($A55="","",COUNTIFS(MT_BASELINE,$A55,MT_APPLICABLE,"Applicable"))</f>
        <v/>
      </c>
      <c r="H55" s="50">
        <f>IF($A55="","",IF(G55&gt;0,"Applicable","N/A"))</f>
        <v/>
      </c>
      <c r="I55" s="49" t="inlineStr">
        <is>
          <t>SAST + architecture review</t>
        </is>
      </c>
      <c r="J55" s="49" t="inlineStr">
        <is>
          <t>Mixed</t>
        </is>
      </c>
      <c r="K55" s="49" t="inlineStr">
        <is>
          <t>Design/Pipeline</t>
        </is>
      </c>
      <c r="L55" s="49" t="inlineStr">
        <is>
          <t>Not assessed</t>
        </is>
      </c>
      <c r="M55" s="49" t="n"/>
      <c r="N55" s="49" t="n"/>
      <c r="O55" s="50" t="inlineStr">
        <is>
          <t>High</t>
        </is>
      </c>
      <c r="P55" s="50">
        <f>IF($A55="","",IF(H55="N/A","N/A",IFERROR(INDEX(CRIT_MATRIX,MATCH(O55,CRIT_MATRIX_ROWS,0),MATCH(APP_RISK_TIER,CRIT_MATRIX_COLS,0)),"")))</f>
        <v/>
      </c>
      <c r="Q55" s="49" t="n"/>
      <c r="R55" s="49" cm="1">
        <f t="array" ref="R55">IF($A55="","",COUNTIFS(tblThreatControls[Control ID],$A55,tblThreatControls[Threat applies],"Applies"))</f>
        <v/>
      </c>
      <c r="S55" s="49" cm="1">
        <f t="array" ref="S55">IF($A55="","",IF(R55=0,"",INDEX(RISK_SCALE_NAMES,_xlfn.MAXIFS(tblThreatControls[Threat risk score],tblThreatControls[Control ID],$A55))))</f>
        <v/>
      </c>
      <c r="T55" s="49" cm="1">
        <f t="array" ref="T55">IF($A55="","",IF(AND(H55="Applicable",OR(L55="Not assessed",L55=""),R55&gt;0),"Yes","No"))</f>
        <v/>
      </c>
      <c r="U55" s="49" cm="1">
        <f t="array" ref="U55">IF($A55="","",IF(AND(H55="Applicable",OR(L55="Gap",L55="Partial coverage")),INDEX(RISK_SCALE_NAMES,MAX(IFERROR(MATCH(P55,RISK_SCALE_NAMES,0),1),IFERROR(MATCH(S55,RISK_SCALE_NAMES,0),0))),""))</f>
        <v/>
      </c>
      <c r="V55" s="49" cm="1">
        <f t="array" ref="V55">IF($A55="","",_xlfn.TEXTJOIN("; ",TRUE,_xlfn._xlws.FILTER(tblThreatControls[Threat ID],(tblThreatControls[Control ID]=$A55)*(tblThreatControls[Threat applies]="Applies"),"")))</f>
        <v/>
      </c>
    </row>
    <row r="56" ht="90" customHeight="1" s="19">
      <c r="A56" s="49" t="inlineStr">
        <is>
          <t>HB-DEP-01</t>
        </is>
      </c>
      <c r="B56" s="49" t="inlineStr">
        <is>
          <t>Dependencies and secure coding</t>
        </is>
      </c>
      <c r="C56" s="48" cm="1">
        <f t="array" ref="C56">IF($A56="","",_xlfn.TEXTJOIN("; ",TRUE,_xlfn._xlws.FILTER(MT_IDS,MT_BASELINE=$A56,"")))</f>
        <v/>
      </c>
      <c r="D56" s="48">
        <f>IF($A56="","",_xlfn.MINIFS(MT_LEVEL,MT_BASELINE,$A56))</f>
        <v/>
      </c>
      <c r="E56" s="49" t="inlineStr">
        <is>
          <t>Third-party components: an SBOM / inventory of all components is maintained; risk-based remediation time frames for vulnerable components are documented and met; components and all transitive dependencies come only from expected, trusted repositories (no dependency confusion).</t>
        </is>
      </c>
      <c r="F56" s="48" cm="1">
        <f t="array" ref="F56">IF($A56="","",_xlfn.TEXTJOIN("; ",TRUE,_xlfn._xlws.FILTER(MT_IDS,(MT_BASELINE=$A56)*(MT_APPLICABLE="Applicable"),"")))</f>
        <v/>
      </c>
      <c r="G56" s="48">
        <f>IF($A56="","",COUNTIFS(MT_BASELINE,$A56,MT_APPLICABLE,"Applicable"))</f>
        <v/>
      </c>
      <c r="H56" s="50">
        <f>IF($A56="","",IF(G56&gt;0,"Applicable","N/A"))</f>
        <v/>
      </c>
      <c r="I56" s="49" t="inlineStr">
        <is>
          <t>Architecture / documentation review</t>
        </is>
      </c>
      <c r="J56" s="49" t="inlineStr">
        <is>
          <t>Sampled, periodic</t>
        </is>
      </c>
      <c r="K56" s="49" t="inlineStr">
        <is>
          <t>Design/Governance</t>
        </is>
      </c>
      <c r="L56" s="49" t="inlineStr">
        <is>
          <t>Not assessed</t>
        </is>
      </c>
      <c r="M56" s="49" t="n"/>
      <c r="N56" s="49" t="n"/>
      <c r="O56" s="50" t="inlineStr">
        <is>
          <t>Medium</t>
        </is>
      </c>
      <c r="P56" s="50">
        <f>IF($A56="","",IF(H56="N/A","N/A",IFERROR(INDEX(CRIT_MATRIX,MATCH(O56,CRIT_MATRIX_ROWS,0),MATCH(APP_RISK_TIER,CRIT_MATRIX_COLS,0)),"")))</f>
        <v/>
      </c>
      <c r="Q56" s="49" t="n"/>
      <c r="R56" s="49" cm="1">
        <f t="array" ref="R56">IF($A56="","",COUNTIFS(tblThreatControls[Control ID],$A56,tblThreatControls[Threat applies],"Applies"))</f>
        <v/>
      </c>
      <c r="S56" s="49" cm="1">
        <f t="array" ref="S56">IF($A56="","",IF(R56=0,"",INDEX(RISK_SCALE_NAMES,_xlfn.MAXIFS(tblThreatControls[Threat risk score],tblThreatControls[Control ID],$A56))))</f>
        <v/>
      </c>
      <c r="T56" s="49" cm="1">
        <f t="array" ref="T56">IF($A56="","",IF(AND(H56="Applicable",OR(L56="Not assessed",L56=""),R56&gt;0),"Yes","No"))</f>
        <v/>
      </c>
      <c r="U56" s="49" cm="1">
        <f t="array" ref="U56">IF($A56="","",IF(AND(H56="Applicable",OR(L56="Gap",L56="Partial coverage")),INDEX(RISK_SCALE_NAMES,MAX(IFERROR(MATCH(P56,RISK_SCALE_NAMES,0),1),IFERROR(MATCH(S56,RISK_SCALE_NAMES,0),0))),""))</f>
        <v/>
      </c>
      <c r="V56" s="49" cm="1">
        <f t="array" ref="V56">IF($A56="","",_xlfn.TEXTJOIN("; ",TRUE,_xlfn._xlws.FILTER(tblThreatControls[Threat ID],(tblThreatControls[Control ID]=$A56)*(tblThreatControls[Threat applies]="Applies"),"")))</f>
        <v/>
      </c>
    </row>
    <row r="57" ht="90" customHeight="1" s="19">
      <c r="A57" s="49" t="inlineStr">
        <is>
          <t>HB-DEP-02</t>
        </is>
      </c>
      <c r="B57" s="49" t="inlineStr">
        <is>
          <t>Dependencies and secure coding</t>
        </is>
      </c>
      <c r="C57" s="48" cm="1">
        <f t="array" ref="C57">IF($A57="","",_xlfn.TEXTJOIN("; ",TRUE,_xlfn._xlws.FILTER(MT_IDS,MT_BASELINE=$A57,"")))</f>
        <v/>
      </c>
      <c r="D57" s="48">
        <f>IF($A57="","",_xlfn.MINIFS(MT_LEVEL,MT_BASELINE,$A57))</f>
        <v/>
      </c>
      <c r="E57" s="49" t="inlineStr">
        <is>
          <t>Risky components and dangerous functionality (L3): risky libraries and dangerous functionality are identified in the documentation and isolated (sandboxing, encapsulation, containerization or network isolation) to limit pivoting.</t>
        </is>
      </c>
      <c r="F57" s="48" cm="1">
        <f t="array" ref="F57">IF($A57="","",_xlfn.TEXTJOIN("; ",TRUE,_xlfn._xlws.FILTER(MT_IDS,(MT_BASELINE=$A57)*(MT_APPLICABLE="Applicable"),"")))</f>
        <v/>
      </c>
      <c r="G57" s="48">
        <f>IF($A57="","",COUNTIFS(MT_BASELINE,$A57,MT_APPLICABLE,"Applicable"))</f>
        <v/>
      </c>
      <c r="H57" s="50">
        <f>IF($A57="","",IF(G57&gt;0,"Applicable","N/A"))</f>
        <v/>
      </c>
      <c r="I57" s="49" t="inlineStr">
        <is>
          <t>Architecture / documentation review</t>
        </is>
      </c>
      <c r="J57" s="49" t="inlineStr">
        <is>
          <t>Sampled, periodic</t>
        </is>
      </c>
      <c r="K57" s="49" t="inlineStr">
        <is>
          <t>Design/Governance</t>
        </is>
      </c>
      <c r="L57" s="49" t="inlineStr">
        <is>
          <t>Not assessed</t>
        </is>
      </c>
      <c r="M57" s="49" t="n"/>
      <c r="N57" s="49" t="n"/>
      <c r="O57" s="50" t="inlineStr">
        <is>
          <t>Medium</t>
        </is>
      </c>
      <c r="P57" s="50">
        <f>IF($A57="","",IF(H57="N/A","N/A",IFERROR(INDEX(CRIT_MATRIX,MATCH(O57,CRIT_MATRIX_ROWS,0),MATCH(APP_RISK_TIER,CRIT_MATRIX_COLS,0)),"")))</f>
        <v/>
      </c>
      <c r="Q57" s="49" t="n"/>
      <c r="R57" s="49" cm="1">
        <f t="array" ref="R57">IF($A57="","",COUNTIFS(tblThreatControls[Control ID],$A57,tblThreatControls[Threat applies],"Applies"))</f>
        <v/>
      </c>
      <c r="S57" s="49" cm="1">
        <f t="array" ref="S57">IF($A57="","",IF(R57=0,"",INDEX(RISK_SCALE_NAMES,_xlfn.MAXIFS(tblThreatControls[Threat risk score],tblThreatControls[Control ID],$A57))))</f>
        <v/>
      </c>
      <c r="T57" s="49" cm="1">
        <f t="array" ref="T57">IF($A57="","",IF(AND(H57="Applicable",OR(L57="Not assessed",L57=""),R57&gt;0),"Yes","No"))</f>
        <v/>
      </c>
      <c r="U57" s="49" cm="1">
        <f t="array" ref="U57">IF($A57="","",IF(AND(H57="Applicable",OR(L57="Gap",L57="Partial coverage")),INDEX(RISK_SCALE_NAMES,MAX(IFERROR(MATCH(P57,RISK_SCALE_NAMES,0),1),IFERROR(MATCH(S57,RISK_SCALE_NAMES,0),0))),""))</f>
        <v/>
      </c>
      <c r="V57" s="49" cm="1">
        <f t="array" ref="V57">IF($A57="","",_xlfn.TEXTJOIN("; ",TRUE,_xlfn._xlws.FILTER(tblThreatControls[Threat ID],(tblThreatControls[Control ID]=$A57)*(tblThreatControls[Threat applies]="Applies"),"")))</f>
        <v/>
      </c>
    </row>
    <row r="58" ht="90" customHeight="1" s="19">
      <c r="A58" s="49" t="inlineStr">
        <is>
          <t>HB-CODE-01</t>
        </is>
      </c>
      <c r="B58" s="49" t="inlineStr">
        <is>
          <t>Dependencies and secure coding</t>
        </is>
      </c>
      <c r="C58" s="48" cm="1">
        <f t="array" ref="C58">IF($A58="","",_xlfn.TEXTJOIN("; ",TRUE,_xlfn._xlws.FILTER(MT_IDS,MT_BASELINE=$A58,"")))</f>
        <v/>
      </c>
      <c r="D58" s="48">
        <f>IF($A58="","",_xlfn.MINIFS(MT_LEVEL,MT_BASELINE,$A58))</f>
        <v/>
      </c>
      <c r="E58" s="49" t="inlineStr">
        <is>
          <t>Type and memory safety: strict typing and comparisons (no type juggling), prototype-pollution-safe JavaScript and, for unmanaged code, memory-safe string/memory operations, integer-overflow checks and safe release of memory (no use-after-free).</t>
        </is>
      </c>
      <c r="F58" s="48" cm="1">
        <f t="array" ref="F58">IF($A58="","",_xlfn.TEXTJOIN("; ",TRUE,_xlfn._xlws.FILTER(MT_IDS,(MT_BASELINE=$A58)*(MT_APPLICABLE="Applicable"),"")))</f>
        <v/>
      </c>
      <c r="G58" s="48">
        <f>IF($A58="","",COUNTIFS(MT_BASELINE,$A58,MT_APPLICABLE,"Applicable"))</f>
        <v/>
      </c>
      <c r="H58" s="50">
        <f>IF($A58="","",IF(G58&gt;0,"Applicable","N/A"))</f>
        <v/>
      </c>
      <c r="I58" s="49" t="inlineStr">
        <is>
          <t>SAST + DAST</t>
        </is>
      </c>
      <c r="J58" s="49" t="inlineStr">
        <is>
          <t>Deterministic, continuous</t>
        </is>
      </c>
      <c r="K58" s="49" t="inlineStr">
        <is>
          <t>Pipeline</t>
        </is>
      </c>
      <c r="L58" s="49" t="inlineStr">
        <is>
          <t>Not assessed</t>
        </is>
      </c>
      <c r="M58" s="49" t="n"/>
      <c r="N58" s="49" t="n"/>
      <c r="O58" s="50" t="inlineStr">
        <is>
          <t>High</t>
        </is>
      </c>
      <c r="P58" s="50">
        <f>IF($A58="","",IF(H58="N/A","N/A",IFERROR(INDEX(CRIT_MATRIX,MATCH(O58,CRIT_MATRIX_ROWS,0),MATCH(APP_RISK_TIER,CRIT_MATRIX_COLS,0)),"")))</f>
        <v/>
      </c>
      <c r="Q58" s="49" t="n"/>
      <c r="R58" s="49" cm="1">
        <f t="array" ref="R58">IF($A58="","",COUNTIFS(tblThreatControls[Control ID],$A58,tblThreatControls[Threat applies],"Applies"))</f>
        <v/>
      </c>
      <c r="S58" s="49" cm="1">
        <f t="array" ref="S58">IF($A58="","",IF(R58=0,"",INDEX(RISK_SCALE_NAMES,_xlfn.MAXIFS(tblThreatControls[Threat risk score],tblThreatControls[Control ID],$A58))))</f>
        <v/>
      </c>
      <c r="T58" s="49" cm="1">
        <f t="array" ref="T58">IF($A58="","",IF(AND(H58="Applicable",OR(L58="Not assessed",L58=""),R58&gt;0),"Yes","No"))</f>
        <v/>
      </c>
      <c r="U58" s="49" cm="1">
        <f t="array" ref="U58">IF($A58="","",IF(AND(H58="Applicable",OR(L58="Gap",L58="Partial coverage")),INDEX(RISK_SCALE_NAMES,MAX(IFERROR(MATCH(P58,RISK_SCALE_NAMES,0),1),IFERROR(MATCH(S58,RISK_SCALE_NAMES,0),0))),""))</f>
        <v/>
      </c>
      <c r="V58" s="49" cm="1">
        <f t="array" ref="V58">IF($A58="","",_xlfn.TEXTJOIN("; ",TRUE,_xlfn._xlws.FILTER(tblThreatControls[Threat ID],(tblThreatControls[Control ID]=$A58)*(tblThreatControls[Threat applies]="Applies"),"")))</f>
        <v/>
      </c>
    </row>
    <row r="59" ht="90" customHeight="1" s="19">
      <c r="A59" s="49" t="inlineStr">
        <is>
          <t>HB-LOG-01</t>
        </is>
      </c>
      <c r="B59" s="49" t="inlineStr">
        <is>
          <t>Logging and error handling</t>
        </is>
      </c>
      <c r="C59" s="48" cm="1">
        <f t="array" ref="C59">IF($A59="","",_xlfn.TEXTJOIN("; ",TRUE,_xlfn._xlws.FILTER(MT_IDS,MT_BASELINE=$A59,"")))</f>
        <v/>
      </c>
      <c r="D59" s="48">
        <f>IF($A59="","",_xlfn.MINIFS(MT_LEVEL,MT_BASELINE,$A59))</f>
        <v/>
      </c>
      <c r="E59" s="49" t="inlineStr">
        <is>
          <t>Security events logged: all authentication attempts (success and failure), failed authorization (L3: all authorization decisions and sensitive data access), attempts to bypass security controls, security events defined in the documentation, unexpected errors and security control failures.</t>
        </is>
      </c>
      <c r="F59" s="48" cm="1">
        <f t="array" ref="F59">IF($A59="","",_xlfn.TEXTJOIN("; ",TRUE,_xlfn._xlws.FILTER(MT_IDS,(MT_BASELINE=$A59)*(MT_APPLICABLE="Applicable"),"")))</f>
        <v/>
      </c>
      <c r="G59" s="48">
        <f>IF($A59="","",COUNTIFS(MT_BASELINE,$A59,MT_APPLICABLE,"Applicable"))</f>
        <v/>
      </c>
      <c r="H59" s="50">
        <f>IF($A59="","",IF(G59&gt;0,"Applicable","N/A"))</f>
        <v/>
      </c>
      <c r="I59" s="49" t="inlineStr">
        <is>
          <t>Configuration review + SAST</t>
        </is>
      </c>
      <c r="J59" s="49" t="inlineStr">
        <is>
          <t>Deterministic, continuous</t>
        </is>
      </c>
      <c r="K59" s="49" t="inlineStr">
        <is>
          <t>Pipeline</t>
        </is>
      </c>
      <c r="L59" s="49" t="inlineStr">
        <is>
          <t>Not assessed</t>
        </is>
      </c>
      <c r="M59" s="49" t="n"/>
      <c r="N59" s="49" t="n"/>
      <c r="O59" s="50" t="inlineStr">
        <is>
          <t>Medium</t>
        </is>
      </c>
      <c r="P59" s="50">
        <f>IF($A59="","",IF(H59="N/A","N/A",IFERROR(INDEX(CRIT_MATRIX,MATCH(O59,CRIT_MATRIX_ROWS,0),MATCH(APP_RISK_TIER,CRIT_MATRIX_COLS,0)),"")))</f>
        <v/>
      </c>
      <c r="Q59" s="49" t="n"/>
      <c r="R59" s="49" cm="1">
        <f t="array" ref="R59">IF($A59="","",COUNTIFS(tblThreatControls[Control ID],$A59,tblThreatControls[Threat applies],"Applies"))</f>
        <v/>
      </c>
      <c r="S59" s="49" cm="1">
        <f t="array" ref="S59">IF($A59="","",IF(R59=0,"",INDEX(RISK_SCALE_NAMES,_xlfn.MAXIFS(tblThreatControls[Threat risk score],tblThreatControls[Control ID],$A59))))</f>
        <v/>
      </c>
      <c r="T59" s="49" cm="1">
        <f t="array" ref="T59">IF($A59="","",IF(AND(H59="Applicable",OR(L59="Not assessed",L59=""),R59&gt;0),"Yes","No"))</f>
        <v/>
      </c>
      <c r="U59" s="49" cm="1">
        <f t="array" ref="U59">IF($A59="","",IF(AND(H59="Applicable",OR(L59="Gap",L59="Partial coverage")),INDEX(RISK_SCALE_NAMES,MAX(IFERROR(MATCH(P59,RISK_SCALE_NAMES,0),1),IFERROR(MATCH(S59,RISK_SCALE_NAMES,0),0))),""))</f>
        <v/>
      </c>
      <c r="V59" s="49" cm="1">
        <f t="array" ref="V59">IF($A59="","",_xlfn.TEXTJOIN("; ",TRUE,_xlfn._xlws.FILTER(tblThreatControls[Threat ID],(tblThreatControls[Control ID]=$A59)*(tblThreatControls[Threat applies]="Applies"),"")))</f>
        <v/>
      </c>
    </row>
    <row r="60" ht="90" customHeight="1" s="19">
      <c r="A60" s="49" t="inlineStr">
        <is>
          <t>HB-LOG-02</t>
        </is>
      </c>
      <c r="B60" s="49" t="inlineStr">
        <is>
          <t>Logging and error handling</t>
        </is>
      </c>
      <c r="C60" s="48" cm="1">
        <f t="array" ref="C60">IF($A60="","",_xlfn.TEXTJOIN("; ",TRUE,_xlfn._xlws.FILTER(MT_IDS,MT_BASELINE=$A60,"")))</f>
        <v/>
      </c>
      <c r="D60" s="48">
        <f>IF($A60="","",_xlfn.MINIFS(MT_LEVEL,MT_BASELINE,$A60))</f>
        <v/>
      </c>
      <c r="E60" s="49" t="inlineStr">
        <is>
          <t>Log quality and protection: a log inventory documents what is logged at each layer, where, who can access it and for how long; entries carry who/what/when/where with synchronized UTC timestamps in a correlatable format; sensitive data is logged only as its protection level allows; logs are encoded against injection, protected from access and modification, and shipped to a separate system.</t>
        </is>
      </c>
      <c r="F60" s="48" cm="1">
        <f t="array" ref="F60">IF($A60="","",_xlfn.TEXTJOIN("; ",TRUE,_xlfn._xlws.FILTER(MT_IDS,(MT_BASELINE=$A60)*(MT_APPLICABLE="Applicable"),"")))</f>
        <v/>
      </c>
      <c r="G60" s="48">
        <f>IF($A60="","",COUNTIFS(MT_BASELINE,$A60,MT_APPLICABLE,"Applicable"))</f>
        <v/>
      </c>
      <c r="H60" s="50">
        <f>IF($A60="","",IF(G60&gt;0,"Applicable","N/A"))</f>
        <v/>
      </c>
      <c r="I60" s="49" t="inlineStr">
        <is>
          <t>Configuration review + SAST</t>
        </is>
      </c>
      <c r="J60" s="49" t="inlineStr">
        <is>
          <t>Deterministic, continuous</t>
        </is>
      </c>
      <c r="K60" s="49" t="inlineStr">
        <is>
          <t>Pipeline</t>
        </is>
      </c>
      <c r="L60" s="49" t="inlineStr">
        <is>
          <t>Not assessed</t>
        </is>
      </c>
      <c r="M60" s="49" t="n"/>
      <c r="N60" s="49" t="n"/>
      <c r="O60" s="50" t="inlineStr">
        <is>
          <t>Medium</t>
        </is>
      </c>
      <c r="P60" s="50">
        <f>IF($A60="","",IF(H60="N/A","N/A",IFERROR(INDEX(CRIT_MATRIX,MATCH(O60,CRIT_MATRIX_ROWS,0),MATCH(APP_RISK_TIER,CRIT_MATRIX_COLS,0)),"")))</f>
        <v/>
      </c>
      <c r="Q60" s="49" t="n"/>
      <c r="R60" s="49" cm="1">
        <f t="array" ref="R60">IF($A60="","",COUNTIFS(tblThreatControls[Control ID],$A60,tblThreatControls[Threat applies],"Applies"))</f>
        <v/>
      </c>
      <c r="S60" s="49" cm="1">
        <f t="array" ref="S60">IF($A60="","",IF(R60=0,"",INDEX(RISK_SCALE_NAMES,_xlfn.MAXIFS(tblThreatControls[Threat risk score],tblThreatControls[Control ID],$A60))))</f>
        <v/>
      </c>
      <c r="T60" s="49" cm="1">
        <f t="array" ref="T60">IF($A60="","",IF(AND(H60="Applicable",OR(L60="Not assessed",L60=""),R60&gt;0),"Yes","No"))</f>
        <v/>
      </c>
      <c r="U60" s="49" cm="1">
        <f t="array" ref="U60">IF($A60="","",IF(AND(H60="Applicable",OR(L60="Gap",L60="Partial coverage")),INDEX(RISK_SCALE_NAMES,MAX(IFERROR(MATCH(P60,RISK_SCALE_NAMES,0),1),IFERROR(MATCH(S60,RISK_SCALE_NAMES,0),0))),""))</f>
        <v/>
      </c>
      <c r="V60" s="49" cm="1">
        <f t="array" ref="V60">IF($A60="","",_xlfn.TEXTJOIN("; ",TRUE,_xlfn._xlws.FILTER(tblThreatControls[Threat ID],(tblThreatControls[Control ID]=$A60)*(tblThreatControls[Threat applies]="Applies"),"")))</f>
        <v/>
      </c>
    </row>
    <row r="61" ht="90" customHeight="1" s="19">
      <c r="A61" s="49" t="inlineStr">
        <is>
          <t>HB-ERR-01</t>
        </is>
      </c>
      <c r="B61" s="49" t="inlineStr">
        <is>
          <t>Logging and error handling</t>
        </is>
      </c>
      <c r="C61" s="48" cm="1">
        <f t="array" ref="C61">IF($A61="","",_xlfn.TEXTJOIN("; ",TRUE,_xlfn._xlws.FILTER(MT_IDS,MT_BASELINE=$A61,"")))</f>
        <v/>
      </c>
      <c r="D61" s="48">
        <f>IF($A61="","",_xlfn.MINIFS(MT_LEVEL,MT_BASELINE,$A61))</f>
        <v/>
      </c>
      <c r="E61" s="49" t="inlineStr">
        <is>
          <t>Secure error handling: users get generic error messages (no stack traces, queries, secrets or tokens); errors and exceptions fail closed (no fail-open processing); L3: a last-resort handler catches all unhandled exceptions.</t>
        </is>
      </c>
      <c r="F61" s="48" cm="1">
        <f t="array" ref="F61">IF($A61="","",_xlfn.TEXTJOIN("; ",TRUE,_xlfn._xlws.FILTER(MT_IDS,(MT_BASELINE=$A61)*(MT_APPLICABLE="Applicable"),"")))</f>
        <v/>
      </c>
      <c r="G61" s="48">
        <f>IF($A61="","",COUNTIFS(MT_BASELINE,$A61,MT_APPLICABLE,"Applicable"))</f>
        <v/>
      </c>
      <c r="H61" s="50">
        <f>IF($A61="","",IF(G61&gt;0,"Applicable","N/A"))</f>
        <v/>
      </c>
      <c r="I61" s="49" t="inlineStr">
        <is>
          <t>Configuration review + SAST</t>
        </is>
      </c>
      <c r="J61" s="49" t="inlineStr">
        <is>
          <t>Deterministic, continuous</t>
        </is>
      </c>
      <c r="K61" s="49" t="inlineStr">
        <is>
          <t>Pipeline</t>
        </is>
      </c>
      <c r="L61" s="49" t="inlineStr">
        <is>
          <t>Not assessed</t>
        </is>
      </c>
      <c r="M61" s="49" t="n"/>
      <c r="N61" s="49" t="n"/>
      <c r="O61" s="50" t="inlineStr">
        <is>
          <t>Medium</t>
        </is>
      </c>
      <c r="P61" s="50">
        <f>IF($A61="","",IF(H61="N/A","N/A",IFERROR(INDEX(CRIT_MATRIX,MATCH(O61,CRIT_MATRIX_ROWS,0),MATCH(APP_RISK_TIER,CRIT_MATRIX_COLS,0)),"")))</f>
        <v/>
      </c>
      <c r="Q61" s="49" t="n"/>
      <c r="R61" s="49" cm="1">
        <f t="array" ref="R61">IF($A61="","",COUNTIFS(tblThreatControls[Control ID],$A61,tblThreatControls[Threat applies],"Applies"))</f>
        <v/>
      </c>
      <c r="S61" s="49" cm="1">
        <f t="array" ref="S61">IF($A61="","",IF(R61=0,"",INDEX(RISK_SCALE_NAMES,_xlfn.MAXIFS(tblThreatControls[Threat risk score],tblThreatControls[Control ID],$A61))))</f>
        <v/>
      </c>
      <c r="T61" s="49" cm="1">
        <f t="array" ref="T61">IF($A61="","",IF(AND(H61="Applicable",OR(L61="Not assessed",L61=""),R61&gt;0),"Yes","No"))</f>
        <v/>
      </c>
      <c r="U61" s="49" cm="1">
        <f t="array" ref="U61">IF($A61="","",IF(AND(H61="Applicable",OR(L61="Gap",L61="Partial coverage")),INDEX(RISK_SCALE_NAMES,MAX(IFERROR(MATCH(P61,RISK_SCALE_NAMES,0),1),IFERROR(MATCH(S61,RISK_SCALE_NAMES,0),0))),""))</f>
        <v/>
      </c>
      <c r="V61" s="49" cm="1">
        <f t="array" ref="V61">IF($A61="","",_xlfn.TEXTJOIN("; ",TRUE,_xlfn._xlws.FILTER(tblThreatControls[Threat ID],(tblThreatControls[Control ID]=$A61)*(tblThreatControls[Threat applies]="Applies"),"")))</f>
        <v/>
      </c>
    </row>
    <row r="62" ht="90" customHeight="1" s="19">
      <c r="A62" s="49" t="inlineStr">
        <is>
          <t>HB-RTC-01</t>
        </is>
      </c>
      <c r="B62" s="49" t="inlineStr">
        <is>
          <t>WebRTC</t>
        </is>
      </c>
      <c r="C62" s="48" cm="1">
        <f t="array" ref="C62">IF($A62="","",_xlfn.TEXTJOIN("; ",TRUE,_xlfn._xlws.FILTER(MT_IDS,MT_BASELINE=$A62,"")))</f>
        <v/>
      </c>
      <c r="D62" s="48">
        <f>IF($A62="","",_xlfn.MINIFS(MT_LEVEL,MT_BASELINE,$A62))</f>
        <v/>
      </c>
      <c r="E62" s="49" t="inlineStr">
        <is>
          <t>TURN and signaling servers: TURN only relays to non-reserved IP addresses and resists port exhaustion; signaling servers keep serving legitimate traffic under floods (rate limiting) and malformed messages.</t>
        </is>
      </c>
      <c r="F62" s="48" cm="1">
        <f t="array" ref="F62">IF($A62="","",_xlfn.TEXTJOIN("; ",TRUE,_xlfn._xlws.FILTER(MT_IDS,(MT_BASELINE=$A62)*(MT_APPLICABLE="Applicable"),"")))</f>
        <v/>
      </c>
      <c r="G62" s="48">
        <f>IF($A62="","",COUNTIFS(MT_BASELINE,$A62,MT_APPLICABLE,"Applicable"))</f>
        <v/>
      </c>
      <c r="H62" s="50">
        <f>IF($A62="","",IF(G62&gt;0,"Applicable","N/A"))</f>
        <v/>
      </c>
      <c r="I62" s="49" t="inlineStr">
        <is>
          <t>SAST + DAST / configuration review</t>
        </is>
      </c>
      <c r="J62" s="49" t="inlineStr">
        <is>
          <t>Deterministic, continuous</t>
        </is>
      </c>
      <c r="K62" s="49" t="inlineStr">
        <is>
          <t>Pipeline</t>
        </is>
      </c>
      <c r="L62" s="49" t="inlineStr">
        <is>
          <t>Not assessed</t>
        </is>
      </c>
      <c r="M62" s="49" t="n"/>
      <c r="N62" s="49" t="n"/>
      <c r="O62" s="50" t="inlineStr">
        <is>
          <t>Medium</t>
        </is>
      </c>
      <c r="P62" s="50">
        <f>IF($A62="","",IF(H62="N/A","N/A",IFERROR(INDEX(CRIT_MATRIX,MATCH(O62,CRIT_MATRIX_ROWS,0),MATCH(APP_RISK_TIER,CRIT_MATRIX_COLS,0)),"")))</f>
        <v/>
      </c>
      <c r="Q62" s="49" t="n"/>
      <c r="R62" s="49" cm="1">
        <f t="array" ref="R62">IF($A62="","",COUNTIFS(tblThreatControls[Control ID],$A62,tblThreatControls[Threat applies],"Applies"))</f>
        <v/>
      </c>
      <c r="S62" s="49" cm="1">
        <f t="array" ref="S62">IF($A62="","",IF(R62=0,"",INDEX(RISK_SCALE_NAMES,_xlfn.MAXIFS(tblThreatControls[Threat risk score],tblThreatControls[Control ID],$A62))))</f>
        <v/>
      </c>
      <c r="T62" s="49" cm="1">
        <f t="array" ref="T62">IF($A62="","",IF(AND(H62="Applicable",OR(L62="Not assessed",L62=""),R62&gt;0),"Yes","No"))</f>
        <v/>
      </c>
      <c r="U62" s="49" cm="1">
        <f t="array" ref="U62">IF($A62="","",IF(AND(H62="Applicable",OR(L62="Gap",L62="Partial coverage")),INDEX(RISK_SCALE_NAMES,MAX(IFERROR(MATCH(P62,RISK_SCALE_NAMES,0),1),IFERROR(MATCH(S62,RISK_SCALE_NAMES,0),0))),""))</f>
        <v/>
      </c>
      <c r="V62" s="49" cm="1">
        <f t="array" ref="V62">IF($A62="","",_xlfn.TEXTJOIN("; ",TRUE,_xlfn._xlws.FILTER(tblThreatControls[Threat ID],(tblThreatControls[Control ID]=$A62)*(tblThreatControls[Threat applies]="Applies"),"")))</f>
        <v/>
      </c>
    </row>
    <row r="63" ht="90" customHeight="1" s="19">
      <c r="A63" s="49" t="inlineStr">
        <is>
          <t>HB-RTC-02</t>
        </is>
      </c>
      <c r="B63" s="49" t="inlineStr">
        <is>
          <t>WebRTC</t>
        </is>
      </c>
      <c r="C63" s="48" cm="1">
        <f t="array" ref="C63">IF($A63="","",_xlfn.TEXTJOIN("; ",TRUE,_xlfn._xlws.FILTER(MT_IDS,MT_BASELINE=$A63,"")))</f>
        <v/>
      </c>
      <c r="D63" s="48">
        <f>IF($A63="","",_xlfn.MINIFS(MT_LEVEL,MT_BASELINE,$A63))</f>
        <v/>
      </c>
      <c r="E63" s="49" t="inlineStr">
        <is>
          <t>Media server: the DTLS key is managed per the key policy; approved DTLS-SRTP cipher suites and profiles; SRTP authentication checked; DTLS certificate matches the SDP fingerprint; the server and recorders keep working under malformed packets and SRTP floods and are not vulnerable to the DTLS ClientHello race condition.</t>
        </is>
      </c>
      <c r="F63" s="48" cm="1">
        <f t="array" ref="F63">IF($A63="","",_xlfn.TEXTJOIN("; ",TRUE,_xlfn._xlws.FILTER(MT_IDS,(MT_BASELINE=$A63)*(MT_APPLICABLE="Applicable"),"")))</f>
        <v/>
      </c>
      <c r="G63" s="48">
        <f>IF($A63="","",COUNTIFS(MT_BASELINE,$A63,MT_APPLICABLE,"Applicable"))</f>
        <v/>
      </c>
      <c r="H63" s="50">
        <f>IF($A63="","",IF(G63&gt;0,"Applicable","N/A"))</f>
        <v/>
      </c>
      <c r="I63" s="49" t="inlineStr">
        <is>
          <t>SAST + DAST / configuration review</t>
        </is>
      </c>
      <c r="J63" s="49" t="inlineStr">
        <is>
          <t>Deterministic, continuous</t>
        </is>
      </c>
      <c r="K63" s="49" t="inlineStr">
        <is>
          <t>Pipeline</t>
        </is>
      </c>
      <c r="L63" s="49" t="inlineStr">
        <is>
          <t>Not assessed</t>
        </is>
      </c>
      <c r="M63" s="49" t="n"/>
      <c r="N63" s="49" t="n"/>
      <c r="O63" s="50" t="inlineStr">
        <is>
          <t>Medium</t>
        </is>
      </c>
      <c r="P63" s="50">
        <f>IF($A63="","",IF(H63="N/A","N/A",IFERROR(INDEX(CRIT_MATRIX,MATCH(O63,CRIT_MATRIX_ROWS,0),MATCH(APP_RISK_TIER,CRIT_MATRIX_COLS,0)),"")))</f>
        <v/>
      </c>
      <c r="Q63" s="49" t="n"/>
      <c r="R63" s="49" cm="1">
        <f t="array" ref="R63">IF($A63="","",COUNTIFS(tblThreatControls[Control ID],$A63,tblThreatControls[Threat applies],"Applies"))</f>
        <v/>
      </c>
      <c r="S63" s="49" cm="1">
        <f t="array" ref="S63">IF($A63="","",IF(R63=0,"",INDEX(RISK_SCALE_NAMES,_xlfn.MAXIFS(tblThreatControls[Threat risk score],tblThreatControls[Control ID],$A63))))</f>
        <v/>
      </c>
      <c r="T63" s="49" cm="1">
        <f t="array" ref="T63">IF($A63="","",IF(AND(H63="Applicable",OR(L63="Not assessed",L63=""),R63&gt;0),"Yes","No"))</f>
        <v/>
      </c>
      <c r="U63" s="49" cm="1">
        <f t="array" ref="U63">IF($A63="","",IF(AND(H63="Applicable",OR(L63="Gap",L63="Partial coverage")),INDEX(RISK_SCALE_NAMES,MAX(IFERROR(MATCH(P63,RISK_SCALE_NAMES,0),1),IFERROR(MATCH(S63,RISK_SCALE_NAMES,0),0))),""))</f>
        <v/>
      </c>
      <c r="V63" s="49" cm="1">
        <f t="array" ref="V63">IF($A63="","",_xlfn.TEXTJOIN("; ",TRUE,_xlfn._xlws.FILTER(tblThreatControls[Threat ID],(tblThreatControls[Control ID]=$A63)*(tblThreatControls[Threat applies]="Applies"),"")))</f>
        <v/>
      </c>
    </row>
    <row r="64" ht="45" customHeight="1" s="19">
      <c r="A64" s="49" t="n"/>
      <c r="B64" s="49" t="n"/>
      <c r="C64" s="48" cm="1">
        <f t="array" ref="C64">IF($A64="","",_xlfn.TEXTJOIN("; ",TRUE,_xlfn._xlws.FILTER(MT_IDS,MT_BASELINE=$A64,"")))</f>
        <v/>
      </c>
      <c r="D64" s="48">
        <f>IF($A64="","",_xlfn.MINIFS(MT_LEVEL,MT_BASELINE,$A64))</f>
        <v/>
      </c>
      <c r="E64" s="49" t="n"/>
      <c r="F64" s="48" cm="1">
        <f t="array" ref="F64">IF($A64="","",_xlfn.TEXTJOIN("; ",TRUE,_xlfn._xlws.FILTER(MT_IDS,(MT_BASELINE=$A64)*(MT_APPLICABLE="Applicable"),"")))</f>
        <v/>
      </c>
      <c r="G64" s="48">
        <f>IF($A64="","",COUNTIFS(MT_BASELINE,$A64,MT_APPLICABLE,"Applicable"))</f>
        <v/>
      </c>
      <c r="H64" s="50">
        <f>IF($A64="","",IF(G64&gt;0,"Applicable","N/A"))</f>
        <v/>
      </c>
      <c r="I64" s="49" t="n"/>
      <c r="J64" s="49" t="n"/>
      <c r="K64" s="49" t="n"/>
      <c r="L64" s="49" t="n"/>
      <c r="M64" s="49" t="n"/>
      <c r="N64" s="49" t="n"/>
      <c r="O64" s="50" t="n"/>
      <c r="P64" s="50">
        <f>IF($A64="","",IF(H64="N/A","N/A",IFERROR(INDEX(CRIT_MATRIX,MATCH(O64,CRIT_MATRIX_ROWS,0),MATCH(APP_RISK_TIER,CRIT_MATRIX_COLS,0)),"")))</f>
        <v/>
      </c>
      <c r="Q64" s="49" t="n"/>
      <c r="R64" s="49" cm="1">
        <f t="array" ref="R64">IF($A64="","",COUNTIFS(tblThreatControls[Control ID],$A64,tblThreatControls[Threat applies],"Applies"))</f>
        <v/>
      </c>
      <c r="S64" s="49" cm="1">
        <f t="array" ref="S64">IF($A64="","",IF(R64=0,"",INDEX(RISK_SCALE_NAMES,_xlfn.MAXIFS(tblThreatControls[Threat risk score],tblThreatControls[Control ID],$A64))))</f>
        <v/>
      </c>
      <c r="T64" s="49" cm="1">
        <f t="array" ref="T64">IF($A64="","",IF(AND(H64="Applicable",OR(L64="Not assessed",L64=""),R64&gt;0),"Yes","No"))</f>
        <v/>
      </c>
      <c r="U64" s="49" cm="1">
        <f t="array" ref="U64">IF($A64="","",IF(AND(H64="Applicable",OR(L64="Gap",L64="Partial coverage")),INDEX(RISK_SCALE_NAMES,MAX(IFERROR(MATCH(P64,RISK_SCALE_NAMES,0),1),IFERROR(MATCH(S64,RISK_SCALE_NAMES,0),0))),""))</f>
        <v/>
      </c>
      <c r="V64" s="49" cm="1">
        <f t="array" ref="V64">IF($A64="","",_xlfn.TEXTJOIN("; ",TRUE,_xlfn._xlws.FILTER(tblThreatControls[Threat ID],(tblThreatControls[Control ID]=$A64)*(tblThreatControls[Threat applies]="Applies"),"")))</f>
        <v/>
      </c>
    </row>
    <row r="65" ht="45" customHeight="1" s="19">
      <c r="A65" s="49" t="n"/>
      <c r="B65" s="49" t="n"/>
      <c r="C65" s="48" cm="1">
        <f t="array" ref="C65">IF($A65="","",_xlfn.TEXTJOIN("; ",TRUE,_xlfn._xlws.FILTER(MT_IDS,MT_BASELINE=$A65,"")))</f>
        <v/>
      </c>
      <c r="D65" s="48">
        <f>IF($A65="","",_xlfn.MINIFS(MT_LEVEL,MT_BASELINE,$A65))</f>
        <v/>
      </c>
      <c r="E65" s="49" t="n"/>
      <c r="F65" s="48" cm="1">
        <f t="array" ref="F65">IF($A65="","",_xlfn.TEXTJOIN("; ",TRUE,_xlfn._xlws.FILTER(MT_IDS,(MT_BASELINE=$A65)*(MT_APPLICABLE="Applicable"),"")))</f>
        <v/>
      </c>
      <c r="G65" s="48">
        <f>IF($A65="","",COUNTIFS(MT_BASELINE,$A65,MT_APPLICABLE,"Applicable"))</f>
        <v/>
      </c>
      <c r="H65" s="50">
        <f>IF($A65="","",IF(G65&gt;0,"Applicable","N/A"))</f>
        <v/>
      </c>
      <c r="I65" s="49" t="n"/>
      <c r="J65" s="49" t="n"/>
      <c r="K65" s="49" t="n"/>
      <c r="L65" s="49" t="n"/>
      <c r="M65" s="49" t="n"/>
      <c r="N65" s="49" t="n"/>
      <c r="O65" s="50" t="n"/>
      <c r="P65" s="50">
        <f>IF($A65="","",IF(H65="N/A","N/A",IFERROR(INDEX(CRIT_MATRIX,MATCH(O65,CRIT_MATRIX_ROWS,0),MATCH(APP_RISK_TIER,CRIT_MATRIX_COLS,0)),"")))</f>
        <v/>
      </c>
      <c r="Q65" s="49" t="n"/>
      <c r="R65" s="49" cm="1">
        <f t="array" ref="R65">IF($A65="","",COUNTIFS(tblThreatControls[Control ID],$A65,tblThreatControls[Threat applies],"Applies"))</f>
        <v/>
      </c>
      <c r="S65" s="49" cm="1">
        <f t="array" ref="S65">IF($A65="","",IF(R65=0,"",INDEX(RISK_SCALE_NAMES,_xlfn.MAXIFS(tblThreatControls[Threat risk score],tblThreatControls[Control ID],$A65))))</f>
        <v/>
      </c>
      <c r="T65" s="49" cm="1">
        <f t="array" ref="T65">IF($A65="","",IF(AND(H65="Applicable",OR(L65="Not assessed",L65=""),R65&gt;0),"Yes","No"))</f>
        <v/>
      </c>
      <c r="U65" s="49" cm="1">
        <f t="array" ref="U65">IF($A65="","",IF(AND(H65="Applicable",OR(L65="Gap",L65="Partial coverage")),INDEX(RISK_SCALE_NAMES,MAX(IFERROR(MATCH(P65,RISK_SCALE_NAMES,0),1),IFERROR(MATCH(S65,RISK_SCALE_NAMES,0),0))),""))</f>
        <v/>
      </c>
      <c r="V65" s="49" cm="1">
        <f t="array" ref="V65">IF($A65="","",_xlfn.TEXTJOIN("; ",TRUE,_xlfn._xlws.FILTER(tblThreatControls[Threat ID],(tblThreatControls[Control ID]=$A65)*(tblThreatControls[Threat applies]="Applies"),"")))</f>
        <v/>
      </c>
    </row>
    <row r="66" ht="45" customHeight="1" s="19">
      <c r="A66" s="49" t="n"/>
      <c r="B66" s="49" t="n"/>
      <c r="C66" s="48" cm="1">
        <f t="array" ref="C66">IF($A66="","",_xlfn.TEXTJOIN("; ",TRUE,_xlfn._xlws.FILTER(MT_IDS,MT_BASELINE=$A66,"")))</f>
        <v/>
      </c>
      <c r="D66" s="48">
        <f>IF($A66="","",_xlfn.MINIFS(MT_LEVEL,MT_BASELINE,$A66))</f>
        <v/>
      </c>
      <c r="E66" s="49" t="n"/>
      <c r="F66" s="48" cm="1">
        <f t="array" ref="F66">IF($A66="","",_xlfn.TEXTJOIN("; ",TRUE,_xlfn._xlws.FILTER(MT_IDS,(MT_BASELINE=$A66)*(MT_APPLICABLE="Applicable"),"")))</f>
        <v/>
      </c>
      <c r="G66" s="48">
        <f>IF($A66="","",COUNTIFS(MT_BASELINE,$A66,MT_APPLICABLE,"Applicable"))</f>
        <v/>
      </c>
      <c r="H66" s="50">
        <f>IF($A66="","",IF(G66&gt;0,"Applicable","N/A"))</f>
        <v/>
      </c>
      <c r="I66" s="49" t="n"/>
      <c r="J66" s="49" t="n"/>
      <c r="K66" s="49" t="n"/>
      <c r="L66" s="49" t="n"/>
      <c r="M66" s="49" t="n"/>
      <c r="N66" s="49" t="n"/>
      <c r="O66" s="50" t="n"/>
      <c r="P66" s="50">
        <f>IF($A66="","",IF(H66="N/A","N/A",IFERROR(INDEX(CRIT_MATRIX,MATCH(O66,CRIT_MATRIX_ROWS,0),MATCH(APP_RISK_TIER,CRIT_MATRIX_COLS,0)),"")))</f>
        <v/>
      </c>
      <c r="Q66" s="49" t="n"/>
      <c r="R66" s="49" cm="1">
        <f t="array" ref="R66">IF($A66="","",COUNTIFS(tblThreatControls[Control ID],$A66,tblThreatControls[Threat applies],"Applies"))</f>
        <v/>
      </c>
      <c r="S66" s="49" cm="1">
        <f t="array" ref="S66">IF($A66="","",IF(R66=0,"",INDEX(RISK_SCALE_NAMES,_xlfn.MAXIFS(tblThreatControls[Threat risk score],tblThreatControls[Control ID],$A66))))</f>
        <v/>
      </c>
      <c r="T66" s="49" cm="1">
        <f t="array" ref="T66">IF($A66="","",IF(AND(H66="Applicable",OR(L66="Not assessed",L66=""),R66&gt;0),"Yes","No"))</f>
        <v/>
      </c>
      <c r="U66" s="49" cm="1">
        <f t="array" ref="U66">IF($A66="","",IF(AND(H66="Applicable",OR(L66="Gap",L66="Partial coverage")),INDEX(RISK_SCALE_NAMES,MAX(IFERROR(MATCH(P66,RISK_SCALE_NAMES,0),1),IFERROR(MATCH(S66,RISK_SCALE_NAMES,0),0))),""))</f>
        <v/>
      </c>
      <c r="V66" s="49" cm="1">
        <f t="array" ref="V66">IF($A66="","",_xlfn.TEXTJOIN("; ",TRUE,_xlfn._xlws.FILTER(tblThreatControls[Threat ID],(tblThreatControls[Control ID]=$A66)*(tblThreatControls[Threat applies]="Applies"),"")))</f>
        <v/>
      </c>
    </row>
    <row r="67" ht="45" customHeight="1" s="19">
      <c r="A67" s="49" t="n"/>
      <c r="B67" s="49" t="n"/>
      <c r="C67" s="48" cm="1">
        <f t="array" ref="C67">IF($A67="","",_xlfn.TEXTJOIN("; ",TRUE,_xlfn._xlws.FILTER(MT_IDS,MT_BASELINE=$A67,"")))</f>
        <v/>
      </c>
      <c r="D67" s="48">
        <f>IF($A67="","",_xlfn.MINIFS(MT_LEVEL,MT_BASELINE,$A67))</f>
        <v/>
      </c>
      <c r="E67" s="49" t="n"/>
      <c r="F67" s="48" cm="1">
        <f t="array" ref="F67">IF($A67="","",_xlfn.TEXTJOIN("; ",TRUE,_xlfn._xlws.FILTER(MT_IDS,(MT_BASELINE=$A67)*(MT_APPLICABLE="Applicable"),"")))</f>
        <v/>
      </c>
      <c r="G67" s="48">
        <f>IF($A67="","",COUNTIFS(MT_BASELINE,$A67,MT_APPLICABLE,"Applicable"))</f>
        <v/>
      </c>
      <c r="H67" s="50">
        <f>IF($A67="","",IF(G67&gt;0,"Applicable","N/A"))</f>
        <v/>
      </c>
      <c r="I67" s="49" t="n"/>
      <c r="J67" s="49" t="n"/>
      <c r="K67" s="49" t="n"/>
      <c r="L67" s="49" t="n"/>
      <c r="M67" s="49" t="n"/>
      <c r="N67" s="49" t="n"/>
      <c r="O67" s="50" t="n"/>
      <c r="P67" s="50">
        <f>IF($A67="","",IF(H67="N/A","N/A",IFERROR(INDEX(CRIT_MATRIX,MATCH(O67,CRIT_MATRIX_ROWS,0),MATCH(APP_RISK_TIER,CRIT_MATRIX_COLS,0)),"")))</f>
        <v/>
      </c>
      <c r="Q67" s="49" t="n"/>
      <c r="R67" s="49" cm="1">
        <f t="array" ref="R67">IF($A67="","",COUNTIFS(tblThreatControls[Control ID],$A67,tblThreatControls[Threat applies],"Applies"))</f>
        <v/>
      </c>
      <c r="S67" s="49" cm="1">
        <f t="array" ref="S67">IF($A67="","",IF(R67=0,"",INDEX(RISK_SCALE_NAMES,_xlfn.MAXIFS(tblThreatControls[Threat risk score],tblThreatControls[Control ID],$A67))))</f>
        <v/>
      </c>
      <c r="T67" s="49" cm="1">
        <f t="array" ref="T67">IF($A67="","",IF(AND(H67="Applicable",OR(L67="Not assessed",L67=""),R67&gt;0),"Yes","No"))</f>
        <v/>
      </c>
      <c r="U67" s="49" cm="1">
        <f t="array" ref="U67">IF($A67="","",IF(AND(H67="Applicable",OR(L67="Gap",L67="Partial coverage")),INDEX(RISK_SCALE_NAMES,MAX(IFERROR(MATCH(P67,RISK_SCALE_NAMES,0),1),IFERROR(MATCH(S67,RISK_SCALE_NAMES,0),0))),""))</f>
        <v/>
      </c>
      <c r="V67" s="49" cm="1">
        <f t="array" ref="V67">IF($A67="","",_xlfn.TEXTJOIN("; ",TRUE,_xlfn._xlws.FILTER(tblThreatControls[Threat ID],(tblThreatControls[Control ID]=$A67)*(tblThreatControls[Threat applies]="Applies"),"")))</f>
        <v/>
      </c>
    </row>
    <row r="68" ht="45" customHeight="1" s="19">
      <c r="A68" s="49" t="n"/>
      <c r="B68" s="49" t="n"/>
      <c r="C68" s="48" cm="1">
        <f t="array" ref="C68">IF($A68="","",_xlfn.TEXTJOIN("; ",TRUE,_xlfn._xlws.FILTER(MT_IDS,MT_BASELINE=$A68,"")))</f>
        <v/>
      </c>
      <c r="D68" s="48">
        <f>IF($A68="","",_xlfn.MINIFS(MT_LEVEL,MT_BASELINE,$A68))</f>
        <v/>
      </c>
      <c r="E68" s="49" t="n"/>
      <c r="F68" s="48" cm="1">
        <f t="array" ref="F68">IF($A68="","",_xlfn.TEXTJOIN("; ",TRUE,_xlfn._xlws.FILTER(MT_IDS,(MT_BASELINE=$A68)*(MT_APPLICABLE="Applicable"),"")))</f>
        <v/>
      </c>
      <c r="G68" s="48">
        <f>IF($A68="","",COUNTIFS(MT_BASELINE,$A68,MT_APPLICABLE,"Applicable"))</f>
        <v/>
      </c>
      <c r="H68" s="50">
        <f>IF($A68="","",IF(G68&gt;0,"Applicable","N/A"))</f>
        <v/>
      </c>
      <c r="I68" s="49" t="n"/>
      <c r="J68" s="49" t="n"/>
      <c r="K68" s="49" t="n"/>
      <c r="L68" s="49" t="n"/>
      <c r="M68" s="49" t="n"/>
      <c r="N68" s="49" t="n"/>
      <c r="O68" s="50" t="n"/>
      <c r="P68" s="50">
        <f>IF($A68="","",IF(H68="N/A","N/A",IFERROR(INDEX(CRIT_MATRIX,MATCH(O68,CRIT_MATRIX_ROWS,0),MATCH(APP_RISK_TIER,CRIT_MATRIX_COLS,0)),"")))</f>
        <v/>
      </c>
      <c r="Q68" s="49" t="n"/>
      <c r="R68" s="49" cm="1">
        <f t="array" ref="R68">IF($A68="","",COUNTIFS(tblThreatControls[Control ID],$A68,tblThreatControls[Threat applies],"Applies"))</f>
        <v/>
      </c>
      <c r="S68" s="49" cm="1">
        <f t="array" ref="S68">IF($A68="","",IF(R68=0,"",INDEX(RISK_SCALE_NAMES,_xlfn.MAXIFS(tblThreatControls[Threat risk score],tblThreatControls[Control ID],$A68))))</f>
        <v/>
      </c>
      <c r="T68" s="49" cm="1">
        <f t="array" ref="T68">IF($A68="","",IF(AND(H68="Applicable",OR(L68="Not assessed",L68=""),R68&gt;0),"Yes","No"))</f>
        <v/>
      </c>
      <c r="U68" s="49" cm="1">
        <f t="array" ref="U68">IF($A68="","",IF(AND(H68="Applicable",OR(L68="Gap",L68="Partial coverage")),INDEX(RISK_SCALE_NAMES,MAX(IFERROR(MATCH(P68,RISK_SCALE_NAMES,0),1),IFERROR(MATCH(S68,RISK_SCALE_NAMES,0),0))),""))</f>
        <v/>
      </c>
      <c r="V68" s="49" cm="1">
        <f t="array" ref="V68">IF($A68="","",_xlfn.TEXTJOIN("; ",TRUE,_xlfn._xlws.FILTER(tblThreatControls[Threat ID],(tblThreatControls[Control ID]=$A68)*(tblThreatControls[Threat applies]="Applies"),"")))</f>
        <v/>
      </c>
    </row>
    <row r="69" ht="45" customHeight="1" s="19">
      <c r="A69" s="49" t="n"/>
      <c r="B69" s="49" t="n"/>
      <c r="C69" s="48" cm="1">
        <f t="array" ref="C69">IF($A69="","",_xlfn.TEXTJOIN("; ",TRUE,_xlfn._xlws.FILTER(MT_IDS,MT_BASELINE=$A69,"")))</f>
        <v/>
      </c>
      <c r="D69" s="48">
        <f>IF($A69="","",_xlfn.MINIFS(MT_LEVEL,MT_BASELINE,$A69))</f>
        <v/>
      </c>
      <c r="E69" s="49" t="n"/>
      <c r="F69" s="48" cm="1">
        <f t="array" ref="F69">IF($A69="","",_xlfn.TEXTJOIN("; ",TRUE,_xlfn._xlws.FILTER(MT_IDS,(MT_BASELINE=$A69)*(MT_APPLICABLE="Applicable"),"")))</f>
        <v/>
      </c>
      <c r="G69" s="48">
        <f>IF($A69="","",COUNTIFS(MT_BASELINE,$A69,MT_APPLICABLE,"Applicable"))</f>
        <v/>
      </c>
      <c r="H69" s="50">
        <f>IF($A69="","",IF(G69&gt;0,"Applicable","N/A"))</f>
        <v/>
      </c>
      <c r="I69" s="49" t="n"/>
      <c r="J69" s="49" t="n"/>
      <c r="K69" s="49" t="n"/>
      <c r="L69" s="49" t="n"/>
      <c r="M69" s="49" t="n"/>
      <c r="N69" s="49" t="n"/>
      <c r="O69" s="50" t="n"/>
      <c r="P69" s="50">
        <f>IF($A69="","",IF(H69="N/A","N/A",IFERROR(INDEX(CRIT_MATRIX,MATCH(O69,CRIT_MATRIX_ROWS,0),MATCH(APP_RISK_TIER,CRIT_MATRIX_COLS,0)),"")))</f>
        <v/>
      </c>
      <c r="Q69" s="49" t="n"/>
      <c r="R69" s="49" cm="1">
        <f t="array" ref="R69">IF($A69="","",COUNTIFS(tblThreatControls[Control ID],$A69,tblThreatControls[Threat applies],"Applies"))</f>
        <v/>
      </c>
      <c r="S69" s="49" cm="1">
        <f t="array" ref="S69">IF($A69="","",IF(R69=0,"",INDEX(RISK_SCALE_NAMES,_xlfn.MAXIFS(tblThreatControls[Threat risk score],tblThreatControls[Control ID],$A69))))</f>
        <v/>
      </c>
      <c r="T69" s="49" cm="1">
        <f t="array" ref="T69">IF($A69="","",IF(AND(H69="Applicable",OR(L69="Not assessed",L69=""),R69&gt;0),"Yes","No"))</f>
        <v/>
      </c>
      <c r="U69" s="49" cm="1">
        <f t="array" ref="U69">IF($A69="","",IF(AND(H69="Applicable",OR(L69="Gap",L69="Partial coverage")),INDEX(RISK_SCALE_NAMES,MAX(IFERROR(MATCH(P69,RISK_SCALE_NAMES,0),1),IFERROR(MATCH(S69,RISK_SCALE_NAMES,0),0))),""))</f>
        <v/>
      </c>
      <c r="V69" s="49" cm="1">
        <f t="array" ref="V69">IF($A69="","",_xlfn.TEXTJOIN("; ",TRUE,_xlfn._xlws.FILTER(tblThreatControls[Threat ID],(tblThreatControls[Control ID]=$A69)*(tblThreatControls[Threat applies]="Applies"),"")))</f>
        <v/>
      </c>
    </row>
    <row r="70" ht="45" customHeight="1" s="19">
      <c r="A70" s="49" t="n"/>
      <c r="B70" s="49" t="n"/>
      <c r="C70" s="48" cm="1">
        <f t="array" ref="C70">IF($A70="","",_xlfn.TEXTJOIN("; ",TRUE,_xlfn._xlws.FILTER(MT_IDS,MT_BASELINE=$A70,"")))</f>
        <v/>
      </c>
      <c r="D70" s="48">
        <f>IF($A70="","",_xlfn.MINIFS(MT_LEVEL,MT_BASELINE,$A70))</f>
        <v/>
      </c>
      <c r="E70" s="49" t="n"/>
      <c r="F70" s="48" cm="1">
        <f t="array" ref="F70">IF($A70="","",_xlfn.TEXTJOIN("; ",TRUE,_xlfn._xlws.FILTER(MT_IDS,(MT_BASELINE=$A70)*(MT_APPLICABLE="Applicable"),"")))</f>
        <v/>
      </c>
      <c r="G70" s="48">
        <f>IF($A70="","",COUNTIFS(MT_BASELINE,$A70,MT_APPLICABLE,"Applicable"))</f>
        <v/>
      </c>
      <c r="H70" s="50">
        <f>IF($A70="","",IF(G70&gt;0,"Applicable","N/A"))</f>
        <v/>
      </c>
      <c r="I70" s="49" t="n"/>
      <c r="J70" s="49" t="n"/>
      <c r="K70" s="49" t="n"/>
      <c r="L70" s="49" t="n"/>
      <c r="M70" s="49" t="n"/>
      <c r="N70" s="49" t="n"/>
      <c r="O70" s="50" t="n"/>
      <c r="P70" s="50">
        <f>IF($A70="","",IF(H70="N/A","N/A",IFERROR(INDEX(CRIT_MATRIX,MATCH(O70,CRIT_MATRIX_ROWS,0),MATCH(APP_RISK_TIER,CRIT_MATRIX_COLS,0)),"")))</f>
        <v/>
      </c>
      <c r="Q70" s="49" t="n"/>
      <c r="R70" s="49" cm="1">
        <f t="array" ref="R70">IF($A70="","",COUNTIFS(tblThreatControls[Control ID],$A70,tblThreatControls[Threat applies],"Applies"))</f>
        <v/>
      </c>
      <c r="S70" s="49" cm="1">
        <f t="array" ref="S70">IF($A70="","",IF(R70=0,"",INDEX(RISK_SCALE_NAMES,_xlfn.MAXIFS(tblThreatControls[Threat risk score],tblThreatControls[Control ID],$A70))))</f>
        <v/>
      </c>
      <c r="T70" s="49" cm="1">
        <f t="array" ref="T70">IF($A70="","",IF(AND(H70="Applicable",OR(L70="Not assessed",L70=""),R70&gt;0),"Yes","No"))</f>
        <v/>
      </c>
      <c r="U70" s="49" cm="1">
        <f t="array" ref="U70">IF($A70="","",IF(AND(H70="Applicable",OR(L70="Gap",L70="Partial coverage")),INDEX(RISK_SCALE_NAMES,MAX(IFERROR(MATCH(P70,RISK_SCALE_NAMES,0),1),IFERROR(MATCH(S70,RISK_SCALE_NAMES,0),0))),""))</f>
        <v/>
      </c>
      <c r="V70" s="49" cm="1">
        <f t="array" ref="V70">IF($A70="","",_xlfn.TEXTJOIN("; ",TRUE,_xlfn._xlws.FILTER(tblThreatControls[Threat ID],(tblThreatControls[Control ID]=$A70)*(tblThreatControls[Threat applies]="Applies"),"")))</f>
        <v/>
      </c>
    </row>
    <row r="71" ht="45" customHeight="1" s="19">
      <c r="A71" s="49" t="n"/>
      <c r="B71" s="49" t="n"/>
      <c r="C71" s="48" cm="1">
        <f t="array" ref="C71">IF($A71="","",_xlfn.TEXTJOIN("; ",TRUE,_xlfn._xlws.FILTER(MT_IDS,MT_BASELINE=$A71,"")))</f>
        <v/>
      </c>
      <c r="D71" s="48">
        <f>IF($A71="","",_xlfn.MINIFS(MT_LEVEL,MT_BASELINE,$A71))</f>
        <v/>
      </c>
      <c r="E71" s="49" t="n"/>
      <c r="F71" s="48" cm="1">
        <f t="array" ref="F71">IF($A71="","",_xlfn.TEXTJOIN("; ",TRUE,_xlfn._xlws.FILTER(MT_IDS,(MT_BASELINE=$A71)*(MT_APPLICABLE="Applicable"),"")))</f>
        <v/>
      </c>
      <c r="G71" s="48">
        <f>IF($A71="","",COUNTIFS(MT_BASELINE,$A71,MT_APPLICABLE,"Applicable"))</f>
        <v/>
      </c>
      <c r="H71" s="50">
        <f>IF($A71="","",IF(G71&gt;0,"Applicable","N/A"))</f>
        <v/>
      </c>
      <c r="I71" s="49" t="n"/>
      <c r="J71" s="49" t="n"/>
      <c r="K71" s="49" t="n"/>
      <c r="L71" s="49" t="n"/>
      <c r="M71" s="49" t="n"/>
      <c r="N71" s="49" t="n"/>
      <c r="O71" s="50" t="n"/>
      <c r="P71" s="50">
        <f>IF($A71="","",IF(H71="N/A","N/A",IFERROR(INDEX(CRIT_MATRIX,MATCH(O71,CRIT_MATRIX_ROWS,0),MATCH(APP_RISK_TIER,CRIT_MATRIX_COLS,0)),"")))</f>
        <v/>
      </c>
      <c r="Q71" s="49" t="n"/>
      <c r="R71" s="49" cm="1">
        <f t="array" ref="R71">IF($A71="","",COUNTIFS(tblThreatControls[Control ID],$A71,tblThreatControls[Threat applies],"Applies"))</f>
        <v/>
      </c>
      <c r="S71" s="49" cm="1">
        <f t="array" ref="S71">IF($A71="","",IF(R71=0,"",INDEX(RISK_SCALE_NAMES,_xlfn.MAXIFS(tblThreatControls[Threat risk score],tblThreatControls[Control ID],$A71))))</f>
        <v/>
      </c>
      <c r="T71" s="49" cm="1">
        <f t="array" ref="T71">IF($A71="","",IF(AND(H71="Applicable",OR(L71="Not assessed",L71=""),R71&gt;0),"Yes","No"))</f>
        <v/>
      </c>
      <c r="U71" s="49" cm="1">
        <f t="array" ref="U71">IF($A71="","",IF(AND(H71="Applicable",OR(L71="Gap",L71="Partial coverage")),INDEX(RISK_SCALE_NAMES,MAX(IFERROR(MATCH(P71,RISK_SCALE_NAMES,0),1),IFERROR(MATCH(S71,RISK_SCALE_NAMES,0),0))),""))</f>
        <v/>
      </c>
      <c r="V71" s="49" cm="1">
        <f t="array" ref="V71">IF($A71="","",_xlfn.TEXTJOIN("; ",TRUE,_xlfn._xlws.FILTER(tblThreatControls[Threat ID],(tblThreatControls[Control ID]=$A71)*(tblThreatControls[Threat applies]="Applies"),"")))</f>
        <v/>
      </c>
    </row>
    <row r="72" ht="45" customHeight="1" s="19">
      <c r="A72" s="49" t="n"/>
      <c r="B72" s="49" t="n"/>
      <c r="C72" s="48" cm="1">
        <f t="array" ref="C72">IF($A72="","",_xlfn.TEXTJOIN("; ",TRUE,_xlfn._xlws.FILTER(MT_IDS,MT_BASELINE=$A72,"")))</f>
        <v/>
      </c>
      <c r="D72" s="48">
        <f>IF($A72="","",_xlfn.MINIFS(MT_LEVEL,MT_BASELINE,$A72))</f>
        <v/>
      </c>
      <c r="E72" s="49" t="n"/>
      <c r="F72" s="48" cm="1">
        <f t="array" ref="F72">IF($A72="","",_xlfn.TEXTJOIN("; ",TRUE,_xlfn._xlws.FILTER(MT_IDS,(MT_BASELINE=$A72)*(MT_APPLICABLE="Applicable"),"")))</f>
        <v/>
      </c>
      <c r="G72" s="48">
        <f>IF($A72="","",COUNTIFS(MT_BASELINE,$A72,MT_APPLICABLE,"Applicable"))</f>
        <v/>
      </c>
      <c r="H72" s="50">
        <f>IF($A72="","",IF(G72&gt;0,"Applicable","N/A"))</f>
        <v/>
      </c>
      <c r="I72" s="49" t="n"/>
      <c r="J72" s="49" t="n"/>
      <c r="K72" s="49" t="n"/>
      <c r="L72" s="49" t="n"/>
      <c r="M72" s="49" t="n"/>
      <c r="N72" s="49" t="n"/>
      <c r="O72" s="50" t="n"/>
      <c r="P72" s="50">
        <f>IF($A72="","",IF(H72="N/A","N/A",IFERROR(INDEX(CRIT_MATRIX,MATCH(O72,CRIT_MATRIX_ROWS,0),MATCH(APP_RISK_TIER,CRIT_MATRIX_COLS,0)),"")))</f>
        <v/>
      </c>
      <c r="Q72" s="49" t="n"/>
      <c r="R72" s="49" cm="1">
        <f t="array" ref="R72">IF($A72="","",COUNTIFS(tblThreatControls[Control ID],$A72,tblThreatControls[Threat applies],"Applies"))</f>
        <v/>
      </c>
      <c r="S72" s="49" cm="1">
        <f t="array" ref="S72">IF($A72="","",IF(R72=0,"",INDEX(RISK_SCALE_NAMES,_xlfn.MAXIFS(tblThreatControls[Threat risk score],tblThreatControls[Control ID],$A72))))</f>
        <v/>
      </c>
      <c r="T72" s="49" cm="1">
        <f t="array" ref="T72">IF($A72="","",IF(AND(H72="Applicable",OR(L72="Not assessed",L72=""),R72&gt;0),"Yes","No"))</f>
        <v/>
      </c>
      <c r="U72" s="49" cm="1">
        <f t="array" ref="U72">IF($A72="","",IF(AND(H72="Applicable",OR(L72="Gap",L72="Partial coverage")),INDEX(RISK_SCALE_NAMES,MAX(IFERROR(MATCH(P72,RISK_SCALE_NAMES,0),1),IFERROR(MATCH(S72,RISK_SCALE_NAMES,0),0))),""))</f>
        <v/>
      </c>
      <c r="V72" s="49" cm="1">
        <f t="array" ref="V72">IF($A72="","",_xlfn.TEXTJOIN("; ",TRUE,_xlfn._xlws.FILTER(tblThreatControls[Threat ID],(tblThreatControls[Control ID]=$A72)*(tblThreatControls[Threat applies]="Applies"),"")))</f>
        <v/>
      </c>
    </row>
    <row r="73" ht="45" customHeight="1" s="19">
      <c r="A73" s="49" t="n"/>
      <c r="B73" s="49" t="n"/>
      <c r="C73" s="48" cm="1">
        <f t="array" ref="C73">IF($A73="","",_xlfn.TEXTJOIN("; ",TRUE,_xlfn._xlws.FILTER(MT_IDS,MT_BASELINE=$A73,"")))</f>
        <v/>
      </c>
      <c r="D73" s="48">
        <f>IF($A73="","",_xlfn.MINIFS(MT_LEVEL,MT_BASELINE,$A73))</f>
        <v/>
      </c>
      <c r="E73" s="49" t="n"/>
      <c r="F73" s="48" cm="1">
        <f t="array" ref="F73">IF($A73="","",_xlfn.TEXTJOIN("; ",TRUE,_xlfn._xlws.FILTER(MT_IDS,(MT_BASELINE=$A73)*(MT_APPLICABLE="Applicable"),"")))</f>
        <v/>
      </c>
      <c r="G73" s="48">
        <f>IF($A73="","",COUNTIFS(MT_BASELINE,$A73,MT_APPLICABLE,"Applicable"))</f>
        <v/>
      </c>
      <c r="H73" s="50">
        <f>IF($A73="","",IF(G73&gt;0,"Applicable","N/A"))</f>
        <v/>
      </c>
      <c r="I73" s="49" t="n"/>
      <c r="J73" s="49" t="n"/>
      <c r="K73" s="49" t="n"/>
      <c r="L73" s="49" t="n"/>
      <c r="M73" s="49" t="n"/>
      <c r="N73" s="49" t="n"/>
      <c r="O73" s="50" t="n"/>
      <c r="P73" s="50">
        <f>IF($A73="","",IF(H73="N/A","N/A",IFERROR(INDEX(CRIT_MATRIX,MATCH(O73,CRIT_MATRIX_ROWS,0),MATCH(APP_RISK_TIER,CRIT_MATRIX_COLS,0)),"")))</f>
        <v/>
      </c>
      <c r="Q73" s="49" t="n"/>
      <c r="R73" s="49" cm="1">
        <f t="array" ref="R73">IF($A73="","",COUNTIFS(tblThreatControls[Control ID],$A73,tblThreatControls[Threat applies],"Applies"))</f>
        <v/>
      </c>
      <c r="S73" s="49" cm="1">
        <f t="array" ref="S73">IF($A73="","",IF(R73=0,"",INDEX(RISK_SCALE_NAMES,_xlfn.MAXIFS(tblThreatControls[Threat risk score],tblThreatControls[Control ID],$A73))))</f>
        <v/>
      </c>
      <c r="T73" s="49" cm="1">
        <f t="array" ref="T73">IF($A73="","",IF(AND(H73="Applicable",OR(L73="Not assessed",L73=""),R73&gt;0),"Yes","No"))</f>
        <v/>
      </c>
      <c r="U73" s="49" cm="1">
        <f t="array" ref="U73">IF($A73="","",IF(AND(H73="Applicable",OR(L73="Gap",L73="Partial coverage")),INDEX(RISK_SCALE_NAMES,MAX(IFERROR(MATCH(P73,RISK_SCALE_NAMES,0),1),IFERROR(MATCH(S73,RISK_SCALE_NAMES,0),0))),""))</f>
        <v/>
      </c>
      <c r="V73" s="49" cm="1">
        <f t="array" ref="V73">IF($A73="","",_xlfn.TEXTJOIN("; ",TRUE,_xlfn._xlws.FILTER(tblThreatControls[Threat ID],(tblThreatControls[Control ID]=$A73)*(tblThreatControls[Threat applies]="Applies"),"")))</f>
        <v/>
      </c>
    </row>
    <row r="74" ht="45" customHeight="1" s="19">
      <c r="A74" s="49" t="n"/>
      <c r="B74" s="49" t="n"/>
      <c r="C74" s="48" cm="1">
        <f t="array" ref="C74">IF($A74="","",_xlfn.TEXTJOIN("; ",TRUE,_xlfn._xlws.FILTER(MT_IDS,MT_BASELINE=$A74,"")))</f>
        <v/>
      </c>
      <c r="D74" s="48">
        <f>IF($A74="","",_xlfn.MINIFS(MT_LEVEL,MT_BASELINE,$A74))</f>
        <v/>
      </c>
      <c r="E74" s="49" t="n"/>
      <c r="F74" s="48" cm="1">
        <f t="array" ref="F74">IF($A74="","",_xlfn.TEXTJOIN("; ",TRUE,_xlfn._xlws.FILTER(MT_IDS,(MT_BASELINE=$A74)*(MT_APPLICABLE="Applicable"),"")))</f>
        <v/>
      </c>
      <c r="G74" s="48">
        <f>IF($A74="","",COUNTIFS(MT_BASELINE,$A74,MT_APPLICABLE,"Applicable"))</f>
        <v/>
      </c>
      <c r="H74" s="50">
        <f>IF($A74="","",IF(G74&gt;0,"Applicable","N/A"))</f>
        <v/>
      </c>
      <c r="I74" s="49" t="n"/>
      <c r="J74" s="49" t="n"/>
      <c r="K74" s="49" t="n"/>
      <c r="L74" s="49" t="n"/>
      <c r="M74" s="49" t="n"/>
      <c r="N74" s="49" t="n"/>
      <c r="O74" s="50" t="n"/>
      <c r="P74" s="50">
        <f>IF($A74="","",IF(H74="N/A","N/A",IFERROR(INDEX(CRIT_MATRIX,MATCH(O74,CRIT_MATRIX_ROWS,0),MATCH(APP_RISK_TIER,CRIT_MATRIX_COLS,0)),"")))</f>
        <v/>
      </c>
      <c r="Q74" s="49" t="n"/>
      <c r="R74" s="49" cm="1">
        <f t="array" ref="R74">IF($A74="","",COUNTIFS(tblThreatControls[Control ID],$A74,tblThreatControls[Threat applies],"Applies"))</f>
        <v/>
      </c>
      <c r="S74" s="49" cm="1">
        <f t="array" ref="S74">IF($A74="","",IF(R74=0,"",INDEX(RISK_SCALE_NAMES,_xlfn.MAXIFS(tblThreatControls[Threat risk score],tblThreatControls[Control ID],$A74))))</f>
        <v/>
      </c>
      <c r="T74" s="49" cm="1">
        <f t="array" ref="T74">IF($A74="","",IF(AND(H74="Applicable",OR(L74="Not assessed",L74=""),R74&gt;0),"Yes","No"))</f>
        <v/>
      </c>
      <c r="U74" s="49" cm="1">
        <f t="array" ref="U74">IF($A74="","",IF(AND(H74="Applicable",OR(L74="Gap",L74="Partial coverage")),INDEX(RISK_SCALE_NAMES,MAX(IFERROR(MATCH(P74,RISK_SCALE_NAMES,0),1),IFERROR(MATCH(S74,RISK_SCALE_NAMES,0),0))),""))</f>
        <v/>
      </c>
      <c r="V74" s="49" cm="1">
        <f t="array" ref="V74">IF($A74="","",_xlfn.TEXTJOIN("; ",TRUE,_xlfn._xlws.FILTER(tblThreatControls[Threat ID],(tblThreatControls[Control ID]=$A74)*(tblThreatControls[Threat applies]="Applies"),"")))</f>
        <v/>
      </c>
    </row>
    <row r="75" ht="45" customHeight="1" s="19">
      <c r="A75" s="49" t="n"/>
      <c r="B75" s="49" t="n"/>
      <c r="C75" s="48" cm="1">
        <f t="array" ref="C75">IF($A75="","",_xlfn.TEXTJOIN("; ",TRUE,_xlfn._xlws.FILTER(MT_IDS,MT_BASELINE=$A75,"")))</f>
        <v/>
      </c>
      <c r="D75" s="48">
        <f>IF($A75="","",_xlfn.MINIFS(MT_LEVEL,MT_BASELINE,$A75))</f>
        <v/>
      </c>
      <c r="E75" s="49" t="n"/>
      <c r="F75" s="48" cm="1">
        <f t="array" ref="F75">IF($A75="","",_xlfn.TEXTJOIN("; ",TRUE,_xlfn._xlws.FILTER(MT_IDS,(MT_BASELINE=$A75)*(MT_APPLICABLE="Applicable"),"")))</f>
        <v/>
      </c>
      <c r="G75" s="48">
        <f>IF($A75="","",COUNTIFS(MT_BASELINE,$A75,MT_APPLICABLE,"Applicable"))</f>
        <v/>
      </c>
      <c r="H75" s="50">
        <f>IF($A75="","",IF(G75&gt;0,"Applicable","N/A"))</f>
        <v/>
      </c>
      <c r="I75" s="49" t="n"/>
      <c r="J75" s="49" t="n"/>
      <c r="K75" s="49" t="n"/>
      <c r="L75" s="49" t="n"/>
      <c r="M75" s="49" t="n"/>
      <c r="N75" s="49" t="n"/>
      <c r="O75" s="50" t="n"/>
      <c r="P75" s="50">
        <f>IF($A75="","",IF(H75="N/A","N/A",IFERROR(INDEX(CRIT_MATRIX,MATCH(O75,CRIT_MATRIX_ROWS,0),MATCH(APP_RISK_TIER,CRIT_MATRIX_COLS,0)),"")))</f>
        <v/>
      </c>
      <c r="Q75" s="49" t="n"/>
      <c r="R75" s="49" cm="1">
        <f t="array" ref="R75">IF($A75="","",COUNTIFS(tblThreatControls[Control ID],$A75,tblThreatControls[Threat applies],"Applies"))</f>
        <v/>
      </c>
      <c r="S75" s="49" cm="1">
        <f t="array" ref="S75">IF($A75="","",IF(R75=0,"",INDEX(RISK_SCALE_NAMES,_xlfn.MAXIFS(tblThreatControls[Threat risk score],tblThreatControls[Control ID],$A75))))</f>
        <v/>
      </c>
      <c r="T75" s="49" cm="1">
        <f t="array" ref="T75">IF($A75="","",IF(AND(H75="Applicable",OR(L75="Not assessed",L75=""),R75&gt;0),"Yes","No"))</f>
        <v/>
      </c>
      <c r="U75" s="49" cm="1">
        <f t="array" ref="U75">IF($A75="","",IF(AND(H75="Applicable",OR(L75="Gap",L75="Partial coverage")),INDEX(RISK_SCALE_NAMES,MAX(IFERROR(MATCH(P75,RISK_SCALE_NAMES,0),1),IFERROR(MATCH(S75,RISK_SCALE_NAMES,0),0))),""))</f>
        <v/>
      </c>
      <c r="V75" s="49" cm="1">
        <f t="array" ref="V75">IF($A75="","",_xlfn.TEXTJOIN("; ",TRUE,_xlfn._xlws.FILTER(tblThreatControls[Threat ID],(tblThreatControls[Control ID]=$A75)*(tblThreatControls[Threat applies]="Applies"),"")))</f>
        <v/>
      </c>
    </row>
    <row r="76" ht="45" customHeight="1" s="19">
      <c r="A76" s="49" t="n"/>
      <c r="B76" s="49" t="n"/>
      <c r="C76" s="48" cm="1">
        <f t="array" ref="C76">IF($A76="","",_xlfn.TEXTJOIN("; ",TRUE,_xlfn._xlws.FILTER(MT_IDS,MT_BASELINE=$A76,"")))</f>
        <v/>
      </c>
      <c r="D76" s="48">
        <f>IF($A76="","",_xlfn.MINIFS(MT_LEVEL,MT_BASELINE,$A76))</f>
        <v/>
      </c>
      <c r="E76" s="49" t="n"/>
      <c r="F76" s="48" cm="1">
        <f t="array" ref="F76">IF($A76="","",_xlfn.TEXTJOIN("; ",TRUE,_xlfn._xlws.FILTER(MT_IDS,(MT_BASELINE=$A76)*(MT_APPLICABLE="Applicable"),"")))</f>
        <v/>
      </c>
      <c r="G76" s="48">
        <f>IF($A76="","",COUNTIFS(MT_BASELINE,$A76,MT_APPLICABLE,"Applicable"))</f>
        <v/>
      </c>
      <c r="H76" s="50">
        <f>IF($A76="","",IF(G76&gt;0,"Applicable","N/A"))</f>
        <v/>
      </c>
      <c r="I76" s="49" t="n"/>
      <c r="J76" s="49" t="n"/>
      <c r="K76" s="49" t="n"/>
      <c r="L76" s="49" t="n"/>
      <c r="M76" s="49" t="n"/>
      <c r="N76" s="49" t="n"/>
      <c r="O76" s="50" t="n"/>
      <c r="P76" s="50">
        <f>IF($A76="","",IF(H76="N/A","N/A",IFERROR(INDEX(CRIT_MATRIX,MATCH(O76,CRIT_MATRIX_ROWS,0),MATCH(APP_RISK_TIER,CRIT_MATRIX_COLS,0)),"")))</f>
        <v/>
      </c>
      <c r="Q76" s="49" t="n"/>
      <c r="R76" s="49" cm="1">
        <f t="array" ref="R76">IF($A76="","",COUNTIFS(tblThreatControls[Control ID],$A76,tblThreatControls[Threat applies],"Applies"))</f>
        <v/>
      </c>
      <c r="S76" s="49" cm="1">
        <f t="array" ref="S76">IF($A76="","",IF(R76=0,"",INDEX(RISK_SCALE_NAMES,_xlfn.MAXIFS(tblThreatControls[Threat risk score],tblThreatControls[Control ID],$A76))))</f>
        <v/>
      </c>
      <c r="T76" s="49" cm="1">
        <f t="array" ref="T76">IF($A76="","",IF(AND(H76="Applicable",OR(L76="Not assessed",L76=""),R76&gt;0),"Yes","No"))</f>
        <v/>
      </c>
      <c r="U76" s="49" cm="1">
        <f t="array" ref="U76">IF($A76="","",IF(AND(H76="Applicable",OR(L76="Gap",L76="Partial coverage")),INDEX(RISK_SCALE_NAMES,MAX(IFERROR(MATCH(P76,RISK_SCALE_NAMES,0),1),IFERROR(MATCH(S76,RISK_SCALE_NAMES,0),0))),""))</f>
        <v/>
      </c>
      <c r="V76" s="49" cm="1">
        <f t="array" ref="V76">IF($A76="","",_xlfn.TEXTJOIN("; ",TRUE,_xlfn._xlws.FILTER(tblThreatControls[Threat ID],(tblThreatControls[Control ID]=$A76)*(tblThreatControls[Threat applies]="Applies"),"")))</f>
        <v/>
      </c>
    </row>
    <row r="77" ht="45" customHeight="1" s="19">
      <c r="A77" s="49" t="n"/>
      <c r="B77" s="49" t="n"/>
      <c r="C77" s="48" cm="1">
        <f t="array" ref="C77">IF($A77="","",_xlfn.TEXTJOIN("; ",TRUE,_xlfn._xlws.FILTER(MT_IDS,MT_BASELINE=$A77,"")))</f>
        <v/>
      </c>
      <c r="D77" s="48">
        <f>IF($A77="","",_xlfn.MINIFS(MT_LEVEL,MT_BASELINE,$A77))</f>
        <v/>
      </c>
      <c r="E77" s="49" t="n"/>
      <c r="F77" s="48" cm="1">
        <f t="array" ref="F77">IF($A77="","",_xlfn.TEXTJOIN("; ",TRUE,_xlfn._xlws.FILTER(MT_IDS,(MT_BASELINE=$A77)*(MT_APPLICABLE="Applicable"),"")))</f>
        <v/>
      </c>
      <c r="G77" s="48">
        <f>IF($A77="","",COUNTIFS(MT_BASELINE,$A77,MT_APPLICABLE,"Applicable"))</f>
        <v/>
      </c>
      <c r="H77" s="50">
        <f>IF($A77="","",IF(G77&gt;0,"Applicable","N/A"))</f>
        <v/>
      </c>
      <c r="I77" s="49" t="n"/>
      <c r="J77" s="49" t="n"/>
      <c r="K77" s="49" t="n"/>
      <c r="L77" s="49" t="n"/>
      <c r="M77" s="49" t="n"/>
      <c r="N77" s="49" t="n"/>
      <c r="O77" s="50" t="n"/>
      <c r="P77" s="50">
        <f>IF($A77="","",IF(H77="N/A","N/A",IFERROR(INDEX(CRIT_MATRIX,MATCH(O77,CRIT_MATRIX_ROWS,0),MATCH(APP_RISK_TIER,CRIT_MATRIX_COLS,0)),"")))</f>
        <v/>
      </c>
      <c r="Q77" s="49" t="n"/>
      <c r="R77" s="49" cm="1">
        <f t="array" ref="R77">IF($A77="","",COUNTIFS(tblThreatControls[Control ID],$A77,tblThreatControls[Threat applies],"Applies"))</f>
        <v/>
      </c>
      <c r="S77" s="49" cm="1">
        <f t="array" ref="S77">IF($A77="","",IF(R77=0,"",INDEX(RISK_SCALE_NAMES,_xlfn.MAXIFS(tblThreatControls[Threat risk score],tblThreatControls[Control ID],$A77))))</f>
        <v/>
      </c>
      <c r="T77" s="49" cm="1">
        <f t="array" ref="T77">IF($A77="","",IF(AND(H77="Applicable",OR(L77="Not assessed",L77=""),R77&gt;0),"Yes","No"))</f>
        <v/>
      </c>
      <c r="U77" s="49" cm="1">
        <f t="array" ref="U77">IF($A77="","",IF(AND(H77="Applicable",OR(L77="Gap",L77="Partial coverage")),INDEX(RISK_SCALE_NAMES,MAX(IFERROR(MATCH(P77,RISK_SCALE_NAMES,0),1),IFERROR(MATCH(S77,RISK_SCALE_NAMES,0),0))),""))</f>
        <v/>
      </c>
      <c r="V77" s="49" cm="1">
        <f t="array" ref="V77">IF($A77="","",_xlfn.TEXTJOIN("; ",TRUE,_xlfn._xlws.FILTER(tblThreatControls[Threat ID],(tblThreatControls[Control ID]=$A77)*(tblThreatControls[Threat applies]="Applies"),"")))</f>
        <v/>
      </c>
    </row>
    <row r="78" ht="45" customHeight="1" s="19">
      <c r="A78" s="49" t="n"/>
      <c r="B78" s="49" t="n"/>
      <c r="C78" s="48" cm="1">
        <f t="array" ref="C78">IF($A78="","",_xlfn.TEXTJOIN("; ",TRUE,_xlfn._xlws.FILTER(MT_IDS,MT_BASELINE=$A78,"")))</f>
        <v/>
      </c>
      <c r="D78" s="48">
        <f>IF($A78="","",_xlfn.MINIFS(MT_LEVEL,MT_BASELINE,$A78))</f>
        <v/>
      </c>
      <c r="E78" s="49" t="n"/>
      <c r="F78" s="48" cm="1">
        <f t="array" ref="F78">IF($A78="","",_xlfn.TEXTJOIN("; ",TRUE,_xlfn._xlws.FILTER(MT_IDS,(MT_BASELINE=$A78)*(MT_APPLICABLE="Applicable"),"")))</f>
        <v/>
      </c>
      <c r="G78" s="48">
        <f>IF($A78="","",COUNTIFS(MT_BASELINE,$A78,MT_APPLICABLE,"Applicable"))</f>
        <v/>
      </c>
      <c r="H78" s="50">
        <f>IF($A78="","",IF(G78&gt;0,"Applicable","N/A"))</f>
        <v/>
      </c>
      <c r="I78" s="49" t="n"/>
      <c r="J78" s="49" t="n"/>
      <c r="K78" s="49" t="n"/>
      <c r="L78" s="49" t="n"/>
      <c r="M78" s="49" t="n"/>
      <c r="N78" s="49" t="n"/>
      <c r="O78" s="50" t="n"/>
      <c r="P78" s="50">
        <f>IF($A78="","",IF(H78="N/A","N/A",IFERROR(INDEX(CRIT_MATRIX,MATCH(O78,CRIT_MATRIX_ROWS,0),MATCH(APP_RISK_TIER,CRIT_MATRIX_COLS,0)),"")))</f>
        <v/>
      </c>
      <c r="Q78" s="49" t="n"/>
      <c r="R78" s="49" cm="1">
        <f t="array" ref="R78">IF($A78="","",COUNTIFS(tblThreatControls[Control ID],$A78,tblThreatControls[Threat applies],"Applies"))</f>
        <v/>
      </c>
      <c r="S78" s="49" cm="1">
        <f t="array" ref="S78">IF($A78="","",IF(R78=0,"",INDEX(RISK_SCALE_NAMES,_xlfn.MAXIFS(tblThreatControls[Threat risk score],tblThreatControls[Control ID],$A78))))</f>
        <v/>
      </c>
      <c r="T78" s="49" cm="1">
        <f t="array" ref="T78">IF($A78="","",IF(AND(H78="Applicable",OR(L78="Not assessed",L78=""),R78&gt;0),"Yes","No"))</f>
        <v/>
      </c>
      <c r="U78" s="49" cm="1">
        <f t="array" ref="U78">IF($A78="","",IF(AND(H78="Applicable",OR(L78="Gap",L78="Partial coverage")),INDEX(RISK_SCALE_NAMES,MAX(IFERROR(MATCH(P78,RISK_SCALE_NAMES,0),1),IFERROR(MATCH(S78,RISK_SCALE_NAMES,0),0))),""))</f>
        <v/>
      </c>
      <c r="V78" s="49" cm="1">
        <f t="array" ref="V78">IF($A78="","",_xlfn.TEXTJOIN("; ",TRUE,_xlfn._xlws.FILTER(tblThreatControls[Threat ID],(tblThreatControls[Control ID]=$A78)*(tblThreatControls[Threat applies]="Applies"),"")))</f>
        <v/>
      </c>
    </row>
    <row r="79" ht="45" customHeight="1" s="19">
      <c r="A79" s="49" t="n"/>
      <c r="B79" s="49" t="n"/>
      <c r="C79" s="48" cm="1">
        <f t="array" ref="C79">IF($A79="","",_xlfn.TEXTJOIN("; ",TRUE,_xlfn._xlws.FILTER(MT_IDS,MT_BASELINE=$A79,"")))</f>
        <v/>
      </c>
      <c r="D79" s="48">
        <f>IF($A79="","",_xlfn.MINIFS(MT_LEVEL,MT_BASELINE,$A79))</f>
        <v/>
      </c>
      <c r="E79" s="49" t="n"/>
      <c r="F79" s="48" cm="1">
        <f t="array" ref="F79">IF($A79="","",_xlfn.TEXTJOIN("; ",TRUE,_xlfn._xlws.FILTER(MT_IDS,(MT_BASELINE=$A79)*(MT_APPLICABLE="Applicable"),"")))</f>
        <v/>
      </c>
      <c r="G79" s="48">
        <f>IF($A79="","",COUNTIFS(MT_BASELINE,$A79,MT_APPLICABLE,"Applicable"))</f>
        <v/>
      </c>
      <c r="H79" s="50">
        <f>IF($A79="","",IF(G79&gt;0,"Applicable","N/A"))</f>
        <v/>
      </c>
      <c r="I79" s="49" t="n"/>
      <c r="J79" s="49" t="n"/>
      <c r="K79" s="49" t="n"/>
      <c r="L79" s="49" t="n"/>
      <c r="M79" s="49" t="n"/>
      <c r="N79" s="49" t="n"/>
      <c r="O79" s="50" t="n"/>
      <c r="P79" s="50">
        <f>IF($A79="","",IF(H79="N/A","N/A",IFERROR(INDEX(CRIT_MATRIX,MATCH(O79,CRIT_MATRIX_ROWS,0),MATCH(APP_RISK_TIER,CRIT_MATRIX_COLS,0)),"")))</f>
        <v/>
      </c>
      <c r="Q79" s="49" t="n"/>
      <c r="R79" s="49" cm="1">
        <f t="array" ref="R79">IF($A79="","",COUNTIFS(tblThreatControls[Control ID],$A79,tblThreatControls[Threat applies],"Applies"))</f>
        <v/>
      </c>
      <c r="S79" s="49" cm="1">
        <f t="array" ref="S79">IF($A79="","",IF(R79=0,"",INDEX(RISK_SCALE_NAMES,_xlfn.MAXIFS(tblThreatControls[Threat risk score],tblThreatControls[Control ID],$A79))))</f>
        <v/>
      </c>
      <c r="T79" s="49" cm="1">
        <f t="array" ref="T79">IF($A79="","",IF(AND(H79="Applicable",OR(L79="Not assessed",L79=""),R79&gt;0),"Yes","No"))</f>
        <v/>
      </c>
      <c r="U79" s="49" cm="1">
        <f t="array" ref="U79">IF($A79="","",IF(AND(H79="Applicable",OR(L79="Gap",L79="Partial coverage")),INDEX(RISK_SCALE_NAMES,MAX(IFERROR(MATCH(P79,RISK_SCALE_NAMES,0),1),IFERROR(MATCH(S79,RISK_SCALE_NAMES,0),0))),""))</f>
        <v/>
      </c>
      <c r="V79" s="49" cm="1">
        <f t="array" ref="V79">IF($A79="","",_xlfn.TEXTJOIN("; ",TRUE,_xlfn._xlws.FILTER(tblThreatControls[Threat ID],(tblThreatControls[Control ID]=$A79)*(tblThreatControls[Threat applies]="Applies"),"")))</f>
        <v/>
      </c>
    </row>
    <row r="80" ht="45" customHeight="1" s="19">
      <c r="A80" s="49" t="n"/>
      <c r="B80" s="49" t="n"/>
      <c r="C80" s="48" cm="1">
        <f t="array" ref="C80">IF($A80="","",_xlfn.TEXTJOIN("; ",TRUE,_xlfn._xlws.FILTER(MT_IDS,MT_BASELINE=$A80,"")))</f>
        <v/>
      </c>
      <c r="D80" s="48">
        <f>IF($A80="","",_xlfn.MINIFS(MT_LEVEL,MT_BASELINE,$A80))</f>
        <v/>
      </c>
      <c r="E80" s="49" t="n"/>
      <c r="F80" s="48" cm="1">
        <f t="array" ref="F80">IF($A80="","",_xlfn.TEXTJOIN("; ",TRUE,_xlfn._xlws.FILTER(MT_IDS,(MT_BASELINE=$A80)*(MT_APPLICABLE="Applicable"),"")))</f>
        <v/>
      </c>
      <c r="G80" s="48">
        <f>IF($A80="","",COUNTIFS(MT_BASELINE,$A80,MT_APPLICABLE,"Applicable"))</f>
        <v/>
      </c>
      <c r="H80" s="50">
        <f>IF($A80="","",IF(G80&gt;0,"Applicable","N/A"))</f>
        <v/>
      </c>
      <c r="I80" s="49" t="n"/>
      <c r="J80" s="49" t="n"/>
      <c r="K80" s="49" t="n"/>
      <c r="L80" s="49" t="n"/>
      <c r="M80" s="49" t="n"/>
      <c r="N80" s="49" t="n"/>
      <c r="O80" s="50" t="n"/>
      <c r="P80" s="50">
        <f>IF($A80="","",IF(H80="N/A","N/A",IFERROR(INDEX(CRIT_MATRIX,MATCH(O80,CRIT_MATRIX_ROWS,0),MATCH(APP_RISK_TIER,CRIT_MATRIX_COLS,0)),"")))</f>
        <v/>
      </c>
      <c r="Q80" s="49" t="n"/>
      <c r="R80" s="49" cm="1">
        <f t="array" ref="R80">IF($A80="","",COUNTIFS(tblThreatControls[Control ID],$A80,tblThreatControls[Threat applies],"Applies"))</f>
        <v/>
      </c>
      <c r="S80" s="49" cm="1">
        <f t="array" ref="S80">IF($A80="","",IF(R80=0,"",INDEX(RISK_SCALE_NAMES,_xlfn.MAXIFS(tblThreatControls[Threat risk score],tblThreatControls[Control ID],$A80))))</f>
        <v/>
      </c>
      <c r="T80" s="49" cm="1">
        <f t="array" ref="T80">IF($A80="","",IF(AND(H80="Applicable",OR(L80="Not assessed",L80=""),R80&gt;0),"Yes","No"))</f>
        <v/>
      </c>
      <c r="U80" s="49" cm="1">
        <f t="array" ref="U80">IF($A80="","",IF(AND(H80="Applicable",OR(L80="Gap",L80="Partial coverage")),INDEX(RISK_SCALE_NAMES,MAX(IFERROR(MATCH(P80,RISK_SCALE_NAMES,0),1),IFERROR(MATCH(S80,RISK_SCALE_NAMES,0),0))),""))</f>
        <v/>
      </c>
      <c r="V80" s="49" cm="1">
        <f t="array" ref="V80">IF($A80="","",_xlfn.TEXTJOIN("; ",TRUE,_xlfn._xlws.FILTER(tblThreatControls[Threat ID],(tblThreatControls[Control ID]=$A80)*(tblThreatControls[Threat applies]="Applies"),"")))</f>
        <v/>
      </c>
    </row>
    <row r="81" ht="45" customHeight="1" s="19">
      <c r="A81" s="49" t="n"/>
      <c r="B81" s="49" t="n"/>
      <c r="C81" s="48" cm="1">
        <f t="array" ref="C81">IF($A81="","",_xlfn.TEXTJOIN("; ",TRUE,_xlfn._xlws.FILTER(MT_IDS,MT_BASELINE=$A81,"")))</f>
        <v/>
      </c>
      <c r="D81" s="48">
        <f>IF($A81="","",_xlfn.MINIFS(MT_LEVEL,MT_BASELINE,$A81))</f>
        <v/>
      </c>
      <c r="E81" s="49" t="n"/>
      <c r="F81" s="48" cm="1">
        <f t="array" ref="F81">IF($A81="","",_xlfn.TEXTJOIN("; ",TRUE,_xlfn._xlws.FILTER(MT_IDS,(MT_BASELINE=$A81)*(MT_APPLICABLE="Applicable"),"")))</f>
        <v/>
      </c>
      <c r="G81" s="48">
        <f>IF($A81="","",COUNTIFS(MT_BASELINE,$A81,MT_APPLICABLE,"Applicable"))</f>
        <v/>
      </c>
      <c r="H81" s="50">
        <f>IF($A81="","",IF(G81&gt;0,"Applicable","N/A"))</f>
        <v/>
      </c>
      <c r="I81" s="49" t="n"/>
      <c r="J81" s="49" t="n"/>
      <c r="K81" s="49" t="n"/>
      <c r="L81" s="49" t="n"/>
      <c r="M81" s="49" t="n"/>
      <c r="N81" s="49" t="n"/>
      <c r="O81" s="50" t="n"/>
      <c r="P81" s="50">
        <f>IF($A81="","",IF(H81="N/A","N/A",IFERROR(INDEX(CRIT_MATRIX,MATCH(O81,CRIT_MATRIX_ROWS,0),MATCH(APP_RISK_TIER,CRIT_MATRIX_COLS,0)),"")))</f>
        <v/>
      </c>
      <c r="Q81" s="49" t="n"/>
      <c r="R81" s="49" cm="1">
        <f t="array" ref="R81">IF($A81="","",COUNTIFS(tblThreatControls[Control ID],$A81,tblThreatControls[Threat applies],"Applies"))</f>
        <v/>
      </c>
      <c r="S81" s="49" cm="1">
        <f t="array" ref="S81">IF($A81="","",IF(R81=0,"",INDEX(RISK_SCALE_NAMES,_xlfn.MAXIFS(tblThreatControls[Threat risk score],tblThreatControls[Control ID],$A81))))</f>
        <v/>
      </c>
      <c r="T81" s="49" cm="1">
        <f t="array" ref="T81">IF($A81="","",IF(AND(H81="Applicable",OR(L81="Not assessed",L81=""),R81&gt;0),"Yes","No"))</f>
        <v/>
      </c>
      <c r="U81" s="49" cm="1">
        <f t="array" ref="U81">IF($A81="","",IF(AND(H81="Applicable",OR(L81="Gap",L81="Partial coverage")),INDEX(RISK_SCALE_NAMES,MAX(IFERROR(MATCH(P81,RISK_SCALE_NAMES,0),1),IFERROR(MATCH(S81,RISK_SCALE_NAMES,0),0))),""))</f>
        <v/>
      </c>
      <c r="V81" s="49" cm="1">
        <f t="array" ref="V81">IF($A81="","",_xlfn.TEXTJOIN("; ",TRUE,_xlfn._xlws.FILTER(tblThreatControls[Threat ID],(tblThreatControls[Control ID]=$A81)*(tblThreatControls[Threat applies]="Applies"),"")))</f>
        <v/>
      </c>
    </row>
    <row r="82" ht="45" customHeight="1" s="19">
      <c r="A82" s="49" t="n"/>
      <c r="B82" s="49" t="n"/>
      <c r="C82" s="48" cm="1">
        <f t="array" ref="C82">IF($A82="","",_xlfn.TEXTJOIN("; ",TRUE,_xlfn._xlws.FILTER(MT_IDS,MT_BASELINE=$A82,"")))</f>
        <v/>
      </c>
      <c r="D82" s="48">
        <f>IF($A82="","",_xlfn.MINIFS(MT_LEVEL,MT_BASELINE,$A82))</f>
        <v/>
      </c>
      <c r="E82" s="49" t="n"/>
      <c r="F82" s="48" cm="1">
        <f t="array" ref="F82">IF($A82="","",_xlfn.TEXTJOIN("; ",TRUE,_xlfn._xlws.FILTER(MT_IDS,(MT_BASELINE=$A82)*(MT_APPLICABLE="Applicable"),"")))</f>
        <v/>
      </c>
      <c r="G82" s="48">
        <f>IF($A82="","",COUNTIFS(MT_BASELINE,$A82,MT_APPLICABLE,"Applicable"))</f>
        <v/>
      </c>
      <c r="H82" s="50">
        <f>IF($A82="","",IF(G82&gt;0,"Applicable","N/A"))</f>
        <v/>
      </c>
      <c r="I82" s="49" t="n"/>
      <c r="J82" s="49" t="n"/>
      <c r="K82" s="49" t="n"/>
      <c r="L82" s="49" t="n"/>
      <c r="M82" s="49" t="n"/>
      <c r="N82" s="49" t="n"/>
      <c r="O82" s="50" t="n"/>
      <c r="P82" s="50">
        <f>IF($A82="","",IF(H82="N/A","N/A",IFERROR(INDEX(CRIT_MATRIX,MATCH(O82,CRIT_MATRIX_ROWS,0),MATCH(APP_RISK_TIER,CRIT_MATRIX_COLS,0)),"")))</f>
        <v/>
      </c>
      <c r="Q82" s="49" t="n"/>
      <c r="R82" s="49" cm="1">
        <f t="array" ref="R82">IF($A82="","",COUNTIFS(tblThreatControls[Control ID],$A82,tblThreatControls[Threat applies],"Applies"))</f>
        <v/>
      </c>
      <c r="S82" s="49" cm="1">
        <f t="array" ref="S82">IF($A82="","",IF(R82=0,"",INDEX(RISK_SCALE_NAMES,_xlfn.MAXIFS(tblThreatControls[Threat risk score],tblThreatControls[Control ID],$A82))))</f>
        <v/>
      </c>
      <c r="T82" s="49" cm="1">
        <f t="array" ref="T82">IF($A82="","",IF(AND(H82="Applicable",OR(L82="Not assessed",L82=""),R82&gt;0),"Yes","No"))</f>
        <v/>
      </c>
      <c r="U82" s="49" cm="1">
        <f t="array" ref="U82">IF($A82="","",IF(AND(H82="Applicable",OR(L82="Gap",L82="Partial coverage")),INDEX(RISK_SCALE_NAMES,MAX(IFERROR(MATCH(P82,RISK_SCALE_NAMES,0),1),IFERROR(MATCH(S82,RISK_SCALE_NAMES,0),0))),""))</f>
        <v/>
      </c>
      <c r="V82" s="49" cm="1">
        <f t="array" ref="V82">IF($A82="","",_xlfn.TEXTJOIN("; ",TRUE,_xlfn._xlws.FILTER(tblThreatControls[Threat ID],(tblThreatControls[Control ID]=$A82)*(tblThreatControls[Threat applies]="Applies"),"")))</f>
        <v/>
      </c>
    </row>
    <row r="83" ht="45" customHeight="1" s="19">
      <c r="A83" s="49" t="n"/>
      <c r="B83" s="49" t="n"/>
      <c r="C83" s="48" cm="1">
        <f t="array" ref="C83">IF($A83="","",_xlfn.TEXTJOIN("; ",TRUE,_xlfn._xlws.FILTER(MT_IDS,MT_BASELINE=$A83,"")))</f>
        <v/>
      </c>
      <c r="D83" s="48">
        <f>IF($A83="","",_xlfn.MINIFS(MT_LEVEL,MT_BASELINE,$A83))</f>
        <v/>
      </c>
      <c r="E83" s="49" t="n"/>
      <c r="F83" s="48" cm="1">
        <f t="array" ref="F83">IF($A83="","",_xlfn.TEXTJOIN("; ",TRUE,_xlfn._xlws.FILTER(MT_IDS,(MT_BASELINE=$A83)*(MT_APPLICABLE="Applicable"),"")))</f>
        <v/>
      </c>
      <c r="G83" s="48">
        <f>IF($A83="","",COUNTIFS(MT_BASELINE,$A83,MT_APPLICABLE,"Applicable"))</f>
        <v/>
      </c>
      <c r="H83" s="50">
        <f>IF($A83="","",IF(G83&gt;0,"Applicable","N/A"))</f>
        <v/>
      </c>
      <c r="I83" s="49" t="n"/>
      <c r="J83" s="49" t="n"/>
      <c r="K83" s="49" t="n"/>
      <c r="L83" s="49" t="n"/>
      <c r="M83" s="49" t="n"/>
      <c r="N83" s="49" t="n"/>
      <c r="O83" s="50" t="n"/>
      <c r="P83" s="50">
        <f>IF($A83="","",IF(H83="N/A","N/A",IFERROR(INDEX(CRIT_MATRIX,MATCH(O83,CRIT_MATRIX_ROWS,0),MATCH(APP_RISK_TIER,CRIT_MATRIX_COLS,0)),"")))</f>
        <v/>
      </c>
      <c r="Q83" s="49" t="n"/>
      <c r="R83" s="49" cm="1">
        <f t="array" ref="R83">IF($A83="","",COUNTIFS(tblThreatControls[Control ID],$A83,tblThreatControls[Threat applies],"Applies"))</f>
        <v/>
      </c>
      <c r="S83" s="49" cm="1">
        <f t="array" ref="S83">IF($A83="","",IF(R83=0,"",INDEX(RISK_SCALE_NAMES,_xlfn.MAXIFS(tblThreatControls[Threat risk score],tblThreatControls[Control ID],$A83))))</f>
        <v/>
      </c>
      <c r="T83" s="49" cm="1">
        <f t="array" ref="T83">IF($A83="","",IF(AND(H83="Applicable",OR(L83="Not assessed",L83=""),R83&gt;0),"Yes","No"))</f>
        <v/>
      </c>
      <c r="U83" s="49" cm="1">
        <f t="array" ref="U83">IF($A83="","",IF(AND(H83="Applicable",OR(L83="Gap",L83="Partial coverage")),INDEX(RISK_SCALE_NAMES,MAX(IFERROR(MATCH(P83,RISK_SCALE_NAMES,0),1),IFERROR(MATCH(S83,RISK_SCALE_NAMES,0),0))),""))</f>
        <v/>
      </c>
      <c r="V83" s="49" cm="1">
        <f t="array" ref="V83">IF($A83="","",_xlfn.TEXTJOIN("; ",TRUE,_xlfn._xlws.FILTER(tblThreatControls[Threat ID],(tblThreatControls[Control ID]=$A83)*(tblThreatControls[Threat applies]="Applies"),"")))</f>
        <v/>
      </c>
    </row>
    <row r="84" ht="45" customHeight="1" s="19">
      <c r="A84" s="49" t="n"/>
      <c r="B84" s="49" t="n"/>
      <c r="C84" s="48" cm="1">
        <f t="array" ref="C84">IF($A84="","",_xlfn.TEXTJOIN("; ",TRUE,_xlfn._xlws.FILTER(MT_IDS,MT_BASELINE=$A84,"")))</f>
        <v/>
      </c>
      <c r="D84" s="48">
        <f>IF($A84="","",_xlfn.MINIFS(MT_LEVEL,MT_BASELINE,$A84))</f>
        <v/>
      </c>
      <c r="E84" s="49" t="n"/>
      <c r="F84" s="48" cm="1">
        <f t="array" ref="F84">IF($A84="","",_xlfn.TEXTJOIN("; ",TRUE,_xlfn._xlws.FILTER(MT_IDS,(MT_BASELINE=$A84)*(MT_APPLICABLE="Applicable"),"")))</f>
        <v/>
      </c>
      <c r="G84" s="48">
        <f>IF($A84="","",COUNTIFS(MT_BASELINE,$A84,MT_APPLICABLE,"Applicable"))</f>
        <v/>
      </c>
      <c r="H84" s="50">
        <f>IF($A84="","",IF(G84&gt;0,"Applicable","N/A"))</f>
        <v/>
      </c>
      <c r="I84" s="49" t="n"/>
      <c r="J84" s="49" t="n"/>
      <c r="K84" s="49" t="n"/>
      <c r="L84" s="49" t="n"/>
      <c r="M84" s="49" t="n"/>
      <c r="N84" s="49" t="n"/>
      <c r="O84" s="50" t="n"/>
      <c r="P84" s="50">
        <f>IF($A84="","",IF(H84="N/A","N/A",IFERROR(INDEX(CRIT_MATRIX,MATCH(O84,CRIT_MATRIX_ROWS,0),MATCH(APP_RISK_TIER,CRIT_MATRIX_COLS,0)),"")))</f>
        <v/>
      </c>
      <c r="Q84" s="49" t="n"/>
      <c r="R84" s="49" cm="1">
        <f t="array" ref="R84">IF($A84="","",COUNTIFS(tblThreatControls[Control ID],$A84,tblThreatControls[Threat applies],"Applies"))</f>
        <v/>
      </c>
      <c r="S84" s="49" cm="1">
        <f t="array" ref="S84">IF($A84="","",IF(R84=0,"",INDEX(RISK_SCALE_NAMES,_xlfn.MAXIFS(tblThreatControls[Threat risk score],tblThreatControls[Control ID],$A84))))</f>
        <v/>
      </c>
      <c r="T84" s="49" cm="1">
        <f t="array" ref="T84">IF($A84="","",IF(AND(H84="Applicable",OR(L84="Not assessed",L84=""),R84&gt;0),"Yes","No"))</f>
        <v/>
      </c>
      <c r="U84" s="49" cm="1">
        <f t="array" ref="U84">IF($A84="","",IF(AND(H84="Applicable",OR(L84="Gap",L84="Partial coverage")),INDEX(RISK_SCALE_NAMES,MAX(IFERROR(MATCH(P84,RISK_SCALE_NAMES,0),1),IFERROR(MATCH(S84,RISK_SCALE_NAMES,0),0))),""))</f>
        <v/>
      </c>
      <c r="V84" s="49" cm="1">
        <f t="array" ref="V84">IF($A84="","",_xlfn.TEXTJOIN("; ",TRUE,_xlfn._xlws.FILTER(tblThreatControls[Threat ID],(tblThreatControls[Control ID]=$A84)*(tblThreatControls[Threat applies]="Applies"),"")))</f>
        <v/>
      </c>
    </row>
    <row r="85" ht="45" customHeight="1" s="19">
      <c r="A85" s="49" t="n"/>
      <c r="B85" s="49" t="n"/>
      <c r="C85" s="48" cm="1">
        <f t="array" ref="C85">IF($A85="","",_xlfn.TEXTJOIN("; ",TRUE,_xlfn._xlws.FILTER(MT_IDS,MT_BASELINE=$A85,"")))</f>
        <v/>
      </c>
      <c r="D85" s="48">
        <f>IF($A85="","",_xlfn.MINIFS(MT_LEVEL,MT_BASELINE,$A85))</f>
        <v/>
      </c>
      <c r="E85" s="49" t="n"/>
      <c r="F85" s="48" cm="1">
        <f t="array" ref="F85">IF($A85="","",_xlfn.TEXTJOIN("; ",TRUE,_xlfn._xlws.FILTER(MT_IDS,(MT_BASELINE=$A85)*(MT_APPLICABLE="Applicable"),"")))</f>
        <v/>
      </c>
      <c r="G85" s="48">
        <f>IF($A85="","",COUNTIFS(MT_BASELINE,$A85,MT_APPLICABLE,"Applicable"))</f>
        <v/>
      </c>
      <c r="H85" s="50">
        <f>IF($A85="","",IF(G85&gt;0,"Applicable","N/A"))</f>
        <v/>
      </c>
      <c r="I85" s="49" t="n"/>
      <c r="J85" s="49" t="n"/>
      <c r="K85" s="49" t="n"/>
      <c r="L85" s="49" t="n"/>
      <c r="M85" s="49" t="n"/>
      <c r="N85" s="49" t="n"/>
      <c r="O85" s="50" t="n"/>
      <c r="P85" s="50">
        <f>IF($A85="","",IF(H85="N/A","N/A",IFERROR(INDEX(CRIT_MATRIX,MATCH(O85,CRIT_MATRIX_ROWS,0),MATCH(APP_RISK_TIER,CRIT_MATRIX_COLS,0)),"")))</f>
        <v/>
      </c>
      <c r="Q85" s="49" t="n"/>
      <c r="R85" s="49" cm="1">
        <f t="array" ref="R85">IF($A85="","",COUNTIFS(tblThreatControls[Control ID],$A85,tblThreatControls[Threat applies],"Applies"))</f>
        <v/>
      </c>
      <c r="S85" s="49" cm="1">
        <f t="array" ref="S85">IF($A85="","",IF(R85=0,"",INDEX(RISK_SCALE_NAMES,_xlfn.MAXIFS(tblThreatControls[Threat risk score],tblThreatControls[Control ID],$A85))))</f>
        <v/>
      </c>
      <c r="T85" s="49" cm="1">
        <f t="array" ref="T85">IF($A85="","",IF(AND(H85="Applicable",OR(L85="Not assessed",L85=""),R85&gt;0),"Yes","No"))</f>
        <v/>
      </c>
      <c r="U85" s="49" cm="1">
        <f t="array" ref="U85">IF($A85="","",IF(AND(H85="Applicable",OR(L85="Gap",L85="Partial coverage")),INDEX(RISK_SCALE_NAMES,MAX(IFERROR(MATCH(P85,RISK_SCALE_NAMES,0),1),IFERROR(MATCH(S85,RISK_SCALE_NAMES,0),0))),""))</f>
        <v/>
      </c>
      <c r="V85" s="49" cm="1">
        <f t="array" ref="V85">IF($A85="","",_xlfn.TEXTJOIN("; ",TRUE,_xlfn._xlws.FILTER(tblThreatControls[Threat ID],(tblThreatControls[Control ID]=$A85)*(tblThreatControls[Threat applies]="Applies"),"")))</f>
        <v/>
      </c>
    </row>
    <row r="86" ht="45" customHeight="1" s="19">
      <c r="A86" s="49" t="n"/>
      <c r="B86" s="49" t="n"/>
      <c r="C86" s="48" cm="1">
        <f t="array" ref="C86">IF($A86="","",_xlfn.TEXTJOIN("; ",TRUE,_xlfn._xlws.FILTER(MT_IDS,MT_BASELINE=$A86,"")))</f>
        <v/>
      </c>
      <c r="D86" s="48">
        <f>IF($A86="","",_xlfn.MINIFS(MT_LEVEL,MT_BASELINE,$A86))</f>
        <v/>
      </c>
      <c r="E86" s="49" t="n"/>
      <c r="F86" s="48" cm="1">
        <f t="array" ref="F86">IF($A86="","",_xlfn.TEXTJOIN("; ",TRUE,_xlfn._xlws.FILTER(MT_IDS,(MT_BASELINE=$A86)*(MT_APPLICABLE="Applicable"),"")))</f>
        <v/>
      </c>
      <c r="G86" s="48">
        <f>IF($A86="","",COUNTIFS(MT_BASELINE,$A86,MT_APPLICABLE,"Applicable"))</f>
        <v/>
      </c>
      <c r="H86" s="50">
        <f>IF($A86="","",IF(G86&gt;0,"Applicable","N/A"))</f>
        <v/>
      </c>
      <c r="I86" s="49" t="n"/>
      <c r="J86" s="49" t="n"/>
      <c r="K86" s="49" t="n"/>
      <c r="L86" s="49" t="n"/>
      <c r="M86" s="49" t="n"/>
      <c r="N86" s="49" t="n"/>
      <c r="O86" s="50" t="n"/>
      <c r="P86" s="50">
        <f>IF($A86="","",IF(H86="N/A","N/A",IFERROR(INDEX(CRIT_MATRIX,MATCH(O86,CRIT_MATRIX_ROWS,0),MATCH(APP_RISK_TIER,CRIT_MATRIX_COLS,0)),"")))</f>
        <v/>
      </c>
      <c r="Q86" s="49" t="n"/>
      <c r="R86" s="49" cm="1">
        <f t="array" ref="R86">IF($A86="","",COUNTIFS(tblThreatControls[Control ID],$A86,tblThreatControls[Threat applies],"Applies"))</f>
        <v/>
      </c>
      <c r="S86" s="49" cm="1">
        <f t="array" ref="S86">IF($A86="","",IF(R86=0,"",INDEX(RISK_SCALE_NAMES,_xlfn.MAXIFS(tblThreatControls[Threat risk score],tblThreatControls[Control ID],$A86))))</f>
        <v/>
      </c>
      <c r="T86" s="49" cm="1">
        <f t="array" ref="T86">IF($A86="","",IF(AND(H86="Applicable",OR(L86="Not assessed",L86=""),R86&gt;0),"Yes","No"))</f>
        <v/>
      </c>
      <c r="U86" s="49" cm="1">
        <f t="array" ref="U86">IF($A86="","",IF(AND(H86="Applicable",OR(L86="Gap",L86="Partial coverage")),INDEX(RISK_SCALE_NAMES,MAX(IFERROR(MATCH(P86,RISK_SCALE_NAMES,0),1),IFERROR(MATCH(S86,RISK_SCALE_NAMES,0),0))),""))</f>
        <v/>
      </c>
      <c r="V86" s="49" cm="1">
        <f t="array" ref="V86">IF($A86="","",_xlfn.TEXTJOIN("; ",TRUE,_xlfn._xlws.FILTER(tblThreatControls[Threat ID],(tblThreatControls[Control ID]=$A86)*(tblThreatControls[Threat applies]="Applies"),"")))</f>
        <v/>
      </c>
    </row>
    <row r="87" ht="45" customHeight="1" s="19">
      <c r="A87" s="49" t="n"/>
      <c r="B87" s="49" t="n"/>
      <c r="C87" s="48" cm="1">
        <f t="array" ref="C87">IF($A87="","",_xlfn.TEXTJOIN("; ",TRUE,_xlfn._xlws.FILTER(MT_IDS,MT_BASELINE=$A87,"")))</f>
        <v/>
      </c>
      <c r="D87" s="48">
        <f>IF($A87="","",_xlfn.MINIFS(MT_LEVEL,MT_BASELINE,$A87))</f>
        <v/>
      </c>
      <c r="E87" s="49" t="n"/>
      <c r="F87" s="48" cm="1">
        <f t="array" ref="F87">IF($A87="","",_xlfn.TEXTJOIN("; ",TRUE,_xlfn._xlws.FILTER(MT_IDS,(MT_BASELINE=$A87)*(MT_APPLICABLE="Applicable"),"")))</f>
        <v/>
      </c>
      <c r="G87" s="48">
        <f>IF($A87="","",COUNTIFS(MT_BASELINE,$A87,MT_APPLICABLE,"Applicable"))</f>
        <v/>
      </c>
      <c r="H87" s="50">
        <f>IF($A87="","",IF(G87&gt;0,"Applicable","N/A"))</f>
        <v/>
      </c>
      <c r="I87" s="49" t="n"/>
      <c r="J87" s="49" t="n"/>
      <c r="K87" s="49" t="n"/>
      <c r="L87" s="49" t="n"/>
      <c r="M87" s="49" t="n"/>
      <c r="N87" s="49" t="n"/>
      <c r="O87" s="50" t="n"/>
      <c r="P87" s="50">
        <f>IF($A87="","",IF(H87="N/A","N/A",IFERROR(INDEX(CRIT_MATRIX,MATCH(O87,CRIT_MATRIX_ROWS,0),MATCH(APP_RISK_TIER,CRIT_MATRIX_COLS,0)),"")))</f>
        <v/>
      </c>
      <c r="Q87" s="49" t="n"/>
      <c r="R87" s="49" cm="1">
        <f t="array" ref="R87">IF($A87="","",COUNTIFS(tblThreatControls[Control ID],$A87,tblThreatControls[Threat applies],"Applies"))</f>
        <v/>
      </c>
      <c r="S87" s="49" cm="1">
        <f t="array" ref="S87">IF($A87="","",IF(R87=0,"",INDEX(RISK_SCALE_NAMES,_xlfn.MAXIFS(tblThreatControls[Threat risk score],tblThreatControls[Control ID],$A87))))</f>
        <v/>
      </c>
      <c r="T87" s="49" cm="1">
        <f t="array" ref="T87">IF($A87="","",IF(AND(H87="Applicable",OR(L87="Not assessed",L87=""),R87&gt;0),"Yes","No"))</f>
        <v/>
      </c>
      <c r="U87" s="49" cm="1">
        <f t="array" ref="U87">IF($A87="","",IF(AND(H87="Applicable",OR(L87="Gap",L87="Partial coverage")),INDEX(RISK_SCALE_NAMES,MAX(IFERROR(MATCH(P87,RISK_SCALE_NAMES,0),1),IFERROR(MATCH(S87,RISK_SCALE_NAMES,0),0))),""))</f>
        <v/>
      </c>
      <c r="V87" s="49" cm="1">
        <f t="array" ref="V87">IF($A87="","",_xlfn.TEXTJOIN("; ",TRUE,_xlfn._xlws.FILTER(tblThreatControls[Threat ID],(tblThreatControls[Control ID]=$A87)*(tblThreatControls[Threat applies]="Applies"),"")))</f>
        <v/>
      </c>
    </row>
    <row r="88" ht="45" customHeight="1" s="19">
      <c r="A88" s="49" t="n"/>
      <c r="B88" s="49" t="n"/>
      <c r="C88" s="48" cm="1">
        <f t="array" ref="C88">IF($A88="","",_xlfn.TEXTJOIN("; ",TRUE,_xlfn._xlws.FILTER(MT_IDS,MT_BASELINE=$A88,"")))</f>
        <v/>
      </c>
      <c r="D88" s="48">
        <f>IF($A88="","",_xlfn.MINIFS(MT_LEVEL,MT_BASELINE,$A88))</f>
        <v/>
      </c>
      <c r="E88" s="49" t="n"/>
      <c r="F88" s="48" cm="1">
        <f t="array" ref="F88">IF($A88="","",_xlfn.TEXTJOIN("; ",TRUE,_xlfn._xlws.FILTER(MT_IDS,(MT_BASELINE=$A88)*(MT_APPLICABLE="Applicable"),"")))</f>
        <v/>
      </c>
      <c r="G88" s="48">
        <f>IF($A88="","",COUNTIFS(MT_BASELINE,$A88,MT_APPLICABLE,"Applicable"))</f>
        <v/>
      </c>
      <c r="H88" s="50">
        <f>IF($A88="","",IF(G88&gt;0,"Applicable","N/A"))</f>
        <v/>
      </c>
      <c r="I88" s="49" t="n"/>
      <c r="J88" s="49" t="n"/>
      <c r="K88" s="49" t="n"/>
      <c r="L88" s="49" t="n"/>
      <c r="M88" s="49" t="n"/>
      <c r="N88" s="49" t="n"/>
      <c r="O88" s="50" t="n"/>
      <c r="P88" s="50">
        <f>IF($A88="","",IF(H88="N/A","N/A",IFERROR(INDEX(CRIT_MATRIX,MATCH(O88,CRIT_MATRIX_ROWS,0),MATCH(APP_RISK_TIER,CRIT_MATRIX_COLS,0)),"")))</f>
        <v/>
      </c>
      <c r="Q88" s="49" t="n"/>
      <c r="R88" s="49" cm="1">
        <f t="array" ref="R88">IF($A88="","",COUNTIFS(tblThreatControls[Control ID],$A88,tblThreatControls[Threat applies],"Applies"))</f>
        <v/>
      </c>
      <c r="S88" s="49" cm="1">
        <f t="array" ref="S88">IF($A88="","",IF(R88=0,"",INDEX(RISK_SCALE_NAMES,_xlfn.MAXIFS(tblThreatControls[Threat risk score],tblThreatControls[Control ID],$A88))))</f>
        <v/>
      </c>
      <c r="T88" s="49" cm="1">
        <f t="array" ref="T88">IF($A88="","",IF(AND(H88="Applicable",OR(L88="Not assessed",L88=""),R88&gt;0),"Yes","No"))</f>
        <v/>
      </c>
      <c r="U88" s="49" cm="1">
        <f t="array" ref="U88">IF($A88="","",IF(AND(H88="Applicable",OR(L88="Gap",L88="Partial coverage")),INDEX(RISK_SCALE_NAMES,MAX(IFERROR(MATCH(P88,RISK_SCALE_NAMES,0),1),IFERROR(MATCH(S88,RISK_SCALE_NAMES,0),0))),""))</f>
        <v/>
      </c>
      <c r="V88" s="49" cm="1">
        <f t="array" ref="V88">IF($A88="","",_xlfn.TEXTJOIN("; ",TRUE,_xlfn._xlws.FILTER(tblThreatControls[Threat ID],(tblThreatControls[Control ID]=$A88)*(tblThreatControls[Threat applies]="Applies"),"")))</f>
        <v/>
      </c>
    </row>
    <row r="89" ht="45" customHeight="1" s="19">
      <c r="A89" s="49" t="n"/>
      <c r="B89" s="49" t="n"/>
      <c r="C89" s="48" cm="1">
        <f t="array" ref="C89">IF($A89="","",_xlfn.TEXTJOIN("; ",TRUE,_xlfn._xlws.FILTER(MT_IDS,MT_BASELINE=$A89,"")))</f>
        <v/>
      </c>
      <c r="D89" s="48">
        <f>IF($A89="","",_xlfn.MINIFS(MT_LEVEL,MT_BASELINE,$A89))</f>
        <v/>
      </c>
      <c r="E89" s="49" t="n"/>
      <c r="F89" s="48" cm="1">
        <f t="array" ref="F89">IF($A89="","",_xlfn.TEXTJOIN("; ",TRUE,_xlfn._xlws.FILTER(MT_IDS,(MT_BASELINE=$A89)*(MT_APPLICABLE="Applicable"),"")))</f>
        <v/>
      </c>
      <c r="G89" s="48">
        <f>IF($A89="","",COUNTIFS(MT_BASELINE,$A89,MT_APPLICABLE,"Applicable"))</f>
        <v/>
      </c>
      <c r="H89" s="50">
        <f>IF($A89="","",IF(G89&gt;0,"Applicable","N/A"))</f>
        <v/>
      </c>
      <c r="I89" s="49" t="n"/>
      <c r="J89" s="49" t="n"/>
      <c r="K89" s="49" t="n"/>
      <c r="L89" s="49" t="n"/>
      <c r="M89" s="49" t="n"/>
      <c r="N89" s="49" t="n"/>
      <c r="O89" s="50" t="n"/>
      <c r="P89" s="50">
        <f>IF($A89="","",IF(H89="N/A","N/A",IFERROR(INDEX(CRIT_MATRIX,MATCH(O89,CRIT_MATRIX_ROWS,0),MATCH(APP_RISK_TIER,CRIT_MATRIX_COLS,0)),"")))</f>
        <v/>
      </c>
      <c r="Q89" s="49" t="n"/>
      <c r="R89" s="49" cm="1">
        <f t="array" ref="R89">IF($A89="","",COUNTIFS(tblThreatControls[Control ID],$A89,tblThreatControls[Threat applies],"Applies"))</f>
        <v/>
      </c>
      <c r="S89" s="49" cm="1">
        <f t="array" ref="S89">IF($A89="","",IF(R89=0,"",INDEX(RISK_SCALE_NAMES,_xlfn.MAXIFS(tblThreatControls[Threat risk score],tblThreatControls[Control ID],$A89))))</f>
        <v/>
      </c>
      <c r="T89" s="49" cm="1">
        <f t="array" ref="T89">IF($A89="","",IF(AND(H89="Applicable",OR(L89="Not assessed",L89=""),R89&gt;0),"Yes","No"))</f>
        <v/>
      </c>
      <c r="U89" s="49" cm="1">
        <f t="array" ref="U89">IF($A89="","",IF(AND(H89="Applicable",OR(L89="Gap",L89="Partial coverage")),INDEX(RISK_SCALE_NAMES,MAX(IFERROR(MATCH(P89,RISK_SCALE_NAMES,0),1),IFERROR(MATCH(S89,RISK_SCALE_NAMES,0),0))),""))</f>
        <v/>
      </c>
      <c r="V89" s="49" cm="1">
        <f t="array" ref="V89">IF($A89="","",_xlfn.TEXTJOIN("; ",TRUE,_xlfn._xlws.FILTER(tblThreatControls[Threat ID],(tblThreatControls[Control ID]=$A89)*(tblThreatControls[Threat applies]="Applies"),"")))</f>
        <v/>
      </c>
    </row>
    <row r="90" ht="45" customHeight="1" s="19">
      <c r="A90" s="49" t="n"/>
      <c r="B90" s="49" t="n"/>
      <c r="C90" s="48" cm="1">
        <f t="array" ref="C90">IF($A90="","",_xlfn.TEXTJOIN("; ",TRUE,_xlfn._xlws.FILTER(MT_IDS,MT_BASELINE=$A90,"")))</f>
        <v/>
      </c>
      <c r="D90" s="48">
        <f>IF($A90="","",_xlfn.MINIFS(MT_LEVEL,MT_BASELINE,$A90))</f>
        <v/>
      </c>
      <c r="E90" s="49" t="n"/>
      <c r="F90" s="48" cm="1">
        <f t="array" ref="F90">IF($A90="","",_xlfn.TEXTJOIN("; ",TRUE,_xlfn._xlws.FILTER(MT_IDS,(MT_BASELINE=$A90)*(MT_APPLICABLE="Applicable"),"")))</f>
        <v/>
      </c>
      <c r="G90" s="48">
        <f>IF($A90="","",COUNTIFS(MT_BASELINE,$A90,MT_APPLICABLE,"Applicable"))</f>
        <v/>
      </c>
      <c r="H90" s="50">
        <f>IF($A90="","",IF(G90&gt;0,"Applicable","N/A"))</f>
        <v/>
      </c>
      <c r="I90" s="49" t="n"/>
      <c r="J90" s="49" t="n"/>
      <c r="K90" s="49" t="n"/>
      <c r="L90" s="49" t="n"/>
      <c r="M90" s="49" t="n"/>
      <c r="N90" s="49" t="n"/>
      <c r="O90" s="50" t="n"/>
      <c r="P90" s="50">
        <f>IF($A90="","",IF(H90="N/A","N/A",IFERROR(INDEX(CRIT_MATRIX,MATCH(O90,CRIT_MATRIX_ROWS,0),MATCH(APP_RISK_TIER,CRIT_MATRIX_COLS,0)),"")))</f>
        <v/>
      </c>
      <c r="Q90" s="49" t="n"/>
      <c r="R90" s="49" cm="1">
        <f t="array" ref="R90">IF($A90="","",COUNTIFS(tblThreatControls[Control ID],$A90,tblThreatControls[Threat applies],"Applies"))</f>
        <v/>
      </c>
      <c r="S90" s="49" cm="1">
        <f t="array" ref="S90">IF($A90="","",IF(R90=0,"",INDEX(RISK_SCALE_NAMES,_xlfn.MAXIFS(tblThreatControls[Threat risk score],tblThreatControls[Control ID],$A90))))</f>
        <v/>
      </c>
      <c r="T90" s="49" cm="1">
        <f t="array" ref="T90">IF($A90="","",IF(AND(H90="Applicable",OR(L90="Not assessed",L90=""),R90&gt;0),"Yes","No"))</f>
        <v/>
      </c>
      <c r="U90" s="49" cm="1">
        <f t="array" ref="U90">IF($A90="","",IF(AND(H90="Applicable",OR(L90="Gap",L90="Partial coverage")),INDEX(RISK_SCALE_NAMES,MAX(IFERROR(MATCH(P90,RISK_SCALE_NAMES,0),1),IFERROR(MATCH(S90,RISK_SCALE_NAMES,0),0))),""))</f>
        <v/>
      </c>
      <c r="V90" s="49" cm="1">
        <f t="array" ref="V90">IF($A90="","",_xlfn.TEXTJOIN("; ",TRUE,_xlfn._xlws.FILTER(tblThreatControls[Threat ID],(tblThreatControls[Control ID]=$A90)*(tblThreatControls[Threat applies]="Applies"),"")))</f>
        <v/>
      </c>
    </row>
    <row r="91" ht="45" customHeight="1" s="19">
      <c r="A91" s="49" t="n"/>
      <c r="B91" s="49" t="n"/>
      <c r="C91" s="48" cm="1">
        <f t="array" ref="C91">IF($A91="","",_xlfn.TEXTJOIN("; ",TRUE,_xlfn._xlws.FILTER(MT_IDS,MT_BASELINE=$A91,"")))</f>
        <v/>
      </c>
      <c r="D91" s="48">
        <f>IF($A91="","",_xlfn.MINIFS(MT_LEVEL,MT_BASELINE,$A91))</f>
        <v/>
      </c>
      <c r="E91" s="49" t="n"/>
      <c r="F91" s="48" cm="1">
        <f t="array" ref="F91">IF($A91="","",_xlfn.TEXTJOIN("; ",TRUE,_xlfn._xlws.FILTER(MT_IDS,(MT_BASELINE=$A91)*(MT_APPLICABLE="Applicable"),"")))</f>
        <v/>
      </c>
      <c r="G91" s="48">
        <f>IF($A91="","",COUNTIFS(MT_BASELINE,$A91,MT_APPLICABLE,"Applicable"))</f>
        <v/>
      </c>
      <c r="H91" s="50">
        <f>IF($A91="","",IF(G91&gt;0,"Applicable","N/A"))</f>
        <v/>
      </c>
      <c r="I91" s="49" t="n"/>
      <c r="J91" s="49" t="n"/>
      <c r="K91" s="49" t="n"/>
      <c r="L91" s="49" t="n"/>
      <c r="M91" s="49" t="n"/>
      <c r="N91" s="49" t="n"/>
      <c r="O91" s="50" t="n"/>
      <c r="P91" s="50">
        <f>IF($A91="","",IF(H91="N/A","N/A",IFERROR(INDEX(CRIT_MATRIX,MATCH(O91,CRIT_MATRIX_ROWS,0),MATCH(APP_RISK_TIER,CRIT_MATRIX_COLS,0)),"")))</f>
        <v/>
      </c>
      <c r="Q91" s="49" t="n"/>
      <c r="R91" s="49" cm="1">
        <f t="array" ref="R91">IF($A91="","",COUNTIFS(tblThreatControls[Control ID],$A91,tblThreatControls[Threat applies],"Applies"))</f>
        <v/>
      </c>
      <c r="S91" s="49" cm="1">
        <f t="array" ref="S91">IF($A91="","",IF(R91=0,"",INDEX(RISK_SCALE_NAMES,_xlfn.MAXIFS(tblThreatControls[Threat risk score],tblThreatControls[Control ID],$A91))))</f>
        <v/>
      </c>
      <c r="T91" s="49" cm="1">
        <f t="array" ref="T91">IF($A91="","",IF(AND(H91="Applicable",OR(L91="Not assessed",L91=""),R91&gt;0),"Yes","No"))</f>
        <v/>
      </c>
      <c r="U91" s="49" cm="1">
        <f t="array" ref="U91">IF($A91="","",IF(AND(H91="Applicable",OR(L91="Gap",L91="Partial coverage")),INDEX(RISK_SCALE_NAMES,MAX(IFERROR(MATCH(P91,RISK_SCALE_NAMES,0),1),IFERROR(MATCH(S91,RISK_SCALE_NAMES,0),0))),""))</f>
        <v/>
      </c>
      <c r="V91" s="49" cm="1">
        <f t="array" ref="V91">IF($A91="","",_xlfn.TEXTJOIN("; ",TRUE,_xlfn._xlws.FILTER(tblThreatControls[Threat ID],(tblThreatControls[Control ID]=$A91)*(tblThreatControls[Threat applies]="Applies"),"")))</f>
        <v/>
      </c>
    </row>
    <row r="92" ht="45" customHeight="1" s="19">
      <c r="A92" s="49" t="n"/>
      <c r="B92" s="49" t="n"/>
      <c r="C92" s="48" cm="1">
        <f t="array" ref="C92">IF($A92="","",_xlfn.TEXTJOIN("; ",TRUE,_xlfn._xlws.FILTER(MT_IDS,MT_BASELINE=$A92,"")))</f>
        <v/>
      </c>
      <c r="D92" s="48">
        <f>IF($A92="","",_xlfn.MINIFS(MT_LEVEL,MT_BASELINE,$A92))</f>
        <v/>
      </c>
      <c r="E92" s="49" t="n"/>
      <c r="F92" s="48" cm="1">
        <f t="array" ref="F92">IF($A92="","",_xlfn.TEXTJOIN("; ",TRUE,_xlfn._xlws.FILTER(MT_IDS,(MT_BASELINE=$A92)*(MT_APPLICABLE="Applicable"),"")))</f>
        <v/>
      </c>
      <c r="G92" s="48">
        <f>IF($A92="","",COUNTIFS(MT_BASELINE,$A92,MT_APPLICABLE,"Applicable"))</f>
        <v/>
      </c>
      <c r="H92" s="50">
        <f>IF($A92="","",IF(G92&gt;0,"Applicable","N/A"))</f>
        <v/>
      </c>
      <c r="I92" s="49" t="n"/>
      <c r="J92" s="49" t="n"/>
      <c r="K92" s="49" t="n"/>
      <c r="L92" s="49" t="n"/>
      <c r="M92" s="49" t="n"/>
      <c r="N92" s="49" t="n"/>
      <c r="O92" s="50" t="n"/>
      <c r="P92" s="50">
        <f>IF($A92="","",IF(H92="N/A","N/A",IFERROR(INDEX(CRIT_MATRIX,MATCH(O92,CRIT_MATRIX_ROWS,0),MATCH(APP_RISK_TIER,CRIT_MATRIX_COLS,0)),"")))</f>
        <v/>
      </c>
      <c r="Q92" s="49" t="n"/>
      <c r="R92" s="49" cm="1">
        <f t="array" ref="R92">IF($A92="","",COUNTIFS(tblThreatControls[Control ID],$A92,tblThreatControls[Threat applies],"Applies"))</f>
        <v/>
      </c>
      <c r="S92" s="49" cm="1">
        <f t="array" ref="S92">IF($A92="","",IF(R92=0,"",INDEX(RISK_SCALE_NAMES,_xlfn.MAXIFS(tblThreatControls[Threat risk score],tblThreatControls[Control ID],$A92))))</f>
        <v/>
      </c>
      <c r="T92" s="49" cm="1">
        <f t="array" ref="T92">IF($A92="","",IF(AND(H92="Applicable",OR(L92="Not assessed",L92=""),R92&gt;0),"Yes","No"))</f>
        <v/>
      </c>
      <c r="U92" s="49" cm="1">
        <f t="array" ref="U92">IF($A92="","",IF(AND(H92="Applicable",OR(L92="Gap",L92="Partial coverage")),INDEX(RISK_SCALE_NAMES,MAX(IFERROR(MATCH(P92,RISK_SCALE_NAMES,0),1),IFERROR(MATCH(S92,RISK_SCALE_NAMES,0),0))),""))</f>
        <v/>
      </c>
      <c r="V92" s="49" cm="1">
        <f t="array" ref="V92">IF($A92="","",_xlfn.TEXTJOIN("; ",TRUE,_xlfn._xlws.FILTER(tblThreatControls[Threat ID],(tblThreatControls[Control ID]=$A92)*(tblThreatControls[Threat applies]="Applies"),"")))</f>
        <v/>
      </c>
    </row>
    <row r="93" ht="45" customHeight="1" s="19">
      <c r="A93" s="49" t="n"/>
      <c r="B93" s="49" t="n"/>
      <c r="C93" s="48" cm="1">
        <f t="array" ref="C93">IF($A93="","",_xlfn.TEXTJOIN("; ",TRUE,_xlfn._xlws.FILTER(MT_IDS,MT_BASELINE=$A93,"")))</f>
        <v/>
      </c>
      <c r="D93" s="48">
        <f>IF($A93="","",_xlfn.MINIFS(MT_LEVEL,MT_BASELINE,$A93))</f>
        <v/>
      </c>
      <c r="E93" s="49" t="n"/>
      <c r="F93" s="48" cm="1">
        <f t="array" ref="F93">IF($A93="","",_xlfn.TEXTJOIN("; ",TRUE,_xlfn._xlws.FILTER(MT_IDS,(MT_BASELINE=$A93)*(MT_APPLICABLE="Applicable"),"")))</f>
        <v/>
      </c>
      <c r="G93" s="48">
        <f>IF($A93="","",COUNTIFS(MT_BASELINE,$A93,MT_APPLICABLE,"Applicable"))</f>
        <v/>
      </c>
      <c r="H93" s="50">
        <f>IF($A93="","",IF(G93&gt;0,"Applicable","N/A"))</f>
        <v/>
      </c>
      <c r="I93" s="49" t="n"/>
      <c r="J93" s="49" t="n"/>
      <c r="K93" s="49" t="n"/>
      <c r="L93" s="49" t="n"/>
      <c r="M93" s="49" t="n"/>
      <c r="N93" s="49" t="n"/>
      <c r="O93" s="50" t="n"/>
      <c r="P93" s="50">
        <f>IF($A93="","",IF(H93="N/A","N/A",IFERROR(INDEX(CRIT_MATRIX,MATCH(O93,CRIT_MATRIX_ROWS,0),MATCH(APP_RISK_TIER,CRIT_MATRIX_COLS,0)),"")))</f>
        <v/>
      </c>
      <c r="Q93" s="49" t="n"/>
      <c r="R93" s="49" cm="1">
        <f t="array" ref="R93">IF($A93="","",COUNTIFS(tblThreatControls[Control ID],$A93,tblThreatControls[Threat applies],"Applies"))</f>
        <v/>
      </c>
      <c r="S93" s="49" cm="1">
        <f t="array" ref="S93">IF($A93="","",IF(R93=0,"",INDEX(RISK_SCALE_NAMES,_xlfn.MAXIFS(tblThreatControls[Threat risk score],tblThreatControls[Control ID],$A93))))</f>
        <v/>
      </c>
      <c r="T93" s="49" cm="1">
        <f t="array" ref="T93">IF($A93="","",IF(AND(H93="Applicable",OR(L93="Not assessed",L93=""),R93&gt;0),"Yes","No"))</f>
        <v/>
      </c>
      <c r="U93" s="49" cm="1">
        <f t="array" ref="U93">IF($A93="","",IF(AND(H93="Applicable",OR(L93="Gap",L93="Partial coverage")),INDEX(RISK_SCALE_NAMES,MAX(IFERROR(MATCH(P93,RISK_SCALE_NAMES,0),1),IFERROR(MATCH(S93,RISK_SCALE_NAMES,0),0))),""))</f>
        <v/>
      </c>
      <c r="V93" s="49" cm="1">
        <f t="array" ref="V93">IF($A93="","",_xlfn.TEXTJOIN("; ",TRUE,_xlfn._xlws.FILTER(tblThreatControls[Threat ID],(tblThreatControls[Control ID]=$A93)*(tblThreatControls[Threat applies]="Applies"),"")))</f>
        <v/>
      </c>
    </row>
    <row r="94" ht="45" customHeight="1" s="19">
      <c r="A94" s="49" t="n"/>
      <c r="B94" s="49" t="n"/>
      <c r="C94" s="48" cm="1">
        <f t="array" ref="C94">IF($A94="","",_xlfn.TEXTJOIN("; ",TRUE,_xlfn._xlws.FILTER(MT_IDS,MT_BASELINE=$A94,"")))</f>
        <v/>
      </c>
      <c r="D94" s="48">
        <f>IF($A94="","",_xlfn.MINIFS(MT_LEVEL,MT_BASELINE,$A94))</f>
        <v/>
      </c>
      <c r="E94" s="49" t="n"/>
      <c r="F94" s="48" cm="1">
        <f t="array" ref="F94">IF($A94="","",_xlfn.TEXTJOIN("; ",TRUE,_xlfn._xlws.FILTER(MT_IDS,(MT_BASELINE=$A94)*(MT_APPLICABLE="Applicable"),"")))</f>
        <v/>
      </c>
      <c r="G94" s="48">
        <f>IF($A94="","",COUNTIFS(MT_BASELINE,$A94,MT_APPLICABLE,"Applicable"))</f>
        <v/>
      </c>
      <c r="H94" s="50">
        <f>IF($A94="","",IF(G94&gt;0,"Applicable","N/A"))</f>
        <v/>
      </c>
      <c r="I94" s="49" t="n"/>
      <c r="J94" s="49" t="n"/>
      <c r="K94" s="49" t="n"/>
      <c r="L94" s="49" t="n"/>
      <c r="M94" s="49" t="n"/>
      <c r="N94" s="49" t="n"/>
      <c r="O94" s="50" t="n"/>
      <c r="P94" s="50">
        <f>IF($A94="","",IF(H94="N/A","N/A",IFERROR(INDEX(CRIT_MATRIX,MATCH(O94,CRIT_MATRIX_ROWS,0),MATCH(APP_RISK_TIER,CRIT_MATRIX_COLS,0)),"")))</f>
        <v/>
      </c>
      <c r="Q94" s="49" t="n"/>
      <c r="R94" s="49" cm="1">
        <f t="array" ref="R94">IF($A94="","",COUNTIFS(tblThreatControls[Control ID],$A94,tblThreatControls[Threat applies],"Applies"))</f>
        <v/>
      </c>
      <c r="S94" s="49" cm="1">
        <f t="array" ref="S94">IF($A94="","",IF(R94=0,"",INDEX(RISK_SCALE_NAMES,_xlfn.MAXIFS(tblThreatControls[Threat risk score],tblThreatControls[Control ID],$A94))))</f>
        <v/>
      </c>
      <c r="T94" s="49" cm="1">
        <f t="array" ref="T94">IF($A94="","",IF(AND(H94="Applicable",OR(L94="Not assessed",L94=""),R94&gt;0),"Yes","No"))</f>
        <v/>
      </c>
      <c r="U94" s="49" cm="1">
        <f t="array" ref="U94">IF($A94="","",IF(AND(H94="Applicable",OR(L94="Gap",L94="Partial coverage")),INDEX(RISK_SCALE_NAMES,MAX(IFERROR(MATCH(P94,RISK_SCALE_NAMES,0),1),IFERROR(MATCH(S94,RISK_SCALE_NAMES,0),0))),""))</f>
        <v/>
      </c>
      <c r="V94" s="49" cm="1">
        <f t="array" ref="V94">IF($A94="","",_xlfn.TEXTJOIN("; ",TRUE,_xlfn._xlws.FILTER(tblThreatControls[Threat ID],(tblThreatControls[Control ID]=$A94)*(tblThreatControls[Threat applies]="Applies"),"")))</f>
        <v/>
      </c>
    </row>
    <row r="95" ht="45" customHeight="1" s="19">
      <c r="A95" s="49" t="n"/>
      <c r="B95" s="49" t="n"/>
      <c r="C95" s="48" cm="1">
        <f t="array" ref="C95">IF($A95="","",_xlfn.TEXTJOIN("; ",TRUE,_xlfn._xlws.FILTER(MT_IDS,MT_BASELINE=$A95,"")))</f>
        <v/>
      </c>
      <c r="D95" s="48">
        <f>IF($A95="","",_xlfn.MINIFS(MT_LEVEL,MT_BASELINE,$A95))</f>
        <v/>
      </c>
      <c r="E95" s="49" t="n"/>
      <c r="F95" s="48" cm="1">
        <f t="array" ref="F95">IF($A95="","",_xlfn.TEXTJOIN("; ",TRUE,_xlfn._xlws.FILTER(MT_IDS,(MT_BASELINE=$A95)*(MT_APPLICABLE="Applicable"),"")))</f>
        <v/>
      </c>
      <c r="G95" s="48">
        <f>IF($A95="","",COUNTIFS(MT_BASELINE,$A95,MT_APPLICABLE,"Applicable"))</f>
        <v/>
      </c>
      <c r="H95" s="50">
        <f>IF($A95="","",IF(G95&gt;0,"Applicable","N/A"))</f>
        <v/>
      </c>
      <c r="I95" s="49" t="n"/>
      <c r="J95" s="49" t="n"/>
      <c r="K95" s="49" t="n"/>
      <c r="L95" s="49" t="n"/>
      <c r="M95" s="49" t="n"/>
      <c r="N95" s="49" t="n"/>
      <c r="O95" s="50" t="n"/>
      <c r="P95" s="50">
        <f>IF($A95="","",IF(H95="N/A","N/A",IFERROR(INDEX(CRIT_MATRIX,MATCH(O95,CRIT_MATRIX_ROWS,0),MATCH(APP_RISK_TIER,CRIT_MATRIX_COLS,0)),"")))</f>
        <v/>
      </c>
      <c r="Q95" s="49" t="n"/>
      <c r="R95" s="49" cm="1">
        <f t="array" ref="R95">IF($A95="","",COUNTIFS(tblThreatControls[Control ID],$A95,tblThreatControls[Threat applies],"Applies"))</f>
        <v/>
      </c>
      <c r="S95" s="49" cm="1">
        <f t="array" ref="S95">IF($A95="","",IF(R95=0,"",INDEX(RISK_SCALE_NAMES,_xlfn.MAXIFS(tblThreatControls[Threat risk score],tblThreatControls[Control ID],$A95))))</f>
        <v/>
      </c>
      <c r="T95" s="49" cm="1">
        <f t="array" ref="T95">IF($A95="","",IF(AND(H95="Applicable",OR(L95="Not assessed",L95=""),R95&gt;0),"Yes","No"))</f>
        <v/>
      </c>
      <c r="U95" s="49" cm="1">
        <f t="array" ref="U95">IF($A95="","",IF(AND(H95="Applicable",OR(L95="Gap",L95="Partial coverage")),INDEX(RISK_SCALE_NAMES,MAX(IFERROR(MATCH(P95,RISK_SCALE_NAMES,0),1),IFERROR(MATCH(S95,RISK_SCALE_NAMES,0),0))),""))</f>
        <v/>
      </c>
      <c r="V95" s="49" cm="1">
        <f t="array" ref="V95">IF($A95="","",_xlfn.TEXTJOIN("; ",TRUE,_xlfn._xlws.FILTER(tblThreatControls[Threat ID],(tblThreatControls[Control ID]=$A95)*(tblThreatControls[Threat applies]="Applies"),"")))</f>
        <v/>
      </c>
    </row>
    <row r="96" ht="45" customHeight="1" s="19">
      <c r="A96" s="49" t="n"/>
      <c r="B96" s="49" t="n"/>
      <c r="C96" s="48" cm="1">
        <f t="array" ref="C96">IF($A96="","",_xlfn.TEXTJOIN("; ",TRUE,_xlfn._xlws.FILTER(MT_IDS,MT_BASELINE=$A96,"")))</f>
        <v/>
      </c>
      <c r="D96" s="48">
        <f>IF($A96="","",_xlfn.MINIFS(MT_LEVEL,MT_BASELINE,$A96))</f>
        <v/>
      </c>
      <c r="E96" s="49" t="n"/>
      <c r="F96" s="48" cm="1">
        <f t="array" ref="F96">IF($A96="","",_xlfn.TEXTJOIN("; ",TRUE,_xlfn._xlws.FILTER(MT_IDS,(MT_BASELINE=$A96)*(MT_APPLICABLE="Applicable"),"")))</f>
        <v/>
      </c>
      <c r="G96" s="48">
        <f>IF($A96="","",COUNTIFS(MT_BASELINE,$A96,MT_APPLICABLE,"Applicable"))</f>
        <v/>
      </c>
      <c r="H96" s="50">
        <f>IF($A96="","",IF(G96&gt;0,"Applicable","N/A"))</f>
        <v/>
      </c>
      <c r="I96" s="49" t="n"/>
      <c r="J96" s="49" t="n"/>
      <c r="K96" s="49" t="n"/>
      <c r="L96" s="49" t="n"/>
      <c r="M96" s="49" t="n"/>
      <c r="N96" s="49" t="n"/>
      <c r="O96" s="50" t="n"/>
      <c r="P96" s="50">
        <f>IF($A96="","",IF(H96="N/A","N/A",IFERROR(INDEX(CRIT_MATRIX,MATCH(O96,CRIT_MATRIX_ROWS,0),MATCH(APP_RISK_TIER,CRIT_MATRIX_COLS,0)),"")))</f>
        <v/>
      </c>
      <c r="Q96" s="49" t="n"/>
      <c r="R96" s="49" cm="1">
        <f t="array" ref="R96">IF($A96="","",COUNTIFS(tblThreatControls[Control ID],$A96,tblThreatControls[Threat applies],"Applies"))</f>
        <v/>
      </c>
      <c r="S96" s="49" cm="1">
        <f t="array" ref="S96">IF($A96="","",IF(R96=0,"",INDEX(RISK_SCALE_NAMES,_xlfn.MAXIFS(tblThreatControls[Threat risk score],tblThreatControls[Control ID],$A96))))</f>
        <v/>
      </c>
      <c r="T96" s="49" cm="1">
        <f t="array" ref="T96">IF($A96="","",IF(AND(H96="Applicable",OR(L96="Not assessed",L96=""),R96&gt;0),"Yes","No"))</f>
        <v/>
      </c>
      <c r="U96" s="49" cm="1">
        <f t="array" ref="U96">IF($A96="","",IF(AND(H96="Applicable",OR(L96="Gap",L96="Partial coverage")),INDEX(RISK_SCALE_NAMES,MAX(IFERROR(MATCH(P96,RISK_SCALE_NAMES,0),1),IFERROR(MATCH(S96,RISK_SCALE_NAMES,0),0))),""))</f>
        <v/>
      </c>
      <c r="V96" s="49" cm="1">
        <f t="array" ref="V96">IF($A96="","",_xlfn.TEXTJOIN("; ",TRUE,_xlfn._xlws.FILTER(tblThreatControls[Threat ID],(tblThreatControls[Control ID]=$A96)*(tblThreatControls[Threat applies]="Applies"),"")))</f>
        <v/>
      </c>
    </row>
    <row r="97" ht="45" customHeight="1" s="19">
      <c r="A97" s="49" t="n"/>
      <c r="B97" s="49" t="n"/>
      <c r="C97" s="48" cm="1">
        <f t="array" ref="C97">IF($A97="","",_xlfn.TEXTJOIN("; ",TRUE,_xlfn._xlws.FILTER(MT_IDS,MT_BASELINE=$A97,"")))</f>
        <v/>
      </c>
      <c r="D97" s="48">
        <f>IF($A97="","",_xlfn.MINIFS(MT_LEVEL,MT_BASELINE,$A97))</f>
        <v/>
      </c>
      <c r="E97" s="49" t="n"/>
      <c r="F97" s="48" cm="1">
        <f t="array" ref="F97">IF($A97="","",_xlfn.TEXTJOIN("; ",TRUE,_xlfn._xlws.FILTER(MT_IDS,(MT_BASELINE=$A97)*(MT_APPLICABLE="Applicable"),"")))</f>
        <v/>
      </c>
      <c r="G97" s="48">
        <f>IF($A97="","",COUNTIFS(MT_BASELINE,$A97,MT_APPLICABLE,"Applicable"))</f>
        <v/>
      </c>
      <c r="H97" s="50">
        <f>IF($A97="","",IF(G97&gt;0,"Applicable","N/A"))</f>
        <v/>
      </c>
      <c r="I97" s="49" t="n"/>
      <c r="J97" s="49" t="n"/>
      <c r="K97" s="49" t="n"/>
      <c r="L97" s="49" t="n"/>
      <c r="M97" s="49" t="n"/>
      <c r="N97" s="49" t="n"/>
      <c r="O97" s="50" t="n"/>
      <c r="P97" s="50">
        <f>IF($A97="","",IF(H97="N/A","N/A",IFERROR(INDEX(CRIT_MATRIX,MATCH(O97,CRIT_MATRIX_ROWS,0),MATCH(APP_RISK_TIER,CRIT_MATRIX_COLS,0)),"")))</f>
        <v/>
      </c>
      <c r="Q97" s="49" t="n"/>
      <c r="R97" s="49" cm="1">
        <f t="array" ref="R97">IF($A97="","",COUNTIFS(tblThreatControls[Control ID],$A97,tblThreatControls[Threat applies],"Applies"))</f>
        <v/>
      </c>
      <c r="S97" s="49" cm="1">
        <f t="array" ref="S97">IF($A97="","",IF(R97=0,"",INDEX(RISK_SCALE_NAMES,_xlfn.MAXIFS(tblThreatControls[Threat risk score],tblThreatControls[Control ID],$A97))))</f>
        <v/>
      </c>
      <c r="T97" s="49" cm="1">
        <f t="array" ref="T97">IF($A97="","",IF(AND(H97="Applicable",OR(L97="Not assessed",L97=""),R97&gt;0),"Yes","No"))</f>
        <v/>
      </c>
      <c r="U97" s="49" cm="1">
        <f t="array" ref="U97">IF($A97="","",IF(AND(H97="Applicable",OR(L97="Gap",L97="Partial coverage")),INDEX(RISK_SCALE_NAMES,MAX(IFERROR(MATCH(P97,RISK_SCALE_NAMES,0),1),IFERROR(MATCH(S97,RISK_SCALE_NAMES,0),0))),""))</f>
        <v/>
      </c>
      <c r="V97" s="49" cm="1">
        <f t="array" ref="V97">IF($A97="","",_xlfn.TEXTJOIN("; ",TRUE,_xlfn._xlws.FILTER(tblThreatControls[Threat ID],(tblThreatControls[Control ID]=$A97)*(tblThreatControls[Threat applies]="Applies"),"")))</f>
        <v/>
      </c>
    </row>
    <row r="98" ht="45" customHeight="1" s="19">
      <c r="A98" s="49" t="n"/>
      <c r="B98" s="49" t="n"/>
      <c r="C98" s="48" cm="1">
        <f t="array" ref="C98">IF($A98="","",_xlfn.TEXTJOIN("; ",TRUE,_xlfn._xlws.FILTER(MT_IDS,MT_BASELINE=$A98,"")))</f>
        <v/>
      </c>
      <c r="D98" s="48">
        <f>IF($A98="","",_xlfn.MINIFS(MT_LEVEL,MT_BASELINE,$A98))</f>
        <v/>
      </c>
      <c r="E98" s="49" t="n"/>
      <c r="F98" s="48" cm="1">
        <f t="array" ref="F98">IF($A98="","",_xlfn.TEXTJOIN("; ",TRUE,_xlfn._xlws.FILTER(MT_IDS,(MT_BASELINE=$A98)*(MT_APPLICABLE="Applicable"),"")))</f>
        <v/>
      </c>
      <c r="G98" s="48">
        <f>IF($A98="","",COUNTIFS(MT_BASELINE,$A98,MT_APPLICABLE,"Applicable"))</f>
        <v/>
      </c>
      <c r="H98" s="50">
        <f>IF($A98="","",IF(G98&gt;0,"Applicable","N/A"))</f>
        <v/>
      </c>
      <c r="I98" s="49" t="n"/>
      <c r="J98" s="49" t="n"/>
      <c r="K98" s="49" t="n"/>
      <c r="L98" s="49" t="n"/>
      <c r="M98" s="49" t="n"/>
      <c r="N98" s="49" t="n"/>
      <c r="O98" s="50" t="n"/>
      <c r="P98" s="50">
        <f>IF($A98="","",IF(H98="N/A","N/A",IFERROR(INDEX(CRIT_MATRIX,MATCH(O98,CRIT_MATRIX_ROWS,0),MATCH(APP_RISK_TIER,CRIT_MATRIX_COLS,0)),"")))</f>
        <v/>
      </c>
      <c r="Q98" s="49" t="n"/>
      <c r="R98" s="49" cm="1">
        <f t="array" ref="R98">IF($A98="","",COUNTIFS(tblThreatControls[Control ID],$A98,tblThreatControls[Threat applies],"Applies"))</f>
        <v/>
      </c>
      <c r="S98" s="49" cm="1">
        <f t="array" ref="S98">IF($A98="","",IF(R98=0,"",INDEX(RISK_SCALE_NAMES,_xlfn.MAXIFS(tblThreatControls[Threat risk score],tblThreatControls[Control ID],$A98))))</f>
        <v/>
      </c>
      <c r="T98" s="49" cm="1">
        <f t="array" ref="T98">IF($A98="","",IF(AND(H98="Applicable",OR(L98="Not assessed",L98=""),R98&gt;0),"Yes","No"))</f>
        <v/>
      </c>
      <c r="U98" s="49" cm="1">
        <f t="array" ref="U98">IF($A98="","",IF(AND(H98="Applicable",OR(L98="Gap",L98="Partial coverage")),INDEX(RISK_SCALE_NAMES,MAX(IFERROR(MATCH(P98,RISK_SCALE_NAMES,0),1),IFERROR(MATCH(S98,RISK_SCALE_NAMES,0),0))),""))</f>
        <v/>
      </c>
      <c r="V98" s="49" cm="1">
        <f t="array" ref="V98">IF($A98="","",_xlfn.TEXTJOIN("; ",TRUE,_xlfn._xlws.FILTER(tblThreatControls[Threat ID],(tblThreatControls[Control ID]=$A98)*(tblThreatControls[Threat applies]="Applies"),"")))</f>
        <v/>
      </c>
    </row>
    <row r="99" ht="45" customHeight="1" s="19">
      <c r="A99" s="49" t="n"/>
      <c r="B99" s="49" t="n"/>
      <c r="C99" s="48" cm="1">
        <f t="array" ref="C99">IF($A99="","",_xlfn.TEXTJOIN("; ",TRUE,_xlfn._xlws.FILTER(MT_IDS,MT_BASELINE=$A99,"")))</f>
        <v/>
      </c>
      <c r="D99" s="48">
        <f>IF($A99="","",_xlfn.MINIFS(MT_LEVEL,MT_BASELINE,$A99))</f>
        <v/>
      </c>
      <c r="E99" s="49" t="n"/>
      <c r="F99" s="48" cm="1">
        <f t="array" ref="F99">IF($A99="","",_xlfn.TEXTJOIN("; ",TRUE,_xlfn._xlws.FILTER(MT_IDS,(MT_BASELINE=$A99)*(MT_APPLICABLE="Applicable"),"")))</f>
        <v/>
      </c>
      <c r="G99" s="48">
        <f>IF($A99="","",COUNTIFS(MT_BASELINE,$A99,MT_APPLICABLE,"Applicable"))</f>
        <v/>
      </c>
      <c r="H99" s="50">
        <f>IF($A99="","",IF(G99&gt;0,"Applicable","N/A"))</f>
        <v/>
      </c>
      <c r="I99" s="49" t="n"/>
      <c r="J99" s="49" t="n"/>
      <c r="K99" s="49" t="n"/>
      <c r="L99" s="49" t="n"/>
      <c r="M99" s="49" t="n"/>
      <c r="N99" s="49" t="n"/>
      <c r="O99" s="50" t="n"/>
      <c r="P99" s="50">
        <f>IF($A99="","",IF(H99="N/A","N/A",IFERROR(INDEX(CRIT_MATRIX,MATCH(O99,CRIT_MATRIX_ROWS,0),MATCH(APP_RISK_TIER,CRIT_MATRIX_COLS,0)),"")))</f>
        <v/>
      </c>
      <c r="Q99" s="49" t="n"/>
      <c r="R99" s="49" cm="1">
        <f t="array" ref="R99">IF($A99="","",COUNTIFS(tblThreatControls[Control ID],$A99,tblThreatControls[Threat applies],"Applies"))</f>
        <v/>
      </c>
      <c r="S99" s="49" cm="1">
        <f t="array" ref="S99">IF($A99="","",IF(R99=0,"",INDEX(RISK_SCALE_NAMES,_xlfn.MAXIFS(tblThreatControls[Threat risk score],tblThreatControls[Control ID],$A99))))</f>
        <v/>
      </c>
      <c r="T99" s="49" cm="1">
        <f t="array" ref="T99">IF($A99="","",IF(AND(H99="Applicable",OR(L99="Not assessed",L99=""),R99&gt;0),"Yes","No"))</f>
        <v/>
      </c>
      <c r="U99" s="49" cm="1">
        <f t="array" ref="U99">IF($A99="","",IF(AND(H99="Applicable",OR(L99="Gap",L99="Partial coverage")),INDEX(RISK_SCALE_NAMES,MAX(IFERROR(MATCH(P99,RISK_SCALE_NAMES,0),1),IFERROR(MATCH(S99,RISK_SCALE_NAMES,0),0))),""))</f>
        <v/>
      </c>
      <c r="V99" s="49" cm="1">
        <f t="array" ref="V99">IF($A99="","",_xlfn.TEXTJOIN("; ",TRUE,_xlfn._xlws.FILTER(tblThreatControls[Threat ID],(tblThreatControls[Control ID]=$A99)*(tblThreatControls[Threat applies]="Applies"),"")))</f>
        <v/>
      </c>
    </row>
    <row r="100" ht="45" customHeight="1" s="19">
      <c r="A100" s="49" t="n"/>
      <c r="B100" s="49" t="n"/>
      <c r="C100" s="48" cm="1">
        <f t="array" ref="C100">IF($A100="","",_xlfn.TEXTJOIN("; ",TRUE,_xlfn._xlws.FILTER(MT_IDS,MT_BASELINE=$A100,"")))</f>
        <v/>
      </c>
      <c r="D100" s="48">
        <f>IF($A100="","",_xlfn.MINIFS(MT_LEVEL,MT_BASELINE,$A100))</f>
        <v/>
      </c>
      <c r="E100" s="49" t="n"/>
      <c r="F100" s="48" cm="1">
        <f t="array" ref="F100">IF($A100="","",_xlfn.TEXTJOIN("; ",TRUE,_xlfn._xlws.FILTER(MT_IDS,(MT_BASELINE=$A100)*(MT_APPLICABLE="Applicable"),"")))</f>
        <v/>
      </c>
      <c r="G100" s="48">
        <f>IF($A100="","",COUNTIFS(MT_BASELINE,$A100,MT_APPLICABLE,"Applicable"))</f>
        <v/>
      </c>
      <c r="H100" s="50">
        <f>IF($A100="","",IF(G100&gt;0,"Applicable","N/A"))</f>
        <v/>
      </c>
      <c r="I100" s="49" t="n"/>
      <c r="J100" s="49" t="n"/>
      <c r="K100" s="49" t="n"/>
      <c r="L100" s="49" t="n"/>
      <c r="M100" s="49" t="n"/>
      <c r="N100" s="49" t="n"/>
      <c r="O100" s="50" t="n"/>
      <c r="P100" s="50">
        <f>IF($A100="","",IF(H100="N/A","N/A",IFERROR(INDEX(CRIT_MATRIX,MATCH(O100,CRIT_MATRIX_ROWS,0),MATCH(APP_RISK_TIER,CRIT_MATRIX_COLS,0)),"")))</f>
        <v/>
      </c>
      <c r="Q100" s="49" t="n"/>
      <c r="R100" s="49" cm="1">
        <f t="array" ref="R100">IF($A100="","",COUNTIFS(tblThreatControls[Control ID],$A100,tblThreatControls[Threat applies],"Applies"))</f>
        <v/>
      </c>
      <c r="S100" s="49" cm="1">
        <f t="array" ref="S100">IF($A100="","",IF(R100=0,"",INDEX(RISK_SCALE_NAMES,_xlfn.MAXIFS(tblThreatControls[Threat risk score],tblThreatControls[Control ID],$A100))))</f>
        <v/>
      </c>
      <c r="T100" s="49" cm="1">
        <f t="array" ref="T100">IF($A100="","",IF(AND(H100="Applicable",OR(L100="Not assessed",L100=""),R100&gt;0),"Yes","No"))</f>
        <v/>
      </c>
      <c r="U100" s="49" cm="1">
        <f t="array" ref="U100">IF($A100="","",IF(AND(H100="Applicable",OR(L100="Gap",L100="Partial coverage")),INDEX(RISK_SCALE_NAMES,MAX(IFERROR(MATCH(P100,RISK_SCALE_NAMES,0),1),IFERROR(MATCH(S100,RISK_SCALE_NAMES,0),0))),""))</f>
        <v/>
      </c>
      <c r="V100" s="49" cm="1">
        <f t="array" ref="V100">IF($A100="","",_xlfn.TEXTJOIN("; ",TRUE,_xlfn._xlws.FILTER(tblThreatControls[Threat ID],(tblThreatControls[Control ID]=$A100)*(tblThreatControls[Threat applies]="Applies"),"")))</f>
        <v/>
      </c>
    </row>
    <row r="101" ht="45" customHeight="1" s="19">
      <c r="A101" s="49" t="n"/>
      <c r="B101" s="49" t="n"/>
      <c r="C101" s="48" cm="1">
        <f t="array" ref="C101">IF($A101="","",_xlfn.TEXTJOIN("; ",TRUE,_xlfn._xlws.FILTER(MT_IDS,MT_BASELINE=$A101,"")))</f>
        <v/>
      </c>
      <c r="D101" s="48">
        <f>IF($A101="","",_xlfn.MINIFS(MT_LEVEL,MT_BASELINE,$A101))</f>
        <v/>
      </c>
      <c r="E101" s="49" t="n"/>
      <c r="F101" s="48" cm="1">
        <f t="array" ref="F101">IF($A101="","",_xlfn.TEXTJOIN("; ",TRUE,_xlfn._xlws.FILTER(MT_IDS,(MT_BASELINE=$A101)*(MT_APPLICABLE="Applicable"),"")))</f>
        <v/>
      </c>
      <c r="G101" s="48">
        <f>IF($A101="","",COUNTIFS(MT_BASELINE,$A101,MT_APPLICABLE,"Applicable"))</f>
        <v/>
      </c>
      <c r="H101" s="50">
        <f>IF($A101="","",IF(G101&gt;0,"Applicable","N/A"))</f>
        <v/>
      </c>
      <c r="I101" s="49" t="n"/>
      <c r="J101" s="49" t="n"/>
      <c r="K101" s="49" t="n"/>
      <c r="L101" s="49" t="n"/>
      <c r="M101" s="49" t="n"/>
      <c r="N101" s="49" t="n"/>
      <c r="O101" s="50" t="n"/>
      <c r="P101" s="50">
        <f>IF($A101="","",IF(H101="N/A","N/A",IFERROR(INDEX(CRIT_MATRIX,MATCH(O101,CRIT_MATRIX_ROWS,0),MATCH(APP_RISK_TIER,CRIT_MATRIX_COLS,0)),"")))</f>
        <v/>
      </c>
      <c r="Q101" s="49" t="n"/>
      <c r="R101" s="49" cm="1">
        <f t="array" ref="R101">IF($A101="","",COUNTIFS(tblThreatControls[Control ID],$A101,tblThreatControls[Threat applies],"Applies"))</f>
        <v/>
      </c>
      <c r="S101" s="49" cm="1">
        <f t="array" ref="S101">IF($A101="","",IF(R101=0,"",INDEX(RISK_SCALE_NAMES,_xlfn.MAXIFS(tblThreatControls[Threat risk score],tblThreatControls[Control ID],$A101))))</f>
        <v/>
      </c>
      <c r="T101" s="49" cm="1">
        <f t="array" ref="T101">IF($A101="","",IF(AND(H101="Applicable",OR(L101="Not assessed",L101=""),R101&gt;0),"Yes","No"))</f>
        <v/>
      </c>
      <c r="U101" s="49" cm="1">
        <f t="array" ref="U101">IF($A101="","",IF(AND(H101="Applicable",OR(L101="Gap",L101="Partial coverage")),INDEX(RISK_SCALE_NAMES,MAX(IFERROR(MATCH(P101,RISK_SCALE_NAMES,0),1),IFERROR(MATCH(S101,RISK_SCALE_NAMES,0),0))),""))</f>
        <v/>
      </c>
      <c r="V101" s="49" cm="1">
        <f t="array" ref="V101">IF($A101="","",_xlfn.TEXTJOIN("; ",TRUE,_xlfn._xlws.FILTER(tblThreatControls[Threat ID],(tblThreatControls[Control ID]=$A101)*(tblThreatControls[Threat applies]="Applies"),"")))</f>
        <v/>
      </c>
    </row>
    <row r="102" ht="45" customHeight="1" s="19">
      <c r="A102" s="49" t="n"/>
      <c r="B102" s="49" t="n"/>
      <c r="C102" s="48" cm="1">
        <f t="array" ref="C102">IF($A102="","",_xlfn.TEXTJOIN("; ",TRUE,_xlfn._xlws.FILTER(MT_IDS,MT_BASELINE=$A102,"")))</f>
        <v/>
      </c>
      <c r="D102" s="48">
        <f>IF($A102="","",_xlfn.MINIFS(MT_LEVEL,MT_BASELINE,$A102))</f>
        <v/>
      </c>
      <c r="E102" s="49" t="n"/>
      <c r="F102" s="48" cm="1">
        <f t="array" ref="F102">IF($A102="","",_xlfn.TEXTJOIN("; ",TRUE,_xlfn._xlws.FILTER(MT_IDS,(MT_BASELINE=$A102)*(MT_APPLICABLE="Applicable"),"")))</f>
        <v/>
      </c>
      <c r="G102" s="48">
        <f>IF($A102="","",COUNTIFS(MT_BASELINE,$A102,MT_APPLICABLE,"Applicable"))</f>
        <v/>
      </c>
      <c r="H102" s="50">
        <f>IF($A102="","",IF(G102&gt;0,"Applicable","N/A"))</f>
        <v/>
      </c>
      <c r="I102" s="49" t="n"/>
      <c r="J102" s="49" t="n"/>
      <c r="K102" s="49" t="n"/>
      <c r="L102" s="49" t="n"/>
      <c r="M102" s="49" t="n"/>
      <c r="N102" s="49" t="n"/>
      <c r="O102" s="50" t="n"/>
      <c r="P102" s="50">
        <f>IF($A102="","",IF(H102="N/A","N/A",IFERROR(INDEX(CRIT_MATRIX,MATCH(O102,CRIT_MATRIX_ROWS,0),MATCH(APP_RISK_TIER,CRIT_MATRIX_COLS,0)),"")))</f>
        <v/>
      </c>
      <c r="Q102" s="49" t="n"/>
      <c r="R102" s="49" cm="1">
        <f t="array" ref="R102">IF($A102="","",COUNTIFS(tblThreatControls[Control ID],$A102,tblThreatControls[Threat applies],"Applies"))</f>
        <v/>
      </c>
      <c r="S102" s="49" cm="1">
        <f t="array" ref="S102">IF($A102="","",IF(R102=0,"",INDEX(RISK_SCALE_NAMES,_xlfn.MAXIFS(tblThreatControls[Threat risk score],tblThreatControls[Control ID],$A102))))</f>
        <v/>
      </c>
      <c r="T102" s="49" cm="1">
        <f t="array" ref="T102">IF($A102="","",IF(AND(H102="Applicable",OR(L102="Not assessed",L102=""),R102&gt;0),"Yes","No"))</f>
        <v/>
      </c>
      <c r="U102" s="49" cm="1">
        <f t="array" ref="U102">IF($A102="","",IF(AND(H102="Applicable",OR(L102="Gap",L102="Partial coverage")),INDEX(RISK_SCALE_NAMES,MAX(IFERROR(MATCH(P102,RISK_SCALE_NAMES,0),1),IFERROR(MATCH(S102,RISK_SCALE_NAMES,0),0))),""))</f>
        <v/>
      </c>
      <c r="V102" s="49" cm="1">
        <f t="array" ref="V102">IF($A102="","",_xlfn.TEXTJOIN("; ",TRUE,_xlfn._xlws.FILTER(tblThreatControls[Threat ID],(tblThreatControls[Control ID]=$A102)*(tblThreatControls[Threat applies]="Applies"),"")))</f>
        <v/>
      </c>
    </row>
    <row r="103" ht="45" customHeight="1" s="19">
      <c r="A103" s="49" t="n"/>
      <c r="B103" s="49" t="n"/>
      <c r="C103" s="48" cm="1">
        <f t="array" ref="C103">IF($A103="","",_xlfn.TEXTJOIN("; ",TRUE,_xlfn._xlws.FILTER(MT_IDS,MT_BASELINE=$A103,"")))</f>
        <v/>
      </c>
      <c r="D103" s="48">
        <f>IF($A103="","",_xlfn.MINIFS(MT_LEVEL,MT_BASELINE,$A103))</f>
        <v/>
      </c>
      <c r="E103" s="49" t="n"/>
      <c r="F103" s="48" cm="1">
        <f t="array" ref="F103">IF($A103="","",_xlfn.TEXTJOIN("; ",TRUE,_xlfn._xlws.FILTER(MT_IDS,(MT_BASELINE=$A103)*(MT_APPLICABLE="Applicable"),"")))</f>
        <v/>
      </c>
      <c r="G103" s="48">
        <f>IF($A103="","",COUNTIFS(MT_BASELINE,$A103,MT_APPLICABLE,"Applicable"))</f>
        <v/>
      </c>
      <c r="H103" s="50">
        <f>IF($A103="","",IF(G103&gt;0,"Applicable","N/A"))</f>
        <v/>
      </c>
      <c r="I103" s="49" t="n"/>
      <c r="J103" s="49" t="n"/>
      <c r="K103" s="49" t="n"/>
      <c r="L103" s="49" t="n"/>
      <c r="M103" s="49" t="n"/>
      <c r="N103" s="49" t="n"/>
      <c r="O103" s="50" t="n"/>
      <c r="P103" s="50">
        <f>IF($A103="","",IF(H103="N/A","N/A",IFERROR(INDEX(CRIT_MATRIX,MATCH(O103,CRIT_MATRIX_ROWS,0),MATCH(APP_RISK_TIER,CRIT_MATRIX_COLS,0)),"")))</f>
        <v/>
      </c>
      <c r="Q103" s="49" t="n"/>
      <c r="R103" s="49" cm="1">
        <f t="array" ref="R103">IF($A103="","",COUNTIFS(tblThreatControls[Control ID],$A103,tblThreatControls[Threat applies],"Applies"))</f>
        <v/>
      </c>
      <c r="S103" s="49" cm="1">
        <f t="array" ref="S103">IF($A103="","",IF(R103=0,"",INDEX(RISK_SCALE_NAMES,_xlfn.MAXIFS(tblThreatControls[Threat risk score],tblThreatControls[Control ID],$A103))))</f>
        <v/>
      </c>
      <c r="T103" s="49" cm="1">
        <f t="array" ref="T103">IF($A103="","",IF(AND(H103="Applicable",OR(L103="Not assessed",L103=""),R103&gt;0),"Yes","No"))</f>
        <v/>
      </c>
      <c r="U103" s="49" cm="1">
        <f t="array" ref="U103">IF($A103="","",IF(AND(H103="Applicable",OR(L103="Gap",L103="Partial coverage")),INDEX(RISK_SCALE_NAMES,MAX(IFERROR(MATCH(P103,RISK_SCALE_NAMES,0),1),IFERROR(MATCH(S103,RISK_SCALE_NAMES,0),0))),""))</f>
        <v/>
      </c>
      <c r="V103" s="49" cm="1">
        <f t="array" ref="V103">IF($A103="","",_xlfn.TEXTJOIN("; ",TRUE,_xlfn._xlws.FILTER(tblThreatControls[Threat ID],(tblThreatControls[Control ID]=$A103)*(tblThreatControls[Threat applies]="Applies"),"")))</f>
        <v/>
      </c>
    </row>
    <row r="104" ht="45" customHeight="1" s="19">
      <c r="A104" s="49" t="n"/>
      <c r="B104" s="49" t="n"/>
      <c r="C104" s="48" cm="1">
        <f t="array" ref="C104">IF($A104="","",_xlfn.TEXTJOIN("; ",TRUE,_xlfn._xlws.FILTER(MT_IDS,MT_BASELINE=$A104,"")))</f>
        <v/>
      </c>
      <c r="D104" s="48">
        <f>IF($A104="","",_xlfn.MINIFS(MT_LEVEL,MT_BASELINE,$A104))</f>
        <v/>
      </c>
      <c r="E104" s="49" t="n"/>
      <c r="F104" s="48" cm="1">
        <f t="array" ref="F104">IF($A104="","",_xlfn.TEXTJOIN("; ",TRUE,_xlfn._xlws.FILTER(MT_IDS,(MT_BASELINE=$A104)*(MT_APPLICABLE="Applicable"),"")))</f>
        <v/>
      </c>
      <c r="G104" s="48">
        <f>IF($A104="","",COUNTIFS(MT_BASELINE,$A104,MT_APPLICABLE,"Applicable"))</f>
        <v/>
      </c>
      <c r="H104" s="50">
        <f>IF($A104="","",IF(G104&gt;0,"Applicable","N/A"))</f>
        <v/>
      </c>
      <c r="I104" s="49" t="n"/>
      <c r="J104" s="49" t="n"/>
      <c r="K104" s="49" t="n"/>
      <c r="L104" s="49" t="n"/>
      <c r="M104" s="49" t="n"/>
      <c r="N104" s="49" t="n"/>
      <c r="O104" s="50" t="n"/>
      <c r="P104" s="50">
        <f>IF($A104="","",IF(H104="N/A","N/A",IFERROR(INDEX(CRIT_MATRIX,MATCH(O104,CRIT_MATRIX_ROWS,0),MATCH(APP_RISK_TIER,CRIT_MATRIX_COLS,0)),"")))</f>
        <v/>
      </c>
      <c r="Q104" s="49" t="n"/>
      <c r="R104" s="49" cm="1">
        <f t="array" ref="R104">IF($A104="","",COUNTIFS(tblThreatControls[Control ID],$A104,tblThreatControls[Threat applies],"Applies"))</f>
        <v/>
      </c>
      <c r="S104" s="49" cm="1">
        <f t="array" ref="S104">IF($A104="","",IF(R104=0,"",INDEX(RISK_SCALE_NAMES,_xlfn.MAXIFS(tblThreatControls[Threat risk score],tblThreatControls[Control ID],$A104))))</f>
        <v/>
      </c>
      <c r="T104" s="49" cm="1">
        <f t="array" ref="T104">IF($A104="","",IF(AND(H104="Applicable",OR(L104="Not assessed",L104=""),R104&gt;0),"Yes","No"))</f>
        <v/>
      </c>
      <c r="U104" s="49" cm="1">
        <f t="array" ref="U104">IF($A104="","",IF(AND(H104="Applicable",OR(L104="Gap",L104="Partial coverage")),INDEX(RISK_SCALE_NAMES,MAX(IFERROR(MATCH(P104,RISK_SCALE_NAMES,0),1),IFERROR(MATCH(S104,RISK_SCALE_NAMES,0),0))),""))</f>
        <v/>
      </c>
      <c r="V104" s="49" cm="1">
        <f t="array" ref="V104">IF($A104="","",_xlfn.TEXTJOIN("; ",TRUE,_xlfn._xlws.FILTER(tblThreatControls[Threat ID],(tblThreatControls[Control ID]=$A104)*(tblThreatControls[Threat applies]="Applies"),"")))</f>
        <v/>
      </c>
    </row>
    <row r="105" ht="45" customHeight="1" s="19">
      <c r="A105" s="49" t="n"/>
      <c r="B105" s="49" t="n"/>
      <c r="C105" s="48" cm="1">
        <f t="array" ref="C105">IF($A105="","",_xlfn.TEXTJOIN("; ",TRUE,_xlfn._xlws.FILTER(MT_IDS,MT_BASELINE=$A105,"")))</f>
        <v/>
      </c>
      <c r="D105" s="48">
        <f>IF($A105="","",_xlfn.MINIFS(MT_LEVEL,MT_BASELINE,$A105))</f>
        <v/>
      </c>
      <c r="E105" s="49" t="n"/>
      <c r="F105" s="48" cm="1">
        <f t="array" ref="F105">IF($A105="","",_xlfn.TEXTJOIN("; ",TRUE,_xlfn._xlws.FILTER(MT_IDS,(MT_BASELINE=$A105)*(MT_APPLICABLE="Applicable"),"")))</f>
        <v/>
      </c>
      <c r="G105" s="48">
        <f>IF($A105="","",COUNTIFS(MT_BASELINE,$A105,MT_APPLICABLE,"Applicable"))</f>
        <v/>
      </c>
      <c r="H105" s="50">
        <f>IF($A105="","",IF(G105&gt;0,"Applicable","N/A"))</f>
        <v/>
      </c>
      <c r="I105" s="49" t="n"/>
      <c r="J105" s="49" t="n"/>
      <c r="K105" s="49" t="n"/>
      <c r="L105" s="49" t="n"/>
      <c r="M105" s="49" t="n"/>
      <c r="N105" s="49" t="n"/>
      <c r="O105" s="50" t="n"/>
      <c r="P105" s="50">
        <f>IF($A105="","",IF(H105="N/A","N/A",IFERROR(INDEX(CRIT_MATRIX,MATCH(O105,CRIT_MATRIX_ROWS,0),MATCH(APP_RISK_TIER,CRIT_MATRIX_COLS,0)),"")))</f>
        <v/>
      </c>
      <c r="Q105" s="49" t="n"/>
      <c r="R105" s="49" cm="1">
        <f t="array" ref="R105">IF($A105="","",COUNTIFS(tblThreatControls[Control ID],$A105,tblThreatControls[Threat applies],"Applies"))</f>
        <v/>
      </c>
      <c r="S105" s="49" cm="1">
        <f t="array" ref="S105">IF($A105="","",IF(R105=0,"",INDEX(RISK_SCALE_NAMES,_xlfn.MAXIFS(tblThreatControls[Threat risk score],tblThreatControls[Control ID],$A105))))</f>
        <v/>
      </c>
      <c r="T105" s="49" cm="1">
        <f t="array" ref="T105">IF($A105="","",IF(AND(H105="Applicable",OR(L105="Not assessed",L105=""),R105&gt;0),"Yes","No"))</f>
        <v/>
      </c>
      <c r="U105" s="49" cm="1">
        <f t="array" ref="U105">IF($A105="","",IF(AND(H105="Applicable",OR(L105="Gap",L105="Partial coverage")),INDEX(RISK_SCALE_NAMES,MAX(IFERROR(MATCH(P105,RISK_SCALE_NAMES,0),1),IFERROR(MATCH(S105,RISK_SCALE_NAMES,0),0))),""))</f>
        <v/>
      </c>
      <c r="V105" s="49" cm="1">
        <f t="array" ref="V105">IF($A105="","",_xlfn.TEXTJOIN("; ",TRUE,_xlfn._xlws.FILTER(tblThreatControls[Threat ID],(tblThreatControls[Control ID]=$A105)*(tblThreatControls[Threat applies]="Applies"),"")))</f>
        <v/>
      </c>
    </row>
    <row r="106" ht="45" customHeight="1" s="19">
      <c r="A106" s="49" t="n"/>
      <c r="B106" s="49" t="n"/>
      <c r="C106" s="48" cm="1">
        <f t="array" ref="C106">IF($A106="","",_xlfn.TEXTJOIN("; ",TRUE,_xlfn._xlws.FILTER(MT_IDS,MT_BASELINE=$A106,"")))</f>
        <v/>
      </c>
      <c r="D106" s="48">
        <f>IF($A106="","",_xlfn.MINIFS(MT_LEVEL,MT_BASELINE,$A106))</f>
        <v/>
      </c>
      <c r="E106" s="49" t="n"/>
      <c r="F106" s="48" cm="1">
        <f t="array" ref="F106">IF($A106="","",_xlfn.TEXTJOIN("; ",TRUE,_xlfn._xlws.FILTER(MT_IDS,(MT_BASELINE=$A106)*(MT_APPLICABLE="Applicable"),"")))</f>
        <v/>
      </c>
      <c r="G106" s="48">
        <f>IF($A106="","",COUNTIFS(MT_BASELINE,$A106,MT_APPLICABLE,"Applicable"))</f>
        <v/>
      </c>
      <c r="H106" s="50">
        <f>IF($A106="","",IF(G106&gt;0,"Applicable","N/A"))</f>
        <v/>
      </c>
      <c r="I106" s="49" t="n"/>
      <c r="J106" s="49" t="n"/>
      <c r="K106" s="49" t="n"/>
      <c r="L106" s="49" t="n"/>
      <c r="M106" s="49" t="n"/>
      <c r="N106" s="49" t="n"/>
      <c r="O106" s="50" t="n"/>
      <c r="P106" s="50">
        <f>IF($A106="","",IF(H106="N/A","N/A",IFERROR(INDEX(CRIT_MATRIX,MATCH(O106,CRIT_MATRIX_ROWS,0),MATCH(APP_RISK_TIER,CRIT_MATRIX_COLS,0)),"")))</f>
        <v/>
      </c>
      <c r="Q106" s="49" t="n"/>
      <c r="R106" s="49" cm="1">
        <f t="array" ref="R106">IF($A106="","",COUNTIFS(tblThreatControls[Control ID],$A106,tblThreatControls[Threat applies],"Applies"))</f>
        <v/>
      </c>
      <c r="S106" s="49" cm="1">
        <f t="array" ref="S106">IF($A106="","",IF(R106=0,"",INDEX(RISK_SCALE_NAMES,_xlfn.MAXIFS(tblThreatControls[Threat risk score],tblThreatControls[Control ID],$A106))))</f>
        <v/>
      </c>
      <c r="T106" s="49" cm="1">
        <f t="array" ref="T106">IF($A106="","",IF(AND(H106="Applicable",OR(L106="Not assessed",L106=""),R106&gt;0),"Yes","No"))</f>
        <v/>
      </c>
      <c r="U106" s="49" cm="1">
        <f t="array" ref="U106">IF($A106="","",IF(AND(H106="Applicable",OR(L106="Gap",L106="Partial coverage")),INDEX(RISK_SCALE_NAMES,MAX(IFERROR(MATCH(P106,RISK_SCALE_NAMES,0),1),IFERROR(MATCH(S106,RISK_SCALE_NAMES,0),0))),""))</f>
        <v/>
      </c>
      <c r="V106" s="49" cm="1">
        <f t="array" ref="V106">IF($A106="","",_xlfn.TEXTJOIN("; ",TRUE,_xlfn._xlws.FILTER(tblThreatControls[Threat ID],(tblThreatControls[Control ID]=$A106)*(tblThreatControls[Threat applies]="Applies"),"")))</f>
        <v/>
      </c>
    </row>
    <row r="107" ht="45" customHeight="1" s="19">
      <c r="A107" s="49" t="n"/>
      <c r="B107" s="49" t="n"/>
      <c r="C107" s="48" cm="1">
        <f t="array" ref="C107">IF($A107="","",_xlfn.TEXTJOIN("; ",TRUE,_xlfn._xlws.FILTER(MT_IDS,MT_BASELINE=$A107,"")))</f>
        <v/>
      </c>
      <c r="D107" s="48">
        <f>IF($A107="","",_xlfn.MINIFS(MT_LEVEL,MT_BASELINE,$A107))</f>
        <v/>
      </c>
      <c r="E107" s="49" t="n"/>
      <c r="F107" s="48" cm="1">
        <f t="array" ref="F107">IF($A107="","",_xlfn.TEXTJOIN("; ",TRUE,_xlfn._xlws.FILTER(MT_IDS,(MT_BASELINE=$A107)*(MT_APPLICABLE="Applicable"),"")))</f>
        <v/>
      </c>
      <c r="G107" s="48">
        <f>IF($A107="","",COUNTIFS(MT_BASELINE,$A107,MT_APPLICABLE,"Applicable"))</f>
        <v/>
      </c>
      <c r="H107" s="50">
        <f>IF($A107="","",IF(G107&gt;0,"Applicable","N/A"))</f>
        <v/>
      </c>
      <c r="I107" s="49" t="n"/>
      <c r="J107" s="49" t="n"/>
      <c r="K107" s="49" t="n"/>
      <c r="L107" s="49" t="n"/>
      <c r="M107" s="49" t="n"/>
      <c r="N107" s="49" t="n"/>
      <c r="O107" s="50" t="n"/>
      <c r="P107" s="50">
        <f>IF($A107="","",IF(H107="N/A","N/A",IFERROR(INDEX(CRIT_MATRIX,MATCH(O107,CRIT_MATRIX_ROWS,0),MATCH(APP_RISK_TIER,CRIT_MATRIX_COLS,0)),"")))</f>
        <v/>
      </c>
      <c r="Q107" s="49" t="n"/>
      <c r="R107" s="49" cm="1">
        <f t="array" ref="R107">IF($A107="","",COUNTIFS(tblThreatControls[Control ID],$A107,tblThreatControls[Threat applies],"Applies"))</f>
        <v/>
      </c>
      <c r="S107" s="49" cm="1">
        <f t="array" ref="S107">IF($A107="","",IF(R107=0,"",INDEX(RISK_SCALE_NAMES,_xlfn.MAXIFS(tblThreatControls[Threat risk score],tblThreatControls[Control ID],$A107))))</f>
        <v/>
      </c>
      <c r="T107" s="49" cm="1">
        <f t="array" ref="T107">IF($A107="","",IF(AND(H107="Applicable",OR(L107="Not assessed",L107=""),R107&gt;0),"Yes","No"))</f>
        <v/>
      </c>
      <c r="U107" s="49" cm="1">
        <f t="array" ref="U107">IF($A107="","",IF(AND(H107="Applicable",OR(L107="Gap",L107="Partial coverage")),INDEX(RISK_SCALE_NAMES,MAX(IFERROR(MATCH(P107,RISK_SCALE_NAMES,0),1),IFERROR(MATCH(S107,RISK_SCALE_NAMES,0),0))),""))</f>
        <v/>
      </c>
      <c r="V107" s="49" cm="1">
        <f t="array" ref="V107">IF($A107="","",_xlfn.TEXTJOIN("; ",TRUE,_xlfn._xlws.FILTER(tblThreatControls[Threat ID],(tblThreatControls[Control ID]=$A107)*(tblThreatControls[Threat applies]="Applies"),"")))</f>
        <v/>
      </c>
    </row>
    <row r="108" ht="45" customHeight="1" s="19">
      <c r="A108" s="49" t="n"/>
      <c r="B108" s="49" t="n"/>
      <c r="C108" s="48" cm="1">
        <f t="array" ref="C108">IF($A108="","",_xlfn.TEXTJOIN("; ",TRUE,_xlfn._xlws.FILTER(MT_IDS,MT_BASELINE=$A108,"")))</f>
        <v/>
      </c>
      <c r="D108" s="48">
        <f>IF($A108="","",_xlfn.MINIFS(MT_LEVEL,MT_BASELINE,$A108))</f>
        <v/>
      </c>
      <c r="E108" s="49" t="n"/>
      <c r="F108" s="48" cm="1">
        <f t="array" ref="F108">IF($A108="","",_xlfn.TEXTJOIN("; ",TRUE,_xlfn._xlws.FILTER(MT_IDS,(MT_BASELINE=$A108)*(MT_APPLICABLE="Applicable"),"")))</f>
        <v/>
      </c>
      <c r="G108" s="48">
        <f>IF($A108="","",COUNTIFS(MT_BASELINE,$A108,MT_APPLICABLE,"Applicable"))</f>
        <v/>
      </c>
      <c r="H108" s="50">
        <f>IF($A108="","",IF(G108&gt;0,"Applicable","N/A"))</f>
        <v/>
      </c>
      <c r="I108" s="49" t="n"/>
      <c r="J108" s="49" t="n"/>
      <c r="K108" s="49" t="n"/>
      <c r="L108" s="49" t="n"/>
      <c r="M108" s="49" t="n"/>
      <c r="N108" s="49" t="n"/>
      <c r="O108" s="50" t="n"/>
      <c r="P108" s="50">
        <f>IF($A108="","",IF(H108="N/A","N/A",IFERROR(INDEX(CRIT_MATRIX,MATCH(O108,CRIT_MATRIX_ROWS,0),MATCH(APP_RISK_TIER,CRIT_MATRIX_COLS,0)),"")))</f>
        <v/>
      </c>
      <c r="Q108" s="49" t="n"/>
      <c r="R108" s="49" cm="1">
        <f t="array" ref="R108">IF($A108="","",COUNTIFS(tblThreatControls[Control ID],$A108,tblThreatControls[Threat applies],"Applies"))</f>
        <v/>
      </c>
      <c r="S108" s="49" cm="1">
        <f t="array" ref="S108">IF($A108="","",IF(R108=0,"",INDEX(RISK_SCALE_NAMES,_xlfn.MAXIFS(tblThreatControls[Threat risk score],tblThreatControls[Control ID],$A108))))</f>
        <v/>
      </c>
      <c r="T108" s="49" cm="1">
        <f t="array" ref="T108">IF($A108="","",IF(AND(H108="Applicable",OR(L108="Not assessed",L108=""),R108&gt;0),"Yes","No"))</f>
        <v/>
      </c>
      <c r="U108" s="49" cm="1">
        <f t="array" ref="U108">IF($A108="","",IF(AND(H108="Applicable",OR(L108="Gap",L108="Partial coverage")),INDEX(RISK_SCALE_NAMES,MAX(IFERROR(MATCH(P108,RISK_SCALE_NAMES,0),1),IFERROR(MATCH(S108,RISK_SCALE_NAMES,0),0))),""))</f>
        <v/>
      </c>
      <c r="V108" s="49" cm="1">
        <f t="array" ref="V108">IF($A108="","",_xlfn.TEXTJOIN("; ",TRUE,_xlfn._xlws.FILTER(tblThreatControls[Threat ID],(tblThreatControls[Control ID]=$A108)*(tblThreatControls[Threat applies]="Applies"),"")))</f>
        <v/>
      </c>
    </row>
    <row r="109" ht="45" customHeight="1" s="19">
      <c r="A109" s="49" t="n"/>
      <c r="B109" s="49" t="n"/>
      <c r="C109" s="48" cm="1">
        <f t="array" ref="C109">IF($A109="","",_xlfn.TEXTJOIN("; ",TRUE,_xlfn._xlws.FILTER(MT_IDS,MT_BASELINE=$A109,"")))</f>
        <v/>
      </c>
      <c r="D109" s="48">
        <f>IF($A109="","",_xlfn.MINIFS(MT_LEVEL,MT_BASELINE,$A109))</f>
        <v/>
      </c>
      <c r="E109" s="49" t="n"/>
      <c r="F109" s="48" cm="1">
        <f t="array" ref="F109">IF($A109="","",_xlfn.TEXTJOIN("; ",TRUE,_xlfn._xlws.FILTER(MT_IDS,(MT_BASELINE=$A109)*(MT_APPLICABLE="Applicable"),"")))</f>
        <v/>
      </c>
      <c r="G109" s="48">
        <f>IF($A109="","",COUNTIFS(MT_BASELINE,$A109,MT_APPLICABLE,"Applicable"))</f>
        <v/>
      </c>
      <c r="H109" s="50">
        <f>IF($A109="","",IF(G109&gt;0,"Applicable","N/A"))</f>
        <v/>
      </c>
      <c r="I109" s="49" t="n"/>
      <c r="J109" s="49" t="n"/>
      <c r="K109" s="49" t="n"/>
      <c r="L109" s="49" t="n"/>
      <c r="M109" s="49" t="n"/>
      <c r="N109" s="49" t="n"/>
      <c r="O109" s="50" t="n"/>
      <c r="P109" s="50">
        <f>IF($A109="","",IF(H109="N/A","N/A",IFERROR(INDEX(CRIT_MATRIX,MATCH(O109,CRIT_MATRIX_ROWS,0),MATCH(APP_RISK_TIER,CRIT_MATRIX_COLS,0)),"")))</f>
        <v/>
      </c>
      <c r="Q109" s="49" t="n"/>
      <c r="R109" s="49" cm="1">
        <f t="array" ref="R109">IF($A109="","",COUNTIFS(tblThreatControls[Control ID],$A109,tblThreatControls[Threat applies],"Applies"))</f>
        <v/>
      </c>
      <c r="S109" s="49" cm="1">
        <f t="array" ref="S109">IF($A109="","",IF(R109=0,"",INDEX(RISK_SCALE_NAMES,_xlfn.MAXIFS(tblThreatControls[Threat risk score],tblThreatControls[Control ID],$A109))))</f>
        <v/>
      </c>
      <c r="T109" s="49" cm="1">
        <f t="array" ref="T109">IF($A109="","",IF(AND(H109="Applicable",OR(L109="Not assessed",L109=""),R109&gt;0),"Yes","No"))</f>
        <v/>
      </c>
      <c r="U109" s="49" cm="1">
        <f t="array" ref="U109">IF($A109="","",IF(AND(H109="Applicable",OR(L109="Gap",L109="Partial coverage")),INDEX(RISK_SCALE_NAMES,MAX(IFERROR(MATCH(P109,RISK_SCALE_NAMES,0),1),IFERROR(MATCH(S109,RISK_SCALE_NAMES,0),0))),""))</f>
        <v/>
      </c>
      <c r="V109" s="49" cm="1">
        <f t="array" ref="V109">IF($A109="","",_xlfn.TEXTJOIN("; ",TRUE,_xlfn._xlws.FILTER(tblThreatControls[Threat ID],(tblThreatControls[Control ID]=$A109)*(tblThreatControls[Threat applies]="Applies"),"")))</f>
        <v/>
      </c>
    </row>
    <row r="110" ht="45" customHeight="1" s="19">
      <c r="A110" s="49" t="n"/>
      <c r="B110" s="49" t="n"/>
      <c r="C110" s="48" cm="1">
        <f t="array" ref="C110">IF($A110="","",_xlfn.TEXTJOIN("; ",TRUE,_xlfn._xlws.FILTER(MT_IDS,MT_BASELINE=$A110,"")))</f>
        <v/>
      </c>
      <c r="D110" s="48">
        <f>IF($A110="","",_xlfn.MINIFS(MT_LEVEL,MT_BASELINE,$A110))</f>
        <v/>
      </c>
      <c r="E110" s="49" t="n"/>
      <c r="F110" s="48" cm="1">
        <f t="array" ref="F110">IF($A110="","",_xlfn.TEXTJOIN("; ",TRUE,_xlfn._xlws.FILTER(MT_IDS,(MT_BASELINE=$A110)*(MT_APPLICABLE="Applicable"),"")))</f>
        <v/>
      </c>
      <c r="G110" s="48">
        <f>IF($A110="","",COUNTIFS(MT_BASELINE,$A110,MT_APPLICABLE,"Applicable"))</f>
        <v/>
      </c>
      <c r="H110" s="50">
        <f>IF($A110="","",IF(G110&gt;0,"Applicable","N/A"))</f>
        <v/>
      </c>
      <c r="I110" s="49" t="n"/>
      <c r="J110" s="49" t="n"/>
      <c r="K110" s="49" t="n"/>
      <c r="L110" s="49" t="n"/>
      <c r="M110" s="49" t="n"/>
      <c r="N110" s="49" t="n"/>
      <c r="O110" s="50" t="n"/>
      <c r="P110" s="50">
        <f>IF($A110="","",IF(H110="N/A","N/A",IFERROR(INDEX(CRIT_MATRIX,MATCH(O110,CRIT_MATRIX_ROWS,0),MATCH(APP_RISK_TIER,CRIT_MATRIX_COLS,0)),"")))</f>
        <v/>
      </c>
      <c r="Q110" s="49" t="n"/>
      <c r="R110" s="49" cm="1">
        <f t="array" ref="R110">IF($A110="","",COUNTIFS(tblThreatControls[Control ID],$A110,tblThreatControls[Threat applies],"Applies"))</f>
        <v/>
      </c>
      <c r="S110" s="49" cm="1">
        <f t="array" ref="S110">IF($A110="","",IF(R110=0,"",INDEX(RISK_SCALE_NAMES,_xlfn.MAXIFS(tblThreatControls[Threat risk score],tblThreatControls[Control ID],$A110))))</f>
        <v/>
      </c>
      <c r="T110" s="49" cm="1">
        <f t="array" ref="T110">IF($A110="","",IF(AND(H110="Applicable",OR(L110="Not assessed",L110=""),R110&gt;0),"Yes","No"))</f>
        <v/>
      </c>
      <c r="U110" s="49" cm="1">
        <f t="array" ref="U110">IF($A110="","",IF(AND(H110="Applicable",OR(L110="Gap",L110="Partial coverage")),INDEX(RISK_SCALE_NAMES,MAX(IFERROR(MATCH(P110,RISK_SCALE_NAMES,0),1),IFERROR(MATCH(S110,RISK_SCALE_NAMES,0),0))),""))</f>
        <v/>
      </c>
      <c r="V110" s="49" cm="1">
        <f t="array" ref="V110">IF($A110="","",_xlfn.TEXTJOIN("; ",TRUE,_xlfn._xlws.FILTER(tblThreatControls[Threat ID],(tblThreatControls[Control ID]=$A110)*(tblThreatControls[Threat applies]="Applies"),"")))</f>
        <v/>
      </c>
    </row>
    <row r="111" ht="45" customHeight="1" s="19">
      <c r="A111" s="49" t="n"/>
      <c r="B111" s="49" t="n"/>
      <c r="C111" s="48" cm="1">
        <f t="array" ref="C111">IF($A111="","",_xlfn.TEXTJOIN("; ",TRUE,_xlfn._xlws.FILTER(MT_IDS,MT_BASELINE=$A111,"")))</f>
        <v/>
      </c>
      <c r="D111" s="48">
        <f>IF($A111="","",_xlfn.MINIFS(MT_LEVEL,MT_BASELINE,$A111))</f>
        <v/>
      </c>
      <c r="E111" s="49" t="n"/>
      <c r="F111" s="48" cm="1">
        <f t="array" ref="F111">IF($A111="","",_xlfn.TEXTJOIN("; ",TRUE,_xlfn._xlws.FILTER(MT_IDS,(MT_BASELINE=$A111)*(MT_APPLICABLE="Applicable"),"")))</f>
        <v/>
      </c>
      <c r="G111" s="48">
        <f>IF($A111="","",COUNTIFS(MT_BASELINE,$A111,MT_APPLICABLE,"Applicable"))</f>
        <v/>
      </c>
      <c r="H111" s="50">
        <f>IF($A111="","",IF(G111&gt;0,"Applicable","N/A"))</f>
        <v/>
      </c>
      <c r="I111" s="49" t="n"/>
      <c r="J111" s="49" t="n"/>
      <c r="K111" s="49" t="n"/>
      <c r="L111" s="49" t="n"/>
      <c r="M111" s="49" t="n"/>
      <c r="N111" s="49" t="n"/>
      <c r="O111" s="50" t="n"/>
      <c r="P111" s="50">
        <f>IF($A111="","",IF(H111="N/A","N/A",IFERROR(INDEX(CRIT_MATRIX,MATCH(O111,CRIT_MATRIX_ROWS,0),MATCH(APP_RISK_TIER,CRIT_MATRIX_COLS,0)),"")))</f>
        <v/>
      </c>
      <c r="Q111" s="49" t="n"/>
      <c r="R111" s="49" cm="1">
        <f t="array" ref="R111">IF($A111="","",COUNTIFS(tblThreatControls[Control ID],$A111,tblThreatControls[Threat applies],"Applies"))</f>
        <v/>
      </c>
      <c r="S111" s="49" cm="1">
        <f t="array" ref="S111">IF($A111="","",IF(R111=0,"",INDEX(RISK_SCALE_NAMES,_xlfn.MAXIFS(tblThreatControls[Threat risk score],tblThreatControls[Control ID],$A111))))</f>
        <v/>
      </c>
      <c r="T111" s="49" cm="1">
        <f t="array" ref="T111">IF($A111="","",IF(AND(H111="Applicable",OR(L111="Not assessed",L111=""),R111&gt;0),"Yes","No"))</f>
        <v/>
      </c>
      <c r="U111" s="49" cm="1">
        <f t="array" ref="U111">IF($A111="","",IF(AND(H111="Applicable",OR(L111="Gap",L111="Partial coverage")),INDEX(RISK_SCALE_NAMES,MAX(IFERROR(MATCH(P111,RISK_SCALE_NAMES,0),1),IFERROR(MATCH(S111,RISK_SCALE_NAMES,0),0))),""))</f>
        <v/>
      </c>
      <c r="V111" s="49" cm="1">
        <f t="array" ref="V111">IF($A111="","",_xlfn.TEXTJOIN("; ",TRUE,_xlfn._xlws.FILTER(tblThreatControls[Threat ID],(tblThreatControls[Control ID]=$A111)*(tblThreatControls[Threat applies]="Applies"),"")))</f>
        <v/>
      </c>
    </row>
    <row r="112" ht="45" customHeight="1" s="19">
      <c r="A112" s="49" t="n"/>
      <c r="B112" s="49" t="n"/>
      <c r="C112" s="48" cm="1">
        <f t="array" ref="C112">IF($A112="","",_xlfn.TEXTJOIN("; ",TRUE,_xlfn._xlws.FILTER(MT_IDS,MT_BASELINE=$A112,"")))</f>
        <v/>
      </c>
      <c r="D112" s="48">
        <f>IF($A112="","",_xlfn.MINIFS(MT_LEVEL,MT_BASELINE,$A112))</f>
        <v/>
      </c>
      <c r="E112" s="49" t="n"/>
      <c r="F112" s="48" cm="1">
        <f t="array" ref="F112">IF($A112="","",_xlfn.TEXTJOIN("; ",TRUE,_xlfn._xlws.FILTER(MT_IDS,(MT_BASELINE=$A112)*(MT_APPLICABLE="Applicable"),"")))</f>
        <v/>
      </c>
      <c r="G112" s="48">
        <f>IF($A112="","",COUNTIFS(MT_BASELINE,$A112,MT_APPLICABLE,"Applicable"))</f>
        <v/>
      </c>
      <c r="H112" s="50">
        <f>IF($A112="","",IF(G112&gt;0,"Applicable","N/A"))</f>
        <v/>
      </c>
      <c r="I112" s="49" t="n"/>
      <c r="J112" s="49" t="n"/>
      <c r="K112" s="49" t="n"/>
      <c r="L112" s="49" t="n"/>
      <c r="M112" s="49" t="n"/>
      <c r="N112" s="49" t="n"/>
      <c r="O112" s="50" t="n"/>
      <c r="P112" s="50">
        <f>IF($A112="","",IF(H112="N/A","N/A",IFERROR(INDEX(CRIT_MATRIX,MATCH(O112,CRIT_MATRIX_ROWS,0),MATCH(APP_RISK_TIER,CRIT_MATRIX_COLS,0)),"")))</f>
        <v/>
      </c>
      <c r="Q112" s="49" t="n"/>
      <c r="R112" s="49" cm="1">
        <f t="array" ref="R112">IF($A112="","",COUNTIFS(tblThreatControls[Control ID],$A112,tblThreatControls[Threat applies],"Applies"))</f>
        <v/>
      </c>
      <c r="S112" s="49" cm="1">
        <f t="array" ref="S112">IF($A112="","",IF(R112=0,"",INDEX(RISK_SCALE_NAMES,_xlfn.MAXIFS(tblThreatControls[Threat risk score],tblThreatControls[Control ID],$A112))))</f>
        <v/>
      </c>
      <c r="T112" s="49" cm="1">
        <f t="array" ref="T112">IF($A112="","",IF(AND(H112="Applicable",OR(L112="Not assessed",L112=""),R112&gt;0),"Yes","No"))</f>
        <v/>
      </c>
      <c r="U112" s="49" cm="1">
        <f t="array" ref="U112">IF($A112="","",IF(AND(H112="Applicable",OR(L112="Gap",L112="Partial coverage")),INDEX(RISK_SCALE_NAMES,MAX(IFERROR(MATCH(P112,RISK_SCALE_NAMES,0),1),IFERROR(MATCH(S112,RISK_SCALE_NAMES,0),0))),""))</f>
        <v/>
      </c>
      <c r="V112" s="49" cm="1">
        <f t="array" ref="V112">IF($A112="","",_xlfn.TEXTJOIN("; ",TRUE,_xlfn._xlws.FILTER(tblThreatControls[Threat ID],(tblThreatControls[Control ID]=$A112)*(tblThreatControls[Threat applies]="Applies"),"")))</f>
        <v/>
      </c>
    </row>
    <row r="113" ht="45" customHeight="1" s="19">
      <c r="A113" s="49" t="n"/>
      <c r="B113" s="49" t="n"/>
      <c r="C113" s="48" cm="1">
        <f t="array" ref="C113">IF($A113="","",_xlfn.TEXTJOIN("; ",TRUE,_xlfn._xlws.FILTER(MT_IDS,MT_BASELINE=$A113,"")))</f>
        <v/>
      </c>
      <c r="D113" s="48">
        <f>IF($A113="","",_xlfn.MINIFS(MT_LEVEL,MT_BASELINE,$A113))</f>
        <v/>
      </c>
      <c r="E113" s="49" t="n"/>
      <c r="F113" s="48" cm="1">
        <f t="array" ref="F113">IF($A113="","",_xlfn.TEXTJOIN("; ",TRUE,_xlfn._xlws.FILTER(MT_IDS,(MT_BASELINE=$A113)*(MT_APPLICABLE="Applicable"),"")))</f>
        <v/>
      </c>
      <c r="G113" s="48">
        <f>IF($A113="","",COUNTIFS(MT_BASELINE,$A113,MT_APPLICABLE,"Applicable"))</f>
        <v/>
      </c>
      <c r="H113" s="50">
        <f>IF($A113="","",IF(G113&gt;0,"Applicable","N/A"))</f>
        <v/>
      </c>
      <c r="I113" s="49" t="n"/>
      <c r="J113" s="49" t="n"/>
      <c r="K113" s="49" t="n"/>
      <c r="L113" s="49" t="n"/>
      <c r="M113" s="49" t="n"/>
      <c r="N113" s="49" t="n"/>
      <c r="O113" s="50" t="n"/>
      <c r="P113" s="50">
        <f>IF($A113="","",IF(H113="N/A","N/A",IFERROR(INDEX(CRIT_MATRIX,MATCH(O113,CRIT_MATRIX_ROWS,0),MATCH(APP_RISK_TIER,CRIT_MATRIX_COLS,0)),"")))</f>
        <v/>
      </c>
      <c r="Q113" s="49" t="n"/>
      <c r="R113" s="49" cm="1">
        <f t="array" ref="R113">IF($A113="","",COUNTIFS(tblThreatControls[Control ID],$A113,tblThreatControls[Threat applies],"Applies"))</f>
        <v/>
      </c>
      <c r="S113" s="49" cm="1">
        <f t="array" ref="S113">IF($A113="","",IF(R113=0,"",INDEX(RISK_SCALE_NAMES,_xlfn.MAXIFS(tblThreatControls[Threat risk score],tblThreatControls[Control ID],$A113))))</f>
        <v/>
      </c>
      <c r="T113" s="49" cm="1">
        <f t="array" ref="T113">IF($A113="","",IF(AND(H113="Applicable",OR(L113="Not assessed",L113=""),R113&gt;0),"Yes","No"))</f>
        <v/>
      </c>
      <c r="U113" s="49" cm="1">
        <f t="array" ref="U113">IF($A113="","",IF(AND(H113="Applicable",OR(L113="Gap",L113="Partial coverage")),INDEX(RISK_SCALE_NAMES,MAX(IFERROR(MATCH(P113,RISK_SCALE_NAMES,0),1),IFERROR(MATCH(S113,RISK_SCALE_NAMES,0),0))),""))</f>
        <v/>
      </c>
      <c r="V113" s="49" cm="1">
        <f t="array" ref="V113">IF($A113="","",_xlfn.TEXTJOIN("; ",TRUE,_xlfn._xlws.FILTER(tblThreatControls[Threat ID],(tblThreatControls[Control ID]=$A113)*(tblThreatControls[Threat applies]="Applies"),"")))</f>
        <v/>
      </c>
    </row>
    <row r="114" ht="45" customHeight="1" s="19">
      <c r="A114" s="49" t="n"/>
      <c r="B114" s="49" t="n"/>
      <c r="C114" s="48" cm="1">
        <f t="array" ref="C114">IF($A114="","",_xlfn.TEXTJOIN("; ",TRUE,_xlfn._xlws.FILTER(MT_IDS,MT_BASELINE=$A114,"")))</f>
        <v/>
      </c>
      <c r="D114" s="48">
        <f>IF($A114="","",_xlfn.MINIFS(MT_LEVEL,MT_BASELINE,$A114))</f>
        <v/>
      </c>
      <c r="E114" s="49" t="n"/>
      <c r="F114" s="48" cm="1">
        <f t="array" ref="F114">IF($A114="","",_xlfn.TEXTJOIN("; ",TRUE,_xlfn._xlws.FILTER(MT_IDS,(MT_BASELINE=$A114)*(MT_APPLICABLE="Applicable"),"")))</f>
        <v/>
      </c>
      <c r="G114" s="48">
        <f>IF($A114="","",COUNTIFS(MT_BASELINE,$A114,MT_APPLICABLE,"Applicable"))</f>
        <v/>
      </c>
      <c r="H114" s="50">
        <f>IF($A114="","",IF(G114&gt;0,"Applicable","N/A"))</f>
        <v/>
      </c>
      <c r="I114" s="49" t="n"/>
      <c r="J114" s="49" t="n"/>
      <c r="K114" s="49" t="n"/>
      <c r="L114" s="49" t="n"/>
      <c r="M114" s="49" t="n"/>
      <c r="N114" s="49" t="n"/>
      <c r="O114" s="50" t="n"/>
      <c r="P114" s="50">
        <f>IF($A114="","",IF(H114="N/A","N/A",IFERROR(INDEX(CRIT_MATRIX,MATCH(O114,CRIT_MATRIX_ROWS,0),MATCH(APP_RISK_TIER,CRIT_MATRIX_COLS,0)),"")))</f>
        <v/>
      </c>
      <c r="Q114" s="49" t="n"/>
      <c r="R114" s="49" cm="1">
        <f t="array" ref="R114">IF($A114="","",COUNTIFS(tblThreatControls[Control ID],$A114,tblThreatControls[Threat applies],"Applies"))</f>
        <v/>
      </c>
      <c r="S114" s="49" cm="1">
        <f t="array" ref="S114">IF($A114="","",IF(R114=0,"",INDEX(RISK_SCALE_NAMES,_xlfn.MAXIFS(tblThreatControls[Threat risk score],tblThreatControls[Control ID],$A114))))</f>
        <v/>
      </c>
      <c r="T114" s="49" cm="1">
        <f t="array" ref="T114">IF($A114="","",IF(AND(H114="Applicable",OR(L114="Not assessed",L114=""),R114&gt;0),"Yes","No"))</f>
        <v/>
      </c>
      <c r="U114" s="49" cm="1">
        <f t="array" ref="U114">IF($A114="","",IF(AND(H114="Applicable",OR(L114="Gap",L114="Partial coverage")),INDEX(RISK_SCALE_NAMES,MAX(IFERROR(MATCH(P114,RISK_SCALE_NAMES,0),1),IFERROR(MATCH(S114,RISK_SCALE_NAMES,0),0))),""))</f>
        <v/>
      </c>
      <c r="V114" s="49" cm="1">
        <f t="array" ref="V114">IF($A114="","",_xlfn.TEXTJOIN("; ",TRUE,_xlfn._xlws.FILTER(tblThreatControls[Threat ID],(tblThreatControls[Control ID]=$A114)*(tblThreatControls[Threat applies]="Applies"),"")))</f>
        <v/>
      </c>
    </row>
    <row r="115" ht="45" customHeight="1" s="19">
      <c r="A115" s="49" t="n"/>
      <c r="B115" s="49" t="n"/>
      <c r="C115" s="48" cm="1">
        <f t="array" ref="C115">IF($A115="","",_xlfn.TEXTJOIN("; ",TRUE,_xlfn._xlws.FILTER(MT_IDS,MT_BASELINE=$A115,"")))</f>
        <v/>
      </c>
      <c r="D115" s="48">
        <f>IF($A115="","",_xlfn.MINIFS(MT_LEVEL,MT_BASELINE,$A115))</f>
        <v/>
      </c>
      <c r="E115" s="49" t="n"/>
      <c r="F115" s="48" cm="1">
        <f t="array" ref="F115">IF($A115="","",_xlfn.TEXTJOIN("; ",TRUE,_xlfn._xlws.FILTER(MT_IDS,(MT_BASELINE=$A115)*(MT_APPLICABLE="Applicable"),"")))</f>
        <v/>
      </c>
      <c r="G115" s="48">
        <f>IF($A115="","",COUNTIFS(MT_BASELINE,$A115,MT_APPLICABLE,"Applicable"))</f>
        <v/>
      </c>
      <c r="H115" s="50">
        <f>IF($A115="","",IF(G115&gt;0,"Applicable","N/A"))</f>
        <v/>
      </c>
      <c r="I115" s="49" t="n"/>
      <c r="J115" s="49" t="n"/>
      <c r="K115" s="49" t="n"/>
      <c r="L115" s="49" t="n"/>
      <c r="M115" s="49" t="n"/>
      <c r="N115" s="49" t="n"/>
      <c r="O115" s="50" t="n"/>
      <c r="P115" s="50">
        <f>IF($A115="","",IF(H115="N/A","N/A",IFERROR(INDEX(CRIT_MATRIX,MATCH(O115,CRIT_MATRIX_ROWS,0),MATCH(APP_RISK_TIER,CRIT_MATRIX_COLS,0)),"")))</f>
        <v/>
      </c>
      <c r="Q115" s="49" t="n"/>
      <c r="R115" s="49" cm="1">
        <f t="array" ref="R115">IF($A115="","",COUNTIFS(tblThreatControls[Control ID],$A115,tblThreatControls[Threat applies],"Applies"))</f>
        <v/>
      </c>
      <c r="S115" s="49" cm="1">
        <f t="array" ref="S115">IF($A115="","",IF(R115=0,"",INDEX(RISK_SCALE_NAMES,_xlfn.MAXIFS(tblThreatControls[Threat risk score],tblThreatControls[Control ID],$A115))))</f>
        <v/>
      </c>
      <c r="T115" s="49" cm="1">
        <f t="array" ref="T115">IF($A115="","",IF(AND(H115="Applicable",OR(L115="Not assessed",L115=""),R115&gt;0),"Yes","No"))</f>
        <v/>
      </c>
      <c r="U115" s="49" cm="1">
        <f t="array" ref="U115">IF($A115="","",IF(AND(H115="Applicable",OR(L115="Gap",L115="Partial coverage")),INDEX(RISK_SCALE_NAMES,MAX(IFERROR(MATCH(P115,RISK_SCALE_NAMES,0),1),IFERROR(MATCH(S115,RISK_SCALE_NAMES,0),0))),""))</f>
        <v/>
      </c>
      <c r="V115" s="49" cm="1">
        <f t="array" ref="V115">IF($A115="","",_xlfn.TEXTJOIN("; ",TRUE,_xlfn._xlws.FILTER(tblThreatControls[Threat ID],(tblThreatControls[Control ID]=$A115)*(tblThreatControls[Threat applies]="Applies"),"")))</f>
        <v/>
      </c>
    </row>
    <row r="116" ht="45" customHeight="1" s="19">
      <c r="A116" s="49" t="n"/>
      <c r="B116" s="49" t="n"/>
      <c r="C116" s="48" cm="1">
        <f t="array" ref="C116">IF($A116="","",_xlfn.TEXTJOIN("; ",TRUE,_xlfn._xlws.FILTER(MT_IDS,MT_BASELINE=$A116,"")))</f>
        <v/>
      </c>
      <c r="D116" s="48">
        <f>IF($A116="","",_xlfn.MINIFS(MT_LEVEL,MT_BASELINE,$A116))</f>
        <v/>
      </c>
      <c r="E116" s="49" t="n"/>
      <c r="F116" s="48" cm="1">
        <f t="array" ref="F116">IF($A116="","",_xlfn.TEXTJOIN("; ",TRUE,_xlfn._xlws.FILTER(MT_IDS,(MT_BASELINE=$A116)*(MT_APPLICABLE="Applicable"),"")))</f>
        <v/>
      </c>
      <c r="G116" s="48">
        <f>IF($A116="","",COUNTIFS(MT_BASELINE,$A116,MT_APPLICABLE,"Applicable"))</f>
        <v/>
      </c>
      <c r="H116" s="50">
        <f>IF($A116="","",IF(G116&gt;0,"Applicable","N/A"))</f>
        <v/>
      </c>
      <c r="I116" s="49" t="n"/>
      <c r="J116" s="49" t="n"/>
      <c r="K116" s="49" t="n"/>
      <c r="L116" s="49" t="n"/>
      <c r="M116" s="49" t="n"/>
      <c r="N116" s="49" t="n"/>
      <c r="O116" s="50" t="n"/>
      <c r="P116" s="50">
        <f>IF($A116="","",IF(H116="N/A","N/A",IFERROR(INDEX(CRIT_MATRIX,MATCH(O116,CRIT_MATRIX_ROWS,0),MATCH(APP_RISK_TIER,CRIT_MATRIX_COLS,0)),"")))</f>
        <v/>
      </c>
      <c r="Q116" s="49" t="n"/>
      <c r="R116" s="49" cm="1">
        <f t="array" ref="R116">IF($A116="","",COUNTIFS(tblThreatControls[Control ID],$A116,tblThreatControls[Threat applies],"Applies"))</f>
        <v/>
      </c>
      <c r="S116" s="49" cm="1">
        <f t="array" ref="S116">IF($A116="","",IF(R116=0,"",INDEX(RISK_SCALE_NAMES,_xlfn.MAXIFS(tblThreatControls[Threat risk score],tblThreatControls[Control ID],$A116))))</f>
        <v/>
      </c>
      <c r="T116" s="49" cm="1">
        <f t="array" ref="T116">IF($A116="","",IF(AND(H116="Applicable",OR(L116="Not assessed",L116=""),R116&gt;0),"Yes","No"))</f>
        <v/>
      </c>
      <c r="U116" s="49" cm="1">
        <f t="array" ref="U116">IF($A116="","",IF(AND(H116="Applicable",OR(L116="Gap",L116="Partial coverage")),INDEX(RISK_SCALE_NAMES,MAX(IFERROR(MATCH(P116,RISK_SCALE_NAMES,0),1),IFERROR(MATCH(S116,RISK_SCALE_NAMES,0),0))),""))</f>
        <v/>
      </c>
      <c r="V116" s="49" cm="1">
        <f t="array" ref="V116">IF($A116="","",_xlfn.TEXTJOIN("; ",TRUE,_xlfn._xlws.FILTER(tblThreatControls[Threat ID],(tblThreatControls[Control ID]=$A116)*(tblThreatControls[Threat applies]="Applies"),"")))</f>
        <v/>
      </c>
    </row>
    <row r="117" ht="45" customHeight="1" s="19">
      <c r="A117" s="49" t="n"/>
      <c r="B117" s="49" t="n"/>
      <c r="C117" s="48" cm="1">
        <f t="array" ref="C117">IF($A117="","",_xlfn.TEXTJOIN("; ",TRUE,_xlfn._xlws.FILTER(MT_IDS,MT_BASELINE=$A117,"")))</f>
        <v/>
      </c>
      <c r="D117" s="48">
        <f>IF($A117="","",_xlfn.MINIFS(MT_LEVEL,MT_BASELINE,$A117))</f>
        <v/>
      </c>
      <c r="E117" s="49" t="n"/>
      <c r="F117" s="48" cm="1">
        <f t="array" ref="F117">IF($A117="","",_xlfn.TEXTJOIN("; ",TRUE,_xlfn._xlws.FILTER(MT_IDS,(MT_BASELINE=$A117)*(MT_APPLICABLE="Applicable"),"")))</f>
        <v/>
      </c>
      <c r="G117" s="48">
        <f>IF($A117="","",COUNTIFS(MT_BASELINE,$A117,MT_APPLICABLE,"Applicable"))</f>
        <v/>
      </c>
      <c r="H117" s="50">
        <f>IF($A117="","",IF(G117&gt;0,"Applicable","N/A"))</f>
        <v/>
      </c>
      <c r="I117" s="49" t="n"/>
      <c r="J117" s="49" t="n"/>
      <c r="K117" s="49" t="n"/>
      <c r="L117" s="49" t="n"/>
      <c r="M117" s="49" t="n"/>
      <c r="N117" s="49" t="n"/>
      <c r="O117" s="50" t="n"/>
      <c r="P117" s="50">
        <f>IF($A117="","",IF(H117="N/A","N/A",IFERROR(INDEX(CRIT_MATRIX,MATCH(O117,CRIT_MATRIX_ROWS,0),MATCH(APP_RISK_TIER,CRIT_MATRIX_COLS,0)),"")))</f>
        <v/>
      </c>
      <c r="Q117" s="49" t="n"/>
      <c r="R117" s="49" cm="1">
        <f t="array" ref="R117">IF($A117="","",COUNTIFS(tblThreatControls[Control ID],$A117,tblThreatControls[Threat applies],"Applies"))</f>
        <v/>
      </c>
      <c r="S117" s="49" cm="1">
        <f t="array" ref="S117">IF($A117="","",IF(R117=0,"",INDEX(RISK_SCALE_NAMES,_xlfn.MAXIFS(tblThreatControls[Threat risk score],tblThreatControls[Control ID],$A117))))</f>
        <v/>
      </c>
      <c r="T117" s="49" cm="1">
        <f t="array" ref="T117">IF($A117="","",IF(AND(H117="Applicable",OR(L117="Not assessed",L117=""),R117&gt;0),"Yes","No"))</f>
        <v/>
      </c>
      <c r="U117" s="49" cm="1">
        <f t="array" ref="U117">IF($A117="","",IF(AND(H117="Applicable",OR(L117="Gap",L117="Partial coverage")),INDEX(RISK_SCALE_NAMES,MAX(IFERROR(MATCH(P117,RISK_SCALE_NAMES,0),1),IFERROR(MATCH(S117,RISK_SCALE_NAMES,0),0))),""))</f>
        <v/>
      </c>
      <c r="V117" s="49" cm="1">
        <f t="array" ref="V117">IF($A117="","",_xlfn.TEXTJOIN("; ",TRUE,_xlfn._xlws.FILTER(tblThreatControls[Threat ID],(tblThreatControls[Control ID]=$A117)*(tblThreatControls[Threat applies]="Applies"),"")))</f>
        <v/>
      </c>
    </row>
    <row r="118" ht="45" customHeight="1" s="19">
      <c r="A118" s="49" t="n"/>
      <c r="B118" s="49" t="n"/>
      <c r="C118" s="48" cm="1">
        <f t="array" ref="C118">IF($A118="","",_xlfn.TEXTJOIN("; ",TRUE,_xlfn._xlws.FILTER(MT_IDS,MT_BASELINE=$A118,"")))</f>
        <v/>
      </c>
      <c r="D118" s="48">
        <f>IF($A118="","",_xlfn.MINIFS(MT_LEVEL,MT_BASELINE,$A118))</f>
        <v/>
      </c>
      <c r="E118" s="49" t="n"/>
      <c r="F118" s="48" cm="1">
        <f t="array" ref="F118">IF($A118="","",_xlfn.TEXTJOIN("; ",TRUE,_xlfn._xlws.FILTER(MT_IDS,(MT_BASELINE=$A118)*(MT_APPLICABLE="Applicable"),"")))</f>
        <v/>
      </c>
      <c r="G118" s="48">
        <f>IF($A118="","",COUNTIFS(MT_BASELINE,$A118,MT_APPLICABLE,"Applicable"))</f>
        <v/>
      </c>
      <c r="H118" s="50">
        <f>IF($A118="","",IF(G118&gt;0,"Applicable","N/A"))</f>
        <v/>
      </c>
      <c r="I118" s="49" t="n"/>
      <c r="J118" s="49" t="n"/>
      <c r="K118" s="49" t="n"/>
      <c r="L118" s="49" t="n"/>
      <c r="M118" s="49" t="n"/>
      <c r="N118" s="49" t="n"/>
      <c r="O118" s="50" t="n"/>
      <c r="P118" s="50">
        <f>IF($A118="","",IF(H118="N/A","N/A",IFERROR(INDEX(CRIT_MATRIX,MATCH(O118,CRIT_MATRIX_ROWS,0),MATCH(APP_RISK_TIER,CRIT_MATRIX_COLS,0)),"")))</f>
        <v/>
      </c>
      <c r="Q118" s="49" t="n"/>
      <c r="R118" s="49" cm="1">
        <f t="array" ref="R118">IF($A118="","",COUNTIFS(tblThreatControls[Control ID],$A118,tblThreatControls[Threat applies],"Applies"))</f>
        <v/>
      </c>
      <c r="S118" s="49" cm="1">
        <f t="array" ref="S118">IF($A118="","",IF(R118=0,"",INDEX(RISK_SCALE_NAMES,_xlfn.MAXIFS(tblThreatControls[Threat risk score],tblThreatControls[Control ID],$A118))))</f>
        <v/>
      </c>
      <c r="T118" s="49" cm="1">
        <f t="array" ref="T118">IF($A118="","",IF(AND(H118="Applicable",OR(L118="Not assessed",L118=""),R118&gt;0),"Yes","No"))</f>
        <v/>
      </c>
      <c r="U118" s="49" cm="1">
        <f t="array" ref="U118">IF($A118="","",IF(AND(H118="Applicable",OR(L118="Gap",L118="Partial coverage")),INDEX(RISK_SCALE_NAMES,MAX(IFERROR(MATCH(P118,RISK_SCALE_NAMES,0),1),IFERROR(MATCH(S118,RISK_SCALE_NAMES,0),0))),""))</f>
        <v/>
      </c>
      <c r="V118" s="49" cm="1">
        <f t="array" ref="V118">IF($A118="","",_xlfn.TEXTJOIN("; ",TRUE,_xlfn._xlws.FILTER(tblThreatControls[Threat ID],(tblThreatControls[Control ID]=$A118)*(tblThreatControls[Threat applies]="Applies"),"")))</f>
        <v/>
      </c>
    </row>
    <row r="119" ht="45" customHeight="1" s="19">
      <c r="A119" s="49" t="n"/>
      <c r="B119" s="49" t="n"/>
      <c r="C119" s="48" cm="1">
        <f t="array" ref="C119">IF($A119="","",_xlfn.TEXTJOIN("; ",TRUE,_xlfn._xlws.FILTER(MT_IDS,MT_BASELINE=$A119,"")))</f>
        <v/>
      </c>
      <c r="D119" s="48">
        <f>IF($A119="","",_xlfn.MINIFS(MT_LEVEL,MT_BASELINE,$A119))</f>
        <v/>
      </c>
      <c r="E119" s="49" t="n"/>
      <c r="F119" s="48" cm="1">
        <f t="array" ref="F119">IF($A119="","",_xlfn.TEXTJOIN("; ",TRUE,_xlfn._xlws.FILTER(MT_IDS,(MT_BASELINE=$A119)*(MT_APPLICABLE="Applicable"),"")))</f>
        <v/>
      </c>
      <c r="G119" s="48">
        <f>IF($A119="","",COUNTIFS(MT_BASELINE,$A119,MT_APPLICABLE,"Applicable"))</f>
        <v/>
      </c>
      <c r="H119" s="50">
        <f>IF($A119="","",IF(G119&gt;0,"Applicable","N/A"))</f>
        <v/>
      </c>
      <c r="I119" s="49" t="n"/>
      <c r="J119" s="49" t="n"/>
      <c r="K119" s="49" t="n"/>
      <c r="L119" s="49" t="n"/>
      <c r="M119" s="49" t="n"/>
      <c r="N119" s="49" t="n"/>
      <c r="O119" s="50" t="n"/>
      <c r="P119" s="50">
        <f>IF($A119="","",IF(H119="N/A","N/A",IFERROR(INDEX(CRIT_MATRIX,MATCH(O119,CRIT_MATRIX_ROWS,0),MATCH(APP_RISK_TIER,CRIT_MATRIX_COLS,0)),"")))</f>
        <v/>
      </c>
      <c r="Q119" s="49" t="n"/>
      <c r="R119" s="49" cm="1">
        <f t="array" ref="R119">IF($A119="","",COUNTIFS(tblThreatControls[Control ID],$A119,tblThreatControls[Threat applies],"Applies"))</f>
        <v/>
      </c>
      <c r="S119" s="49" cm="1">
        <f t="array" ref="S119">IF($A119="","",IF(R119=0,"",INDEX(RISK_SCALE_NAMES,_xlfn.MAXIFS(tblThreatControls[Threat risk score],tblThreatControls[Control ID],$A119))))</f>
        <v/>
      </c>
      <c r="T119" s="49" cm="1">
        <f t="array" ref="T119">IF($A119="","",IF(AND(H119="Applicable",OR(L119="Not assessed",L119=""),R119&gt;0),"Yes","No"))</f>
        <v/>
      </c>
      <c r="U119" s="49" cm="1">
        <f t="array" ref="U119">IF($A119="","",IF(AND(H119="Applicable",OR(L119="Gap",L119="Partial coverage")),INDEX(RISK_SCALE_NAMES,MAX(IFERROR(MATCH(P119,RISK_SCALE_NAMES,0),1),IFERROR(MATCH(S119,RISK_SCALE_NAMES,0),0))),""))</f>
        <v/>
      </c>
      <c r="V119" s="49" cm="1">
        <f t="array" ref="V119">IF($A119="","",_xlfn.TEXTJOIN("; ",TRUE,_xlfn._xlws.FILTER(tblThreatControls[Threat ID],(tblThreatControls[Control ID]=$A119)*(tblThreatControls[Threat applies]="Applies"),"")))</f>
        <v/>
      </c>
    </row>
    <row r="120" ht="45" customHeight="1" s="19">
      <c r="A120" s="49" t="n"/>
      <c r="B120" s="49" t="n"/>
      <c r="C120" s="48" cm="1">
        <f t="array" ref="C120">IF($A120="","",_xlfn.TEXTJOIN("; ",TRUE,_xlfn._xlws.FILTER(MT_IDS,MT_BASELINE=$A120,"")))</f>
        <v/>
      </c>
      <c r="D120" s="48">
        <f>IF($A120="","",_xlfn.MINIFS(MT_LEVEL,MT_BASELINE,$A120))</f>
        <v/>
      </c>
      <c r="E120" s="49" t="n"/>
      <c r="F120" s="48" cm="1">
        <f t="array" ref="F120">IF($A120="","",_xlfn.TEXTJOIN("; ",TRUE,_xlfn._xlws.FILTER(MT_IDS,(MT_BASELINE=$A120)*(MT_APPLICABLE="Applicable"),"")))</f>
        <v/>
      </c>
      <c r="G120" s="48">
        <f>IF($A120="","",COUNTIFS(MT_BASELINE,$A120,MT_APPLICABLE,"Applicable"))</f>
        <v/>
      </c>
      <c r="H120" s="50">
        <f>IF($A120="","",IF(G120&gt;0,"Applicable","N/A"))</f>
        <v/>
      </c>
      <c r="I120" s="49" t="n"/>
      <c r="J120" s="49" t="n"/>
      <c r="K120" s="49" t="n"/>
      <c r="L120" s="49" t="n"/>
      <c r="M120" s="49" t="n"/>
      <c r="N120" s="49" t="n"/>
      <c r="O120" s="50" t="n"/>
      <c r="P120" s="50">
        <f>IF($A120="","",IF(H120="N/A","N/A",IFERROR(INDEX(CRIT_MATRIX,MATCH(O120,CRIT_MATRIX_ROWS,0),MATCH(APP_RISK_TIER,CRIT_MATRIX_COLS,0)),"")))</f>
        <v/>
      </c>
      <c r="Q120" s="49" t="n"/>
      <c r="R120" s="49" cm="1">
        <f t="array" ref="R120">IF($A120="","",COUNTIFS(tblThreatControls[Control ID],$A120,tblThreatControls[Threat applies],"Applies"))</f>
        <v/>
      </c>
      <c r="S120" s="49" cm="1">
        <f t="array" ref="S120">IF($A120="","",IF(R120=0,"",INDEX(RISK_SCALE_NAMES,_xlfn.MAXIFS(tblThreatControls[Threat risk score],tblThreatControls[Control ID],$A120))))</f>
        <v/>
      </c>
      <c r="T120" s="49" cm="1">
        <f t="array" ref="T120">IF($A120="","",IF(AND(H120="Applicable",OR(L120="Not assessed",L120=""),R120&gt;0),"Yes","No"))</f>
        <v/>
      </c>
      <c r="U120" s="49" cm="1">
        <f t="array" ref="U120">IF($A120="","",IF(AND(H120="Applicable",OR(L120="Gap",L120="Partial coverage")),INDEX(RISK_SCALE_NAMES,MAX(IFERROR(MATCH(P120,RISK_SCALE_NAMES,0),1),IFERROR(MATCH(S120,RISK_SCALE_NAMES,0),0))),""))</f>
        <v/>
      </c>
      <c r="V120" s="49" cm="1">
        <f t="array" ref="V120">IF($A120="","",_xlfn.TEXTJOIN("; ",TRUE,_xlfn._xlws.FILTER(tblThreatControls[Threat ID],(tblThreatControls[Control ID]=$A120)*(tblThreatControls[Threat applies]="Applies"),"")))</f>
        <v/>
      </c>
    </row>
    <row r="121" ht="45" customHeight="1" s="19">
      <c r="A121" s="49" t="n"/>
      <c r="B121" s="49" t="n"/>
      <c r="C121" s="48" cm="1">
        <f t="array" ref="C121">IF($A121="","",_xlfn.TEXTJOIN("; ",TRUE,_xlfn._xlws.FILTER(MT_IDS,MT_BASELINE=$A121,"")))</f>
        <v/>
      </c>
      <c r="D121" s="48">
        <f>IF($A121="","",_xlfn.MINIFS(MT_LEVEL,MT_BASELINE,$A121))</f>
        <v/>
      </c>
      <c r="E121" s="49" t="n"/>
      <c r="F121" s="48" cm="1">
        <f t="array" ref="F121">IF($A121="","",_xlfn.TEXTJOIN("; ",TRUE,_xlfn._xlws.FILTER(MT_IDS,(MT_BASELINE=$A121)*(MT_APPLICABLE="Applicable"),"")))</f>
        <v/>
      </c>
      <c r="G121" s="48">
        <f>IF($A121="","",COUNTIFS(MT_BASELINE,$A121,MT_APPLICABLE,"Applicable"))</f>
        <v/>
      </c>
      <c r="H121" s="50">
        <f>IF($A121="","",IF(G121&gt;0,"Applicable","N/A"))</f>
        <v/>
      </c>
      <c r="I121" s="49" t="n"/>
      <c r="J121" s="49" t="n"/>
      <c r="K121" s="49" t="n"/>
      <c r="L121" s="49" t="n"/>
      <c r="M121" s="49" t="n"/>
      <c r="N121" s="49" t="n"/>
      <c r="O121" s="50" t="n"/>
      <c r="P121" s="50">
        <f>IF($A121="","",IF(H121="N/A","N/A",IFERROR(INDEX(CRIT_MATRIX,MATCH(O121,CRIT_MATRIX_ROWS,0),MATCH(APP_RISK_TIER,CRIT_MATRIX_COLS,0)),"")))</f>
        <v/>
      </c>
      <c r="Q121" s="49" t="n"/>
      <c r="R121" s="49" cm="1">
        <f t="array" ref="R121">IF($A121="","",COUNTIFS(tblThreatControls[Control ID],$A121,tblThreatControls[Threat applies],"Applies"))</f>
        <v/>
      </c>
      <c r="S121" s="49" cm="1">
        <f t="array" ref="S121">IF($A121="","",IF(R121=0,"",INDEX(RISK_SCALE_NAMES,_xlfn.MAXIFS(tblThreatControls[Threat risk score],tblThreatControls[Control ID],$A121))))</f>
        <v/>
      </c>
      <c r="T121" s="49" cm="1">
        <f t="array" ref="T121">IF($A121="","",IF(AND(H121="Applicable",OR(L121="Not assessed",L121=""),R121&gt;0),"Yes","No"))</f>
        <v/>
      </c>
      <c r="U121" s="49" cm="1">
        <f t="array" ref="U121">IF($A121="","",IF(AND(H121="Applicable",OR(L121="Gap",L121="Partial coverage")),INDEX(RISK_SCALE_NAMES,MAX(IFERROR(MATCH(P121,RISK_SCALE_NAMES,0),1),IFERROR(MATCH(S121,RISK_SCALE_NAMES,0),0))),""))</f>
        <v/>
      </c>
      <c r="V121" s="49" cm="1">
        <f t="array" ref="V121">IF($A121="","",_xlfn.TEXTJOIN("; ",TRUE,_xlfn._xlws.FILTER(tblThreatControls[Threat ID],(tblThreatControls[Control ID]=$A121)*(tblThreatControls[Threat applies]="Applies"),"")))</f>
        <v/>
      </c>
    </row>
    <row r="122" ht="45" customHeight="1" s="19">
      <c r="A122" s="49" t="n"/>
      <c r="B122" s="49" t="n"/>
      <c r="C122" s="48" cm="1">
        <f t="array" ref="C122">IF($A122="","",_xlfn.TEXTJOIN("; ",TRUE,_xlfn._xlws.FILTER(MT_IDS,MT_BASELINE=$A122,"")))</f>
        <v/>
      </c>
      <c r="D122" s="48">
        <f>IF($A122="","",_xlfn.MINIFS(MT_LEVEL,MT_BASELINE,$A122))</f>
        <v/>
      </c>
      <c r="E122" s="49" t="n"/>
      <c r="F122" s="48" cm="1">
        <f t="array" ref="F122">IF($A122="","",_xlfn.TEXTJOIN("; ",TRUE,_xlfn._xlws.FILTER(MT_IDS,(MT_BASELINE=$A122)*(MT_APPLICABLE="Applicable"),"")))</f>
        <v/>
      </c>
      <c r="G122" s="48">
        <f>IF($A122="","",COUNTIFS(MT_BASELINE,$A122,MT_APPLICABLE,"Applicable"))</f>
        <v/>
      </c>
      <c r="H122" s="50">
        <f>IF($A122="","",IF(G122&gt;0,"Applicable","N/A"))</f>
        <v/>
      </c>
      <c r="I122" s="49" t="n"/>
      <c r="J122" s="49" t="n"/>
      <c r="K122" s="49" t="n"/>
      <c r="L122" s="49" t="n"/>
      <c r="M122" s="49" t="n"/>
      <c r="N122" s="49" t="n"/>
      <c r="O122" s="50" t="n"/>
      <c r="P122" s="50">
        <f>IF($A122="","",IF(H122="N/A","N/A",IFERROR(INDEX(CRIT_MATRIX,MATCH(O122,CRIT_MATRIX_ROWS,0),MATCH(APP_RISK_TIER,CRIT_MATRIX_COLS,0)),"")))</f>
        <v/>
      </c>
      <c r="Q122" s="49" t="n"/>
      <c r="R122" s="49" cm="1">
        <f t="array" ref="R122">IF($A122="","",COUNTIFS(tblThreatControls[Control ID],$A122,tblThreatControls[Threat applies],"Applies"))</f>
        <v/>
      </c>
      <c r="S122" s="49" cm="1">
        <f t="array" ref="S122">IF($A122="","",IF(R122=0,"",INDEX(RISK_SCALE_NAMES,_xlfn.MAXIFS(tblThreatControls[Threat risk score],tblThreatControls[Control ID],$A122))))</f>
        <v/>
      </c>
      <c r="T122" s="49" cm="1">
        <f t="array" ref="T122">IF($A122="","",IF(AND(H122="Applicable",OR(L122="Not assessed",L122=""),R122&gt;0),"Yes","No"))</f>
        <v/>
      </c>
      <c r="U122" s="49" cm="1">
        <f t="array" ref="U122">IF($A122="","",IF(AND(H122="Applicable",OR(L122="Gap",L122="Partial coverage")),INDEX(RISK_SCALE_NAMES,MAX(IFERROR(MATCH(P122,RISK_SCALE_NAMES,0),1),IFERROR(MATCH(S122,RISK_SCALE_NAMES,0),0))),""))</f>
        <v/>
      </c>
      <c r="V122" s="49" cm="1">
        <f t="array" ref="V122">IF($A122="","",_xlfn.TEXTJOIN("; ",TRUE,_xlfn._xlws.FILTER(tblThreatControls[Threat ID],(tblThreatControls[Control ID]=$A122)*(tblThreatControls[Threat applies]="Applies"),"")))</f>
        <v/>
      </c>
    </row>
    <row r="123" ht="45" customHeight="1" s="19">
      <c r="A123" s="49" t="n"/>
      <c r="B123" s="49" t="n"/>
      <c r="C123" s="48" cm="1">
        <f t="array" ref="C123">IF($A123="","",_xlfn.TEXTJOIN("; ",TRUE,_xlfn._xlws.FILTER(MT_IDS,MT_BASELINE=$A123,"")))</f>
        <v/>
      </c>
      <c r="D123" s="48">
        <f>IF($A123="","",_xlfn.MINIFS(MT_LEVEL,MT_BASELINE,$A123))</f>
        <v/>
      </c>
      <c r="E123" s="49" t="n"/>
      <c r="F123" s="48" cm="1">
        <f t="array" ref="F123">IF($A123="","",_xlfn.TEXTJOIN("; ",TRUE,_xlfn._xlws.FILTER(MT_IDS,(MT_BASELINE=$A123)*(MT_APPLICABLE="Applicable"),"")))</f>
        <v/>
      </c>
      <c r="G123" s="48">
        <f>IF($A123="","",COUNTIFS(MT_BASELINE,$A123,MT_APPLICABLE,"Applicable"))</f>
        <v/>
      </c>
      <c r="H123" s="50">
        <f>IF($A123="","",IF(G123&gt;0,"Applicable","N/A"))</f>
        <v/>
      </c>
      <c r="I123" s="49" t="n"/>
      <c r="J123" s="49" t="n"/>
      <c r="K123" s="49" t="n"/>
      <c r="L123" s="49" t="n"/>
      <c r="M123" s="49" t="n"/>
      <c r="N123" s="49" t="n"/>
      <c r="O123" s="50" t="n"/>
      <c r="P123" s="50">
        <f>IF($A123="","",IF(H123="N/A","N/A",IFERROR(INDEX(CRIT_MATRIX,MATCH(O123,CRIT_MATRIX_ROWS,0),MATCH(APP_RISK_TIER,CRIT_MATRIX_COLS,0)),"")))</f>
        <v/>
      </c>
      <c r="Q123" s="49" t="n"/>
      <c r="R123" s="49" cm="1">
        <f t="array" ref="R123">IF($A123="","",COUNTIFS(tblThreatControls[Control ID],$A123,tblThreatControls[Threat applies],"Applies"))</f>
        <v/>
      </c>
      <c r="S123" s="49" cm="1">
        <f t="array" ref="S123">IF($A123="","",IF(R123=0,"",INDEX(RISK_SCALE_NAMES,_xlfn.MAXIFS(tblThreatControls[Threat risk score],tblThreatControls[Control ID],$A123))))</f>
        <v/>
      </c>
      <c r="T123" s="49" cm="1">
        <f t="array" ref="T123">IF($A123="","",IF(AND(H123="Applicable",OR(L123="Not assessed",L123=""),R123&gt;0),"Yes","No"))</f>
        <v/>
      </c>
      <c r="U123" s="49" cm="1">
        <f t="array" ref="U123">IF($A123="","",IF(AND(H123="Applicable",OR(L123="Gap",L123="Partial coverage")),INDEX(RISK_SCALE_NAMES,MAX(IFERROR(MATCH(P123,RISK_SCALE_NAMES,0),1),IFERROR(MATCH(S123,RISK_SCALE_NAMES,0),0))),""))</f>
        <v/>
      </c>
      <c r="V123" s="49" cm="1">
        <f t="array" ref="V123">IF($A123="","",_xlfn.TEXTJOIN("; ",TRUE,_xlfn._xlws.FILTER(tblThreatControls[Threat ID],(tblThreatControls[Control ID]=$A123)*(tblThreatControls[Threat applies]="Applies"),"")))</f>
        <v/>
      </c>
    </row>
    <row r="124" ht="45" customHeight="1" s="19">
      <c r="A124" s="49" t="n"/>
      <c r="B124" s="49" t="n"/>
      <c r="C124" s="48" cm="1">
        <f t="array" ref="C124">IF($A124="","",_xlfn.TEXTJOIN("; ",TRUE,_xlfn._xlws.FILTER(MT_IDS,MT_BASELINE=$A124,"")))</f>
        <v/>
      </c>
      <c r="D124" s="48">
        <f>IF($A124="","",_xlfn.MINIFS(MT_LEVEL,MT_BASELINE,$A124))</f>
        <v/>
      </c>
      <c r="E124" s="49" t="n"/>
      <c r="F124" s="48" cm="1">
        <f t="array" ref="F124">IF($A124="","",_xlfn.TEXTJOIN("; ",TRUE,_xlfn._xlws.FILTER(MT_IDS,(MT_BASELINE=$A124)*(MT_APPLICABLE="Applicable"),"")))</f>
        <v/>
      </c>
      <c r="G124" s="48">
        <f>IF($A124="","",COUNTIFS(MT_BASELINE,$A124,MT_APPLICABLE,"Applicable"))</f>
        <v/>
      </c>
      <c r="H124" s="50">
        <f>IF($A124="","",IF(G124&gt;0,"Applicable","N/A"))</f>
        <v/>
      </c>
      <c r="I124" s="49" t="n"/>
      <c r="J124" s="49" t="n"/>
      <c r="K124" s="49" t="n"/>
      <c r="L124" s="49" t="n"/>
      <c r="M124" s="49" t="n"/>
      <c r="N124" s="49" t="n"/>
      <c r="O124" s="50" t="n"/>
      <c r="P124" s="50">
        <f>IF($A124="","",IF(H124="N/A","N/A",IFERROR(INDEX(CRIT_MATRIX,MATCH(O124,CRIT_MATRIX_ROWS,0),MATCH(APP_RISK_TIER,CRIT_MATRIX_COLS,0)),"")))</f>
        <v/>
      </c>
      <c r="Q124" s="49" t="n"/>
      <c r="R124" s="49" cm="1">
        <f t="array" ref="R124">IF($A124="","",COUNTIFS(tblThreatControls[Control ID],$A124,tblThreatControls[Threat applies],"Applies"))</f>
        <v/>
      </c>
      <c r="S124" s="49" cm="1">
        <f t="array" ref="S124">IF($A124="","",IF(R124=0,"",INDEX(RISK_SCALE_NAMES,_xlfn.MAXIFS(tblThreatControls[Threat risk score],tblThreatControls[Control ID],$A124))))</f>
        <v/>
      </c>
      <c r="T124" s="49" cm="1">
        <f t="array" ref="T124">IF($A124="","",IF(AND(H124="Applicable",OR(L124="Not assessed",L124=""),R124&gt;0),"Yes","No"))</f>
        <v/>
      </c>
      <c r="U124" s="49" cm="1">
        <f t="array" ref="U124">IF($A124="","",IF(AND(H124="Applicable",OR(L124="Gap",L124="Partial coverage")),INDEX(RISK_SCALE_NAMES,MAX(IFERROR(MATCH(P124,RISK_SCALE_NAMES,0),1),IFERROR(MATCH(S124,RISK_SCALE_NAMES,0),0))),""))</f>
        <v/>
      </c>
      <c r="V124" s="49" cm="1">
        <f t="array" ref="V124">IF($A124="","",_xlfn.TEXTJOIN("; ",TRUE,_xlfn._xlws.FILTER(tblThreatControls[Threat ID],(tblThreatControls[Control ID]=$A124)*(tblThreatControls[Threat applies]="Applies"),"")))</f>
        <v/>
      </c>
    </row>
    <row r="125" ht="45" customHeight="1" s="19"/>
    <row r="126" ht="45" customHeight="1" s="19"/>
    <row r="127" ht="45" customHeight="1" s="19"/>
    <row r="128" ht="45" customHeight="1" s="19"/>
    <row r="129" ht="45" customHeight="1" s="19"/>
    <row r="130" ht="45" customHeight="1" s="19"/>
    <row r="131" ht="45" customHeight="1" s="19"/>
    <row r="132" ht="45" customHeight="1" s="19"/>
    <row r="133" ht="45" customHeight="1" s="19"/>
    <row r="134" ht="45" customHeight="1" s="19"/>
    <row r="135" ht="45" customHeight="1" s="19"/>
    <row r="136" ht="45" customHeight="1" s="19"/>
    <row r="137" ht="45" customHeight="1" s="19"/>
    <row r="138" ht="45" customHeight="1" s="19"/>
    <row r="139" ht="45" customHeight="1" s="19"/>
    <row r="140" ht="45" customHeight="1" s="19"/>
    <row r="141" ht="45" customHeight="1" s="19"/>
    <row r="142" ht="45" customHeight="1" s="19"/>
    <row r="143" ht="45" customHeight="1" s="19"/>
    <row r="144" ht="45" customHeight="1" s="19"/>
    <row r="145" ht="45" customHeight="1" s="19"/>
    <row r="146" ht="45" customHeight="1" s="19"/>
    <row r="147" ht="45" customHeight="1" s="19"/>
    <row r="148" ht="45" customHeight="1" s="19"/>
    <row r="149" ht="45" customHeight="1" s="19"/>
    <row r="150" ht="45" customHeight="1" s="19"/>
    <row r="151" ht="45" customHeight="1" s="19"/>
    <row r="152" ht="45" customHeight="1" s="19"/>
    <row r="153" ht="45" customHeight="1" s="19"/>
    <row r="154" ht="45" customHeight="1" s="19"/>
    <row r="155" ht="45" customHeight="1" s="19"/>
    <row r="156" ht="45" customHeight="1" s="19"/>
    <row r="157" ht="45" customHeight="1" s="19"/>
    <row r="158" ht="45" customHeight="1" s="19"/>
    <row r="159" ht="45" customHeight="1" s="19"/>
    <row r="160" ht="45" customHeight="1" s="19"/>
    <row r="161" ht="45" customHeight="1" s="19"/>
    <row r="162" ht="45" customHeight="1" s="19"/>
    <row r="163" ht="45" customHeight="1" s="19"/>
    <row r="164" ht="45" customHeight="1" s="19"/>
    <row r="165" ht="45" customHeight="1" s="19"/>
    <row r="166" ht="45" customHeight="1" s="19"/>
    <row r="167" ht="45" customHeight="1" s="19"/>
    <row r="168" ht="45" customHeight="1" s="19"/>
    <row r="169" ht="45" customHeight="1" s="19"/>
    <row r="170" ht="45" customHeight="1" s="19"/>
    <row r="171" ht="45" customHeight="1" s="19"/>
    <row r="172" ht="45" customHeight="1" s="19"/>
    <row r="173" ht="45" customHeight="1" s="19"/>
    <row r="174" ht="45" customHeight="1" s="19"/>
    <row r="175" ht="45" customHeight="1" s="19"/>
    <row r="176" ht="45" customHeight="1" s="19"/>
    <row r="177" ht="45" customHeight="1" s="19"/>
    <row r="178" ht="45" customHeight="1" s="19"/>
    <row r="179" ht="45" customHeight="1" s="19"/>
    <row r="180" ht="45" customHeight="1" s="19"/>
    <row r="181" ht="45" customHeight="1" s="19"/>
    <row r="182" ht="45" customHeight="1" s="19"/>
    <row r="183" ht="45" customHeight="1" s="19"/>
    <row r="184" ht="45" customHeight="1" s="19"/>
    <row r="185" ht="45" customHeight="1" s="19"/>
    <row r="186" ht="45" customHeight="1" s="19"/>
    <row r="187" ht="45" customHeight="1" s="19"/>
    <row r="188" ht="45" customHeight="1" s="19"/>
    <row r="189" ht="45" customHeight="1" s="19"/>
    <row r="190" ht="45" customHeight="1" s="19"/>
    <row r="191" ht="45" customHeight="1" s="19"/>
    <row r="192" ht="45" customHeight="1" s="19"/>
    <row r="193" ht="45" customHeight="1" s="19"/>
    <row r="194" ht="45" customHeight="1" s="19"/>
    <row r="195" ht="45" customHeight="1" s="19"/>
    <row r="196" ht="45" customHeight="1" s="19"/>
    <row r="197" ht="45" customHeight="1" s="19"/>
    <row r="198" ht="45" customHeight="1" s="19"/>
    <row r="199" ht="45" customHeight="1" s="19"/>
    <row r="200" ht="45" customHeight="1" s="19"/>
    <row r="201" ht="45" customHeight="1" s="19"/>
    <row r="202" ht="45" customHeight="1" s="19"/>
    <row r="203" ht="45" customHeight="1" s="19"/>
    <row r="204" ht="45" customHeight="1" s="19"/>
  </sheetData>
  <autoFilter ref="A4:V124"/>
  <mergeCells count="1">
    <mergeCell ref="A2:V2"/>
  </mergeCells>
  <conditionalFormatting sqref="H5:H124">
    <cfRule type="cellIs" priority="1" operator="equal" dxfId="12">
      <formula>"N/A"</formula>
    </cfRule>
  </conditionalFormatting>
  <conditionalFormatting sqref="L5:L124">
    <cfRule type="cellIs" priority="2" operator="equal" dxfId="9">
      <formula>"Gap"</formula>
    </cfRule>
    <cfRule type="cellIs" priority="3" operator="equal" dxfId="11">
      <formula>"Partial coverage"</formula>
    </cfRule>
    <cfRule type="cellIs" priority="4" operator="equal" dxfId="13">
      <formula>"Full coverage"</formula>
    </cfRule>
  </conditionalFormatting>
  <conditionalFormatting sqref="P5:P124">
    <cfRule type="cellIs" priority="5" operator="equal" dxfId="9">
      <formula>"Critical"</formula>
    </cfRule>
    <cfRule type="cellIs" priority="6" operator="equal" dxfId="10">
      <formula>"High"</formula>
    </cfRule>
    <cfRule type="cellIs" priority="7" operator="equal" dxfId="11">
      <formula>"Medium"</formula>
    </cfRule>
    <cfRule type="cellIs" priority="8" operator="equal" dxfId="12">
      <formula>"N/A"</formula>
    </cfRule>
  </conditionalFormatting>
  <conditionalFormatting sqref="S5:S124">
    <cfRule type="expression" priority="9" dxfId="9">
      <formula>$S5="Critical"</formula>
    </cfRule>
    <cfRule type="expression" priority="10" dxfId="10">
      <formula>$S5="High"</formula>
    </cfRule>
    <cfRule type="expression" priority="11" dxfId="11">
      <formula>$S5="Medium"</formula>
    </cfRule>
  </conditionalFormatting>
  <conditionalFormatting sqref="U5:U124">
    <cfRule type="expression" priority="12" dxfId="9">
      <formula>$U5="Critical"</formula>
    </cfRule>
    <cfRule type="expression" priority="13" dxfId="10">
      <formula>$U5="High"</formula>
    </cfRule>
    <cfRule type="expression" priority="14" dxfId="11">
      <formula>$U5="Medium"</formula>
    </cfRule>
  </conditionalFormatting>
  <conditionalFormatting sqref="T5:T124">
    <cfRule type="cellIs" priority="15" operator="equal" dxfId="18">
      <formula>"Yes"</formula>
    </cfRule>
  </conditionalFormatting>
  <dataValidations count="3">
    <dataValidation sqref="L5:L124" showDropDown="0" showInputMessage="0" showErrorMessage="0" allowBlank="1" type="list">
      <formula1>"Not assessed,Full coverage,Partial coverage,Gap,N/A"</formula1>
    </dataValidation>
    <dataValidation sqref="O5:O124" showDropDown="0" showInputMessage="0" showErrorMessage="0" allowBlank="1" type="list">
      <formula1>"Low,Medium,High"</formula1>
    </dataValidation>
    <dataValidation sqref="Q5:Q124" showDropDown="0" showInputMessage="1" showErrorMessage="1" allowBlank="1" error="Choose one of the listed options." prompt="Choose an option." type="list">
      <formula1>"Internal dev,Configuration,Vendor,Compensating,Risk acceptance"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X349"/>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11" customWidth="1" style="18" min="1" max="1"/>
    <col width="24" customWidth="1" style="18" min="2" max="3"/>
    <col width="7" customWidth="1" style="18" min="4" max="4"/>
    <col width="55" customWidth="1" style="18" min="5" max="5"/>
    <col width="26" customWidth="1" style="18" min="6" max="6"/>
    <col hidden="1" width="13" customWidth="1" style="18" min="7" max="7"/>
    <col width="11" customWidth="1" style="18" min="8" max="8"/>
    <col width="16" customWidth="1" style="18" min="9" max="9"/>
    <col width="40" customWidth="1" style="18" min="10" max="10"/>
    <col width="18" customWidth="1" style="18" min="11" max="11"/>
    <col width="16" customWidth="1" style="18" min="12" max="12"/>
  </cols>
  <sheetData>
    <row r="1" ht="25.5" customHeight="1" s="19">
      <c r="A1" s="20" t="inlineStr">
        <is>
          <t>ASVS Checklist — OWASP ASVS 5.0.0 reference (345 requirements) and traceability to the Hardening Baseline</t>
        </is>
      </c>
    </row>
    <row r="2" ht="60" customHeight="1" s="19">
      <c r="A2" s="23" t="inlineStr">
        <is>
          <t>Reference only — nothing to assess here. Columns A–G are a verbatim copy of OWASP ASVS 5.0.0; column H shows whether the requirement is in scope for this application (ASVS chapter + target level). Column I is the 'Hardening Baseline' control that covers the requirement, or 'Excluded' with the reason in column J. Column K repeats that control's Coverage Status, so every ASVS requirement traces to an assessed result. Column G is hidden helper text — column F holds the human-readable condition.</t>
        </is>
      </c>
    </row>
    <row r="4" ht="27.75" customHeight="1" s="19">
      <c r="A4" s="38" t="inlineStr">
        <is>
          <t>ASVS ID</t>
        </is>
      </c>
      <c r="B4" s="38" t="inlineStr">
        <is>
          <t>Chapter</t>
        </is>
      </c>
      <c r="C4" s="38" t="inlineStr">
        <is>
          <t>Section</t>
        </is>
      </c>
      <c r="D4" s="38" t="inlineStr">
        <is>
          <t>Level</t>
        </is>
      </c>
      <c r="E4" s="38" t="inlineStr">
        <is>
          <t>Requirement</t>
        </is>
      </c>
      <c r="F4" s="38" t="inlineStr">
        <is>
          <t>Applicability Condition</t>
        </is>
      </c>
      <c r="G4" s="38" t="inlineStr">
        <is>
          <t>Applicability Formula</t>
        </is>
      </c>
      <c r="H4" s="38" t="inlineStr">
        <is>
          <t>Applicable?</t>
        </is>
      </c>
      <c r="I4" s="38" t="inlineStr">
        <is>
          <t>Baseline control</t>
        </is>
      </c>
      <c r="J4" s="38" t="inlineStr">
        <is>
          <t>Exclusion rationale</t>
        </is>
      </c>
      <c r="K4" s="38" t="inlineStr">
        <is>
          <t>Baseline coverage</t>
        </is>
      </c>
    </row>
    <row r="5" ht="39.75" customHeight="1" s="19">
      <c r="A5" s="42" t="inlineStr">
        <is>
          <t>V1.1.1</t>
        </is>
      </c>
      <c r="B5" s="40" t="inlineStr">
        <is>
          <t>V1 - Encoding and Sanitization</t>
        </is>
      </c>
      <c r="C5" s="40" t="inlineStr">
        <is>
          <t>V1.1 - Encoding and Sanitization Architecture</t>
        </is>
      </c>
      <c r="D5" s="42" t="n">
        <v>2</v>
      </c>
      <c r="E5" s="40"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F5" s="40" t="inlineStr">
        <is>
          <t>Always</t>
        </is>
      </c>
      <c r="G5" s="42" t="inlineStr">
        <is>
          <t>TRUE</t>
        </is>
      </c>
      <c r="H5" s="43">
        <f>IF(AND(TRUE(),D5&lt;=TARGET_LEVEL_NUM),"Applicable","N/A")</f>
        <v/>
      </c>
      <c r="I5" s="42" t="inlineStr">
        <is>
          <t>HB-INJ-01</t>
        </is>
      </c>
      <c r="J5" s="42" t="n"/>
      <c r="K5" s="43">
        <f>IF($I5="Excluded","Excluded",IF(H5="N/A","N/A",IFERROR(INDEX(BL_COVERAGE,MATCH($I5,BL_IDS,0))&amp;"","Mapping error")))</f>
        <v/>
      </c>
    </row>
    <row r="6" ht="39.75" customHeight="1" s="19">
      <c r="A6" s="42" t="inlineStr">
        <is>
          <t>V1.1.2</t>
        </is>
      </c>
      <c r="B6" s="40" t="inlineStr">
        <is>
          <t>V1 - Encoding and Sanitization</t>
        </is>
      </c>
      <c r="C6" s="40" t="inlineStr">
        <is>
          <t>V1.1 - Encoding and Sanitization Architecture</t>
        </is>
      </c>
      <c r="D6" s="42" t="n">
        <v>2</v>
      </c>
      <c r="E6" s="40" t="inlineStr">
        <is>
          <t>Verify that the application performs output encoding and escaping either as a final step before being used by the interpreter for which it is intended or by the interpreter itself.</t>
        </is>
      </c>
      <c r="F6" s="40" t="inlineStr">
        <is>
          <t>Always</t>
        </is>
      </c>
      <c r="G6" s="42" t="inlineStr">
        <is>
          <t>TRUE</t>
        </is>
      </c>
      <c r="H6" s="43">
        <f>IF(AND(TRUE(),D6&lt;=TARGET_LEVEL_NUM),"Applicable","N/A")</f>
        <v/>
      </c>
      <c r="I6" s="42" t="inlineStr">
        <is>
          <t>HB-INJ-01</t>
        </is>
      </c>
      <c r="J6" s="42" t="n"/>
      <c r="K6" s="43">
        <f>IF($I6="Excluded","Excluded",IF(H6="N/A","N/A",IFERROR(INDEX(BL_COVERAGE,MATCH($I6,BL_IDS,0))&amp;"","Mapping error")))</f>
        <v/>
      </c>
    </row>
    <row r="7" ht="39.75" customHeight="1" s="19">
      <c r="A7" s="42" t="inlineStr">
        <is>
          <t>V1.2.1</t>
        </is>
      </c>
      <c r="B7" s="40" t="inlineStr">
        <is>
          <t>V1 - Encoding and Sanitization</t>
        </is>
      </c>
      <c r="C7" s="40" t="inlineStr">
        <is>
          <t>V1.2 - Injection Prevention</t>
        </is>
      </c>
      <c r="D7" s="42" t="n">
        <v>1</v>
      </c>
      <c r="E7" s="40"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F7" s="40" t="inlineStr">
        <is>
          <t>Always</t>
        </is>
      </c>
      <c r="G7" s="42" t="inlineStr">
        <is>
          <t>TRUE</t>
        </is>
      </c>
      <c r="H7" s="43">
        <f>IF(AND(TRUE(),D7&lt;=TARGET_LEVEL_NUM),"Applicable","N/A")</f>
        <v/>
      </c>
      <c r="I7" s="42" t="inlineStr">
        <is>
          <t>HB-INJ-01</t>
        </is>
      </c>
      <c r="J7" s="42" t="n"/>
      <c r="K7" s="43">
        <f>IF($I7="Excluded","Excluded",IF(H7="N/A","N/A",IFERROR(INDEX(BL_COVERAGE,MATCH($I7,BL_IDS,0))&amp;"","Mapping error")))</f>
        <v/>
      </c>
    </row>
    <row r="8" ht="39.75" customHeight="1" s="19">
      <c r="A8" s="42" t="inlineStr">
        <is>
          <t>V1.2.2</t>
        </is>
      </c>
      <c r="B8" s="40" t="inlineStr">
        <is>
          <t>V1 - Encoding and Sanitization</t>
        </is>
      </c>
      <c r="C8" s="40" t="inlineStr">
        <is>
          <t>V1.2 - Injection Prevention</t>
        </is>
      </c>
      <c r="D8" s="42" t="n">
        <v>1</v>
      </c>
      <c r="E8" s="40" t="inlineStr">
        <is>
          <t>Verify that when dynamically building URLs, untrusted data is encoded according to its context (e.g., URL encoding or base64url encoding for query or path parameters). Ensure that only safe URL protocols are permitted (e.g., disallow javascript: or data:).</t>
        </is>
      </c>
      <c r="F8" s="40" t="inlineStr">
        <is>
          <t>Always</t>
        </is>
      </c>
      <c r="G8" s="42" t="inlineStr">
        <is>
          <t>TRUE</t>
        </is>
      </c>
      <c r="H8" s="43">
        <f>IF(AND(TRUE(),D8&lt;=TARGET_LEVEL_NUM),"Applicable","N/A")</f>
        <v/>
      </c>
      <c r="I8" s="42" t="inlineStr">
        <is>
          <t>HB-INJ-01</t>
        </is>
      </c>
      <c r="J8" s="42" t="n"/>
      <c r="K8" s="43">
        <f>IF($I8="Excluded","Excluded",IF(H8="N/A","N/A",IFERROR(INDEX(BL_COVERAGE,MATCH($I8,BL_IDS,0))&amp;"","Mapping error")))</f>
        <v/>
      </c>
    </row>
    <row r="9" ht="39.75" customHeight="1" s="19">
      <c r="A9" s="42" t="inlineStr">
        <is>
          <t>V1.2.3</t>
        </is>
      </c>
      <c r="B9" s="40" t="inlineStr">
        <is>
          <t>V1 - Encoding and Sanitization</t>
        </is>
      </c>
      <c r="C9" s="40" t="inlineStr">
        <is>
          <t>V1.2 - Injection Prevention</t>
        </is>
      </c>
      <c r="D9" s="42" t="n">
        <v>1</v>
      </c>
      <c r="E9" s="40" t="inlineStr">
        <is>
          <t>Verify that output encoding or escaping is used when dynamically building JavaScript content (including JSON), to avoid changing the message or document structure (to avoid JavaScript and JSON injection).</t>
        </is>
      </c>
      <c r="F9" s="40" t="inlineStr">
        <is>
          <t>Always</t>
        </is>
      </c>
      <c r="G9" s="42" t="inlineStr">
        <is>
          <t>TRUE</t>
        </is>
      </c>
      <c r="H9" s="43">
        <f>IF(AND(TRUE(),D9&lt;=TARGET_LEVEL_NUM),"Applicable","N/A")</f>
        <v/>
      </c>
      <c r="I9" s="42" t="inlineStr">
        <is>
          <t>HB-INJ-01</t>
        </is>
      </c>
      <c r="J9" s="42" t="n"/>
      <c r="K9" s="43">
        <f>IF($I9="Excluded","Excluded",IF(H9="N/A","N/A",IFERROR(INDEX(BL_COVERAGE,MATCH($I9,BL_IDS,0))&amp;"","Mapping error")))</f>
        <v/>
      </c>
    </row>
    <row r="10" ht="39.75" customHeight="1" s="19">
      <c r="A10" s="42" t="inlineStr">
        <is>
          <t>V1.2.4</t>
        </is>
      </c>
      <c r="B10" s="40" t="inlineStr">
        <is>
          <t>V1 - Encoding and Sanitization</t>
        </is>
      </c>
      <c r="C10" s="40" t="inlineStr">
        <is>
          <t>V1.2 - Injection Prevention</t>
        </is>
      </c>
      <c r="D10" s="42" t="n">
        <v>1</v>
      </c>
      <c r="E10" s="40"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F10" s="40" t="inlineStr">
        <is>
          <t>Always</t>
        </is>
      </c>
      <c r="G10" s="42" t="inlineStr">
        <is>
          <t>TRUE</t>
        </is>
      </c>
      <c r="H10" s="43">
        <f>IF(AND(TRUE(),D10&lt;=TARGET_LEVEL_NUM),"Applicable","N/A")</f>
        <v/>
      </c>
      <c r="I10" s="42" t="inlineStr">
        <is>
          <t>HB-INJ-02</t>
        </is>
      </c>
      <c r="J10" s="42" t="n"/>
      <c r="K10" s="43">
        <f>IF($I10="Excluded","Excluded",IF(H10="N/A","N/A",IFERROR(INDEX(BL_COVERAGE,MATCH($I10,BL_IDS,0))&amp;"","Mapping error")))</f>
        <v/>
      </c>
    </row>
    <row r="11" ht="39.75" customHeight="1" s="19">
      <c r="A11" s="42" t="inlineStr">
        <is>
          <t>V1.2.5</t>
        </is>
      </c>
      <c r="B11" s="40" t="inlineStr">
        <is>
          <t>V1 - Encoding and Sanitization</t>
        </is>
      </c>
      <c r="C11" s="40" t="inlineStr">
        <is>
          <t>V1.2 - Injection Prevention</t>
        </is>
      </c>
      <c r="D11" s="42" t="n">
        <v>1</v>
      </c>
      <c r="E11" s="40" t="inlineStr">
        <is>
          <t>Verify that the application protects against OS command injection and that operating system calls use parameterized OS queries or use contextual command line output encoding.</t>
        </is>
      </c>
      <c r="F11" s="40" t="inlineStr">
        <is>
          <t>Always</t>
        </is>
      </c>
      <c r="G11" s="42" t="inlineStr">
        <is>
          <t>TRUE</t>
        </is>
      </c>
      <c r="H11" s="43">
        <f>IF(AND(TRUE(),D11&lt;=TARGET_LEVEL_NUM),"Applicable","N/A")</f>
        <v/>
      </c>
      <c r="I11" s="42" t="inlineStr">
        <is>
          <t>HB-INJ-02</t>
        </is>
      </c>
      <c r="J11" s="42" t="n"/>
      <c r="K11" s="43">
        <f>IF($I11="Excluded","Excluded",IF(H11="N/A","N/A",IFERROR(INDEX(BL_COVERAGE,MATCH($I11,BL_IDS,0))&amp;"","Mapping error")))</f>
        <v/>
      </c>
    </row>
    <row r="12" ht="39.75" customHeight="1" s="19">
      <c r="A12" s="42" t="inlineStr">
        <is>
          <t>V1.2.6</t>
        </is>
      </c>
      <c r="B12" s="40" t="inlineStr">
        <is>
          <t>V1 - Encoding and Sanitization</t>
        </is>
      </c>
      <c r="C12" s="40" t="inlineStr">
        <is>
          <t>V1.2 - Injection Prevention</t>
        </is>
      </c>
      <c r="D12" s="42" t="n">
        <v>2</v>
      </c>
      <c r="E12" s="40" t="inlineStr">
        <is>
          <t>Verify that the application protects against LDAP injection vulnerabilities, or that specific security controls to prevent LDAP injection have been implemented.</t>
        </is>
      </c>
      <c r="F12" s="40" t="inlineStr">
        <is>
          <t>Always</t>
        </is>
      </c>
      <c r="G12" s="42" t="inlineStr">
        <is>
          <t>TRUE</t>
        </is>
      </c>
      <c r="H12" s="43">
        <f>IF(AND(TRUE(),D12&lt;=TARGET_LEVEL_NUM),"Applicable","N/A")</f>
        <v/>
      </c>
      <c r="I12" s="42" t="inlineStr">
        <is>
          <t>HB-INJ-02</t>
        </is>
      </c>
      <c r="J12" s="42" t="n"/>
      <c r="K12" s="43">
        <f>IF($I12="Excluded","Excluded",IF(H12="N/A","N/A",IFERROR(INDEX(BL_COVERAGE,MATCH($I12,BL_IDS,0))&amp;"","Mapping error")))</f>
        <v/>
      </c>
    </row>
    <row r="13" ht="39.75" customHeight="1" s="19">
      <c r="A13" s="42" t="inlineStr">
        <is>
          <t>V1.2.7</t>
        </is>
      </c>
      <c r="B13" s="40" t="inlineStr">
        <is>
          <t>V1 - Encoding and Sanitization</t>
        </is>
      </c>
      <c r="C13" s="40" t="inlineStr">
        <is>
          <t>V1.2 - Injection Prevention</t>
        </is>
      </c>
      <c r="D13" s="42" t="n">
        <v>2</v>
      </c>
      <c r="E13" s="40" t="inlineStr">
        <is>
          <t>Verify that the application is protected against XPath injection attacks by using query parameterization or precompiled queries.</t>
        </is>
      </c>
      <c r="F13" s="40" t="inlineStr">
        <is>
          <t>Always</t>
        </is>
      </c>
      <c r="G13" s="42" t="inlineStr">
        <is>
          <t>TRUE</t>
        </is>
      </c>
      <c r="H13" s="43">
        <f>IF(AND(TRUE(),D13&lt;=TARGET_LEVEL_NUM),"Applicable","N/A")</f>
        <v/>
      </c>
      <c r="I13" s="42" t="inlineStr">
        <is>
          <t>HB-INJ-02</t>
        </is>
      </c>
      <c r="J13" s="42" t="n"/>
      <c r="K13" s="43">
        <f>IF($I13="Excluded","Excluded",IF(H13="N/A","N/A",IFERROR(INDEX(BL_COVERAGE,MATCH($I13,BL_IDS,0))&amp;"","Mapping error")))</f>
        <v/>
      </c>
    </row>
    <row r="14" ht="39.75" customHeight="1" s="19">
      <c r="A14" s="42" t="inlineStr">
        <is>
          <t>V1.2.8</t>
        </is>
      </c>
      <c r="B14" s="40" t="inlineStr">
        <is>
          <t>V1 - Encoding and Sanitization</t>
        </is>
      </c>
      <c r="C14" s="40" t="inlineStr">
        <is>
          <t>V1.2 - Injection Prevention</t>
        </is>
      </c>
      <c r="D14" s="42" t="n">
        <v>2</v>
      </c>
      <c r="E14" s="40" t="inlineStr">
        <is>
          <t>Verify that LaTeX processors are configured securely (such as not using the "--shell-escape" flag) and an allowlist of commands is used to prevent LaTeX injection attacks.</t>
        </is>
      </c>
      <c r="F14" s="40" t="inlineStr">
        <is>
          <t>Always</t>
        </is>
      </c>
      <c r="G14" s="42" t="inlineStr">
        <is>
          <t>TRUE</t>
        </is>
      </c>
      <c r="H14" s="43">
        <f>IF(AND(TRUE(),D14&lt;=TARGET_LEVEL_NUM),"Applicable","N/A")</f>
        <v/>
      </c>
      <c r="I14" s="42" t="inlineStr">
        <is>
          <t>HB-INJ-03</t>
        </is>
      </c>
      <c r="J14" s="42" t="n"/>
      <c r="K14" s="43">
        <f>IF($I14="Excluded","Excluded",IF(H14="N/A","N/A",IFERROR(INDEX(BL_COVERAGE,MATCH($I14,BL_IDS,0))&amp;"","Mapping error")))</f>
        <v/>
      </c>
    </row>
    <row r="15" ht="39.75" customHeight="1" s="19">
      <c r="A15" s="42" t="inlineStr">
        <is>
          <t>V1.2.9</t>
        </is>
      </c>
      <c r="B15" s="40" t="inlineStr">
        <is>
          <t>V1 - Encoding and Sanitization</t>
        </is>
      </c>
      <c r="C15" s="40" t="inlineStr">
        <is>
          <t>V1.2 - Injection Prevention</t>
        </is>
      </c>
      <c r="D15" s="42" t="n">
        <v>2</v>
      </c>
      <c r="E15" s="40" t="inlineStr">
        <is>
          <t>Verify that the application escapes special characters in regular expressions (typically using a backslash) to prevent them from being misinterpreted as metacharacters.</t>
        </is>
      </c>
      <c r="F15" s="40" t="inlineStr">
        <is>
          <t>Always</t>
        </is>
      </c>
      <c r="G15" s="42" t="inlineStr">
        <is>
          <t>TRUE</t>
        </is>
      </c>
      <c r="H15" s="43">
        <f>IF(AND(TRUE(),D15&lt;=TARGET_LEVEL_NUM),"Applicable","N/A")</f>
        <v/>
      </c>
      <c r="I15" s="42" t="inlineStr">
        <is>
          <t>HB-INJ-03</t>
        </is>
      </c>
      <c r="J15" s="42" t="n"/>
      <c r="K15" s="43">
        <f>IF($I15="Excluded","Excluded",IF(H15="N/A","N/A",IFERROR(INDEX(BL_COVERAGE,MATCH($I15,BL_IDS,0))&amp;"","Mapping error")))</f>
        <v/>
      </c>
    </row>
    <row r="16" ht="39.75" customHeight="1" s="19">
      <c r="A16" s="42" t="inlineStr">
        <is>
          <t>V1.2.10</t>
        </is>
      </c>
      <c r="B16" s="40" t="inlineStr">
        <is>
          <t>V1 - Encoding and Sanitization</t>
        </is>
      </c>
      <c r="C16" s="40" t="inlineStr">
        <is>
          <t>V1.2 - Injection Prevention</t>
        </is>
      </c>
      <c r="D16" s="42" t="n">
        <v>3</v>
      </c>
      <c r="E16" s="40"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F16" s="40" t="inlineStr">
        <is>
          <t>Always</t>
        </is>
      </c>
      <c r="G16" s="42" t="inlineStr">
        <is>
          <t>TRUE</t>
        </is>
      </c>
      <c r="H16" s="43">
        <f>IF(AND(TRUE(),D16&lt;=TARGET_LEVEL_NUM),"Applicable","N/A")</f>
        <v/>
      </c>
      <c r="I16" s="42" t="inlineStr">
        <is>
          <t>HB-INJ-03</t>
        </is>
      </c>
      <c r="J16" s="42" t="n"/>
      <c r="K16" s="43">
        <f>IF($I16="Excluded","Excluded",IF(H16="N/A","N/A",IFERROR(INDEX(BL_COVERAGE,MATCH($I16,BL_IDS,0))&amp;"","Mapping error")))</f>
        <v/>
      </c>
    </row>
    <row r="17" ht="39.75" customHeight="1" s="19">
      <c r="A17" s="42" t="inlineStr">
        <is>
          <t>V1.3.1</t>
        </is>
      </c>
      <c r="B17" s="40" t="inlineStr">
        <is>
          <t>V1 - Encoding and Sanitization</t>
        </is>
      </c>
      <c r="C17" s="40" t="inlineStr">
        <is>
          <t>V1.3 - Sanitization</t>
        </is>
      </c>
      <c r="D17" s="42" t="n">
        <v>1</v>
      </c>
      <c r="E17" s="40" t="inlineStr">
        <is>
          <t>Verify that all untrusted HTML input from WYSIWYG editors or similar is sanitized using a well-known and secure HTML sanitization library or framework feature.</t>
        </is>
      </c>
      <c r="F17" s="40" t="inlineStr">
        <is>
          <t>Always</t>
        </is>
      </c>
      <c r="G17" s="42" t="inlineStr">
        <is>
          <t>TRUE</t>
        </is>
      </c>
      <c r="H17" s="43">
        <f>IF(AND(TRUE(),D17&lt;=TARGET_LEVEL_NUM),"Applicable","N/A")</f>
        <v/>
      </c>
      <c r="I17" s="42" t="inlineStr">
        <is>
          <t>HB-INJ-04</t>
        </is>
      </c>
      <c r="J17" s="42" t="n"/>
      <c r="K17" s="43">
        <f>IF($I17="Excluded","Excluded",IF(H17="N/A","N/A",IFERROR(INDEX(BL_COVERAGE,MATCH($I17,BL_IDS,0))&amp;"","Mapping error")))</f>
        <v/>
      </c>
    </row>
    <row r="18" ht="39.75" customHeight="1" s="19">
      <c r="A18" s="42" t="inlineStr">
        <is>
          <t>V1.3.2</t>
        </is>
      </c>
      <c r="B18" s="40" t="inlineStr">
        <is>
          <t>V1 - Encoding and Sanitization</t>
        </is>
      </c>
      <c r="C18" s="40" t="inlineStr">
        <is>
          <t>V1.3 - Sanitization</t>
        </is>
      </c>
      <c r="D18" s="42" t="n">
        <v>1</v>
      </c>
      <c r="E18" s="40" t="inlineStr">
        <is>
          <t>Verify that the application avoids the use of eval() or other dynamic code execution features such as Spring Expression Language (SpEL). Where there is no alternative, any user input being included must be sanitized before being executed.</t>
        </is>
      </c>
      <c r="F18" s="40" t="inlineStr">
        <is>
          <t>Always</t>
        </is>
      </c>
      <c r="G18" s="42" t="inlineStr">
        <is>
          <t>TRUE</t>
        </is>
      </c>
      <c r="H18" s="43">
        <f>IF(AND(TRUE(),D18&lt;=TARGET_LEVEL_NUM),"Applicable","N/A")</f>
        <v/>
      </c>
      <c r="I18" s="42" t="inlineStr">
        <is>
          <t>HB-INJ-03</t>
        </is>
      </c>
      <c r="J18" s="42" t="n"/>
      <c r="K18" s="43">
        <f>IF($I18="Excluded","Excluded",IF(H18="N/A","N/A",IFERROR(INDEX(BL_COVERAGE,MATCH($I18,BL_IDS,0))&amp;"","Mapping error")))</f>
        <v/>
      </c>
    </row>
    <row r="19" ht="39.75" customHeight="1" s="19">
      <c r="A19" s="42" t="inlineStr">
        <is>
          <t>V1.3.3</t>
        </is>
      </c>
      <c r="B19" s="40" t="inlineStr">
        <is>
          <t>V1 - Encoding and Sanitization</t>
        </is>
      </c>
      <c r="C19" s="40" t="inlineStr">
        <is>
          <t>V1.3 - Sanitization</t>
        </is>
      </c>
      <c r="D19" s="42" t="n">
        <v>2</v>
      </c>
      <c r="E19" s="40" t="inlineStr">
        <is>
          <t>Verify that data being passed to a potentially dangerous context is sanitized beforehand to enforce safety measures, such as only allowing characters which are safe for this context and trimming input which is too long.</t>
        </is>
      </c>
      <c r="F19" s="40" t="inlineStr">
        <is>
          <t>Always</t>
        </is>
      </c>
      <c r="G19" s="42" t="inlineStr">
        <is>
          <t>TRUE</t>
        </is>
      </c>
      <c r="H19" s="43">
        <f>IF(AND(TRUE(),D19&lt;=TARGET_LEVEL_NUM),"Applicable","N/A")</f>
        <v/>
      </c>
      <c r="I19" s="42" t="inlineStr">
        <is>
          <t>HB-INJ-04</t>
        </is>
      </c>
      <c r="J19" s="42" t="n"/>
      <c r="K19" s="43">
        <f>IF($I19="Excluded","Excluded",IF(H19="N/A","N/A",IFERROR(INDEX(BL_COVERAGE,MATCH($I19,BL_IDS,0))&amp;"","Mapping error")))</f>
        <v/>
      </c>
    </row>
    <row r="20" ht="39.75" customHeight="1" s="19">
      <c r="A20" s="42" t="inlineStr">
        <is>
          <t>V1.3.4</t>
        </is>
      </c>
      <c r="B20" s="40" t="inlineStr">
        <is>
          <t>V1 - Encoding and Sanitization</t>
        </is>
      </c>
      <c r="C20" s="40" t="inlineStr">
        <is>
          <t>V1.3 - Sanitization</t>
        </is>
      </c>
      <c r="D20" s="42" t="n">
        <v>2</v>
      </c>
      <c r="E20" s="40" t="inlineStr">
        <is>
          <t>Verify that user-supplied Scalable Vector Graphics (SVG) scriptable content is validated or sanitized to contain only tags and attributes (such as draw graphics) that are safe for the application, e.g., do not contain scripts and foreignObject.</t>
        </is>
      </c>
      <c r="F20" s="40" t="inlineStr">
        <is>
          <t>Always</t>
        </is>
      </c>
      <c r="G20" s="42" t="inlineStr">
        <is>
          <t>TRUE</t>
        </is>
      </c>
      <c r="H20" s="43">
        <f>IF(AND(TRUE(),D20&lt;=TARGET_LEVEL_NUM),"Applicable","N/A")</f>
        <v/>
      </c>
      <c r="I20" s="42" t="inlineStr">
        <is>
          <t>HB-INJ-04</t>
        </is>
      </c>
      <c r="J20" s="42" t="n"/>
      <c r="K20" s="43">
        <f>IF($I20="Excluded","Excluded",IF(H20="N/A","N/A",IFERROR(INDEX(BL_COVERAGE,MATCH($I20,BL_IDS,0))&amp;"","Mapping error")))</f>
        <v/>
      </c>
    </row>
    <row r="21" ht="39.75" customHeight="1" s="19">
      <c r="A21" s="42" t="inlineStr">
        <is>
          <t>V1.3.5</t>
        </is>
      </c>
      <c r="B21" s="40" t="inlineStr">
        <is>
          <t>V1 - Encoding and Sanitization</t>
        </is>
      </c>
      <c r="C21" s="40" t="inlineStr">
        <is>
          <t>V1.3 - Sanitization</t>
        </is>
      </c>
      <c r="D21" s="42" t="n">
        <v>2</v>
      </c>
      <c r="E21" s="40" t="inlineStr">
        <is>
          <t>Verify that the application sanitizes or disables user-supplied scriptable or expression template language content, such as Markdown, CSS or XSL stylesheets, BBCode, or similar.</t>
        </is>
      </c>
      <c r="F21" s="40" t="inlineStr">
        <is>
          <t>Always</t>
        </is>
      </c>
      <c r="G21" s="42" t="inlineStr">
        <is>
          <t>TRUE</t>
        </is>
      </c>
      <c r="H21" s="43">
        <f>IF(AND(TRUE(),D21&lt;=TARGET_LEVEL_NUM),"Applicable","N/A")</f>
        <v/>
      </c>
      <c r="I21" s="42" t="inlineStr">
        <is>
          <t>HB-INJ-04</t>
        </is>
      </c>
      <c r="J21" s="42" t="n"/>
      <c r="K21" s="43">
        <f>IF($I21="Excluded","Excluded",IF(H21="N/A","N/A",IFERROR(INDEX(BL_COVERAGE,MATCH($I21,BL_IDS,0))&amp;"","Mapping error")))</f>
        <v/>
      </c>
    </row>
    <row r="22" ht="39.75" customHeight="1" s="19">
      <c r="A22" s="42" t="inlineStr">
        <is>
          <t>V1.3.6</t>
        </is>
      </c>
      <c r="B22" s="40" t="inlineStr">
        <is>
          <t>V1 - Encoding and Sanitization</t>
        </is>
      </c>
      <c r="C22" s="40" t="inlineStr">
        <is>
          <t>V1.3 - Sanitization</t>
        </is>
      </c>
      <c r="D22" s="42" t="n">
        <v>2</v>
      </c>
      <c r="E22" s="40"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F22" s="40" t="inlineStr">
        <is>
          <t>Always</t>
        </is>
      </c>
      <c r="G22" s="42" t="inlineStr">
        <is>
          <t>TRUE</t>
        </is>
      </c>
      <c r="H22" s="43">
        <f>IF(AND(TRUE(),D22&lt;=TARGET_LEVEL_NUM),"Applicable","N/A")</f>
        <v/>
      </c>
      <c r="I22" s="42" t="inlineStr">
        <is>
          <t>HB-CFG-04</t>
        </is>
      </c>
      <c r="J22" s="42" t="n"/>
      <c r="K22" s="43">
        <f>IF($I22="Excluded","Excluded",IF(H22="N/A","N/A",IFERROR(INDEX(BL_COVERAGE,MATCH($I22,BL_IDS,0))&amp;"","Mapping error")))</f>
        <v/>
      </c>
    </row>
    <row r="23" ht="39.75" customHeight="1" s="19">
      <c r="A23" s="42" t="inlineStr">
        <is>
          <t>V1.3.7</t>
        </is>
      </c>
      <c r="B23" s="40" t="inlineStr">
        <is>
          <t>V1 - Encoding and Sanitization</t>
        </is>
      </c>
      <c r="C23" s="40" t="inlineStr">
        <is>
          <t>V1.3 - Sanitization</t>
        </is>
      </c>
      <c r="D23" s="42" t="n">
        <v>2</v>
      </c>
      <c r="E23" s="40"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F23" s="40" t="inlineStr">
        <is>
          <t>Always</t>
        </is>
      </c>
      <c r="G23" s="42" t="inlineStr">
        <is>
          <t>TRUE</t>
        </is>
      </c>
      <c r="H23" s="43">
        <f>IF(AND(TRUE(),D23&lt;=TARGET_LEVEL_NUM),"Applicable","N/A")</f>
        <v/>
      </c>
      <c r="I23" s="42" t="inlineStr">
        <is>
          <t>HB-INJ-03</t>
        </is>
      </c>
      <c r="J23" s="42" t="n"/>
      <c r="K23" s="43">
        <f>IF($I23="Excluded","Excluded",IF(H23="N/A","N/A",IFERROR(INDEX(BL_COVERAGE,MATCH($I23,BL_IDS,0))&amp;"","Mapping error")))</f>
        <v/>
      </c>
    </row>
    <row r="24" ht="39.75" customHeight="1" s="19">
      <c r="A24" s="42" t="inlineStr">
        <is>
          <t>V1.3.8</t>
        </is>
      </c>
      <c r="B24" s="40" t="inlineStr">
        <is>
          <t>V1 - Encoding and Sanitization</t>
        </is>
      </c>
      <c r="C24" s="40" t="inlineStr">
        <is>
          <t>V1.3 - Sanitization</t>
        </is>
      </c>
      <c r="D24" s="42" t="n">
        <v>2</v>
      </c>
      <c r="E24" s="40" t="inlineStr">
        <is>
          <t>Verify that the application appropriately sanitizes untrusted input before use in Java Naming and Directory Interface (JNDI) queries and that JNDI is configured securely to prevent JNDI injection attacks.</t>
        </is>
      </c>
      <c r="F24" s="40" t="inlineStr">
        <is>
          <t>Always</t>
        </is>
      </c>
      <c r="G24" s="42" t="inlineStr">
        <is>
          <t>TRUE</t>
        </is>
      </c>
      <c r="H24" s="43">
        <f>IF(AND(TRUE(),D24&lt;=TARGET_LEVEL_NUM),"Applicable","N/A")</f>
        <v/>
      </c>
      <c r="I24" s="42" t="inlineStr">
        <is>
          <t>HB-INJ-02</t>
        </is>
      </c>
      <c r="J24" s="42" t="n"/>
      <c r="K24" s="43">
        <f>IF($I24="Excluded","Excluded",IF(H24="N/A","N/A",IFERROR(INDEX(BL_COVERAGE,MATCH($I24,BL_IDS,0))&amp;"","Mapping error")))</f>
        <v/>
      </c>
    </row>
    <row r="25" ht="39.75" customHeight="1" s="19">
      <c r="A25" s="42" t="inlineStr">
        <is>
          <t>V1.3.9</t>
        </is>
      </c>
      <c r="B25" s="40" t="inlineStr">
        <is>
          <t>V1 - Encoding and Sanitization</t>
        </is>
      </c>
      <c r="C25" s="40" t="inlineStr">
        <is>
          <t>V1.3 - Sanitization</t>
        </is>
      </c>
      <c r="D25" s="42" t="n">
        <v>2</v>
      </c>
      <c r="E25" s="40" t="inlineStr">
        <is>
          <t>Verify that the application sanitizes content before it is sent to memcache to prevent injection attacks.</t>
        </is>
      </c>
      <c r="F25" s="40" t="inlineStr">
        <is>
          <t>Always</t>
        </is>
      </c>
      <c r="G25" s="42" t="inlineStr">
        <is>
          <t>TRUE</t>
        </is>
      </c>
      <c r="H25" s="43">
        <f>IF(AND(TRUE(),D25&lt;=TARGET_LEVEL_NUM),"Applicable","N/A")</f>
        <v/>
      </c>
      <c r="I25" s="42" t="inlineStr">
        <is>
          <t>HB-INJ-02</t>
        </is>
      </c>
      <c r="J25" s="42" t="n"/>
      <c r="K25" s="43">
        <f>IF($I25="Excluded","Excluded",IF(H25="N/A","N/A",IFERROR(INDEX(BL_COVERAGE,MATCH($I25,BL_IDS,0))&amp;"","Mapping error")))</f>
        <v/>
      </c>
    </row>
    <row r="26" ht="39.75" customHeight="1" s="19">
      <c r="A26" s="42" t="inlineStr">
        <is>
          <t>V1.3.10</t>
        </is>
      </c>
      <c r="B26" s="40" t="inlineStr">
        <is>
          <t>V1 - Encoding and Sanitization</t>
        </is>
      </c>
      <c r="C26" s="40" t="inlineStr">
        <is>
          <t>V1.3 - Sanitization</t>
        </is>
      </c>
      <c r="D26" s="42" t="n">
        <v>2</v>
      </c>
      <c r="E26" s="40" t="inlineStr">
        <is>
          <t>Verify that format strings which might resolve in an unexpected or malicious way when used are sanitized before being processed.</t>
        </is>
      </c>
      <c r="F26" s="40" t="inlineStr">
        <is>
          <t>Always</t>
        </is>
      </c>
      <c r="G26" s="42" t="inlineStr">
        <is>
          <t>TRUE</t>
        </is>
      </c>
      <c r="H26" s="43">
        <f>IF(AND(TRUE(),D26&lt;=TARGET_LEVEL_NUM),"Applicable","N/A")</f>
        <v/>
      </c>
      <c r="I26" s="42" t="inlineStr">
        <is>
          <t>HB-INJ-03</t>
        </is>
      </c>
      <c r="J26" s="42" t="n"/>
      <c r="K26" s="43">
        <f>IF($I26="Excluded","Excluded",IF(H26="N/A","N/A",IFERROR(INDEX(BL_COVERAGE,MATCH($I26,BL_IDS,0))&amp;"","Mapping error")))</f>
        <v/>
      </c>
    </row>
    <row r="27" ht="39.75" customHeight="1" s="19">
      <c r="A27" s="42" t="inlineStr">
        <is>
          <t>V1.3.11</t>
        </is>
      </c>
      <c r="B27" s="40" t="inlineStr">
        <is>
          <t>V1 - Encoding and Sanitization</t>
        </is>
      </c>
      <c r="C27" s="40" t="inlineStr">
        <is>
          <t>V1.3 - Sanitization</t>
        </is>
      </c>
      <c r="D27" s="42" t="n">
        <v>2</v>
      </c>
      <c r="E27" s="40" t="inlineStr">
        <is>
          <t>Verify that the application sanitizes user input before passing to mail systems to protect against SMTP or IMAP injection.</t>
        </is>
      </c>
      <c r="F27" s="40" t="inlineStr">
        <is>
          <t>Always</t>
        </is>
      </c>
      <c r="G27" s="42" t="inlineStr">
        <is>
          <t>TRUE</t>
        </is>
      </c>
      <c r="H27" s="43">
        <f>IF(AND(TRUE(),D27&lt;=TARGET_LEVEL_NUM),"Applicable","N/A")</f>
        <v/>
      </c>
      <c r="I27" s="42" t="inlineStr">
        <is>
          <t>HB-INJ-02</t>
        </is>
      </c>
      <c r="J27" s="42" t="n"/>
      <c r="K27" s="43">
        <f>IF($I27="Excluded","Excluded",IF(H27="N/A","N/A",IFERROR(INDEX(BL_COVERAGE,MATCH($I27,BL_IDS,0))&amp;"","Mapping error")))</f>
        <v/>
      </c>
    </row>
    <row r="28" ht="39.75" customHeight="1" s="19">
      <c r="A28" s="42" t="inlineStr">
        <is>
          <t>V1.3.12</t>
        </is>
      </c>
      <c r="B28" s="40" t="inlineStr">
        <is>
          <t>V1 - Encoding and Sanitization</t>
        </is>
      </c>
      <c r="C28" s="40" t="inlineStr">
        <is>
          <t>V1.3 - Sanitization</t>
        </is>
      </c>
      <c r="D28" s="42" t="n">
        <v>3</v>
      </c>
      <c r="E28" s="40" t="inlineStr">
        <is>
          <t>Verify that regular expressions are free from elements causing exponential backtracking, and ensure untrusted input is sanitized to mitigate ReDoS or Runaway Regex attacks.</t>
        </is>
      </c>
      <c r="F28" s="40" t="inlineStr">
        <is>
          <t>Always</t>
        </is>
      </c>
      <c r="G28" s="42" t="inlineStr">
        <is>
          <t>TRUE</t>
        </is>
      </c>
      <c r="H28" s="43">
        <f>IF(AND(TRUE(),D28&lt;=TARGET_LEVEL_NUM),"Applicable","N/A")</f>
        <v/>
      </c>
      <c r="I28" s="42" t="inlineStr">
        <is>
          <t>HB-INJ-03</t>
        </is>
      </c>
      <c r="J28" s="42" t="n"/>
      <c r="K28" s="43">
        <f>IF($I28="Excluded","Excluded",IF(H28="N/A","N/A",IFERROR(INDEX(BL_COVERAGE,MATCH($I28,BL_IDS,0))&amp;"","Mapping error")))</f>
        <v/>
      </c>
    </row>
    <row r="29" ht="39.75" customHeight="1" s="19">
      <c r="A29" s="42" t="inlineStr">
        <is>
          <t>V1.4.1</t>
        </is>
      </c>
      <c r="B29" s="40" t="inlineStr">
        <is>
          <t>V1 - Encoding and Sanitization</t>
        </is>
      </c>
      <c r="C29" s="40" t="inlineStr">
        <is>
          <t>V1.4 - Memory, String, and Unmanaged Code</t>
        </is>
      </c>
      <c r="D29" s="42" t="n">
        <v>2</v>
      </c>
      <c r="E29" s="40" t="inlineStr">
        <is>
          <t>Verify that the application uses memory-safe string, safer memory copy and pointer arithmetic to detect or prevent stack, buffer, or heap overflows.</t>
        </is>
      </c>
      <c r="F29" s="40" t="inlineStr">
        <is>
          <t>Always</t>
        </is>
      </c>
      <c r="G29" s="42" t="inlineStr">
        <is>
          <t>TRUE</t>
        </is>
      </c>
      <c r="H29" s="43">
        <f>IF(AND(TRUE(),D29&lt;=TARGET_LEVEL_NUM),"Applicable","N/A")</f>
        <v/>
      </c>
      <c r="I29" s="42" t="inlineStr">
        <is>
          <t>HB-CODE-01</t>
        </is>
      </c>
      <c r="J29" s="42" t="n"/>
      <c r="K29" s="43">
        <f>IF($I29="Excluded","Excluded",IF(H29="N/A","N/A",IFERROR(INDEX(BL_COVERAGE,MATCH($I29,BL_IDS,0))&amp;"","Mapping error")))</f>
        <v/>
      </c>
    </row>
    <row r="30" ht="39.75" customHeight="1" s="19">
      <c r="A30" s="42" t="inlineStr">
        <is>
          <t>V1.4.2</t>
        </is>
      </c>
      <c r="B30" s="40" t="inlineStr">
        <is>
          <t>V1 - Encoding and Sanitization</t>
        </is>
      </c>
      <c r="C30" s="40" t="inlineStr">
        <is>
          <t>V1.4 - Memory, String, and Unmanaged Code</t>
        </is>
      </c>
      <c r="D30" s="42" t="n">
        <v>2</v>
      </c>
      <c r="E30" s="40" t="inlineStr">
        <is>
          <t>Verify that sign, range, and input validation techniques are used to prevent integer overflows.</t>
        </is>
      </c>
      <c r="F30" s="40" t="inlineStr">
        <is>
          <t>Always</t>
        </is>
      </c>
      <c r="G30" s="42" t="inlineStr">
        <is>
          <t>TRUE</t>
        </is>
      </c>
      <c r="H30" s="43">
        <f>IF(AND(TRUE(),D30&lt;=TARGET_LEVEL_NUM),"Applicable","N/A")</f>
        <v/>
      </c>
      <c r="I30" s="42" t="inlineStr">
        <is>
          <t>HB-CODE-01</t>
        </is>
      </c>
      <c r="J30" s="42" t="n"/>
      <c r="K30" s="43">
        <f>IF($I30="Excluded","Excluded",IF(H30="N/A","N/A",IFERROR(INDEX(BL_COVERAGE,MATCH($I30,BL_IDS,0))&amp;"","Mapping error")))</f>
        <v/>
      </c>
    </row>
    <row r="31" ht="39.75" customHeight="1" s="19">
      <c r="A31" s="42" t="inlineStr">
        <is>
          <t>V1.4.3</t>
        </is>
      </c>
      <c r="B31" s="40" t="inlineStr">
        <is>
          <t>V1 - Encoding and Sanitization</t>
        </is>
      </c>
      <c r="C31" s="40" t="inlineStr">
        <is>
          <t>V1.4 - Memory, String, and Unmanaged Code</t>
        </is>
      </c>
      <c r="D31" s="42" t="n">
        <v>2</v>
      </c>
      <c r="E31" s="40" t="inlineStr">
        <is>
          <t>Verify that dynamically allocated memory and resources are released, and that references or pointers to freed memory are removed or set to null to prevent dangling pointers and use-after-free vulnerabilities.</t>
        </is>
      </c>
      <c r="F31" s="40" t="inlineStr">
        <is>
          <t>Always</t>
        </is>
      </c>
      <c r="G31" s="42" t="inlineStr">
        <is>
          <t>TRUE</t>
        </is>
      </c>
      <c r="H31" s="43">
        <f>IF(AND(TRUE(),D31&lt;=TARGET_LEVEL_NUM),"Applicable","N/A")</f>
        <v/>
      </c>
      <c r="I31" s="42" t="inlineStr">
        <is>
          <t>HB-CODE-01</t>
        </is>
      </c>
      <c r="J31" s="42" t="n"/>
      <c r="K31" s="43">
        <f>IF($I31="Excluded","Excluded",IF(H31="N/A","N/A",IFERROR(INDEX(BL_COVERAGE,MATCH($I31,BL_IDS,0))&amp;"","Mapping error")))</f>
        <v/>
      </c>
    </row>
    <row r="32" ht="39.75" customHeight="1" s="19">
      <c r="A32" s="42" t="inlineStr">
        <is>
          <t>V1.5.1</t>
        </is>
      </c>
      <c r="B32" s="40" t="inlineStr">
        <is>
          <t>V1 - Encoding and Sanitization</t>
        </is>
      </c>
      <c r="C32" s="40" t="inlineStr">
        <is>
          <t>V1.5 - Safe Deserialization</t>
        </is>
      </c>
      <c r="D32" s="42" t="n">
        <v>1</v>
      </c>
      <c r="E32" s="40" t="inlineStr">
        <is>
          <t>Verify that the application configures XML parsers to use a restrictive configuration and that unsafe features such as resolving external entities are disabled to prevent XML eXternal Entity (XXE) attacks.</t>
        </is>
      </c>
      <c r="F32" s="40" t="inlineStr">
        <is>
          <t>Always</t>
        </is>
      </c>
      <c r="G32" s="42" t="inlineStr">
        <is>
          <t>TRUE</t>
        </is>
      </c>
      <c r="H32" s="43">
        <f>IF(AND(TRUE(),D32&lt;=TARGET_LEVEL_NUM),"Applicable","N/A")</f>
        <v/>
      </c>
      <c r="I32" s="42" t="inlineStr">
        <is>
          <t>HB-INJ-05</t>
        </is>
      </c>
      <c r="J32" s="42" t="n"/>
      <c r="K32" s="43">
        <f>IF($I32="Excluded","Excluded",IF(H32="N/A","N/A",IFERROR(INDEX(BL_COVERAGE,MATCH($I32,BL_IDS,0))&amp;"","Mapping error")))</f>
        <v/>
      </c>
    </row>
    <row r="33" ht="39.75" customHeight="1" s="19">
      <c r="A33" s="42" t="inlineStr">
        <is>
          <t>V1.5.2</t>
        </is>
      </c>
      <c r="B33" s="40" t="inlineStr">
        <is>
          <t>V1 - Encoding and Sanitization</t>
        </is>
      </c>
      <c r="C33" s="40" t="inlineStr">
        <is>
          <t>V1.5 - Safe Deserialization</t>
        </is>
      </c>
      <c r="D33" s="42" t="n">
        <v>2</v>
      </c>
      <c r="E33" s="40"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F33" s="40" t="inlineStr">
        <is>
          <t>Always</t>
        </is>
      </c>
      <c r="G33" s="42" t="inlineStr">
        <is>
          <t>TRUE</t>
        </is>
      </c>
      <c r="H33" s="43">
        <f>IF(AND(TRUE(),D33&lt;=TARGET_LEVEL_NUM),"Applicable","N/A")</f>
        <v/>
      </c>
      <c r="I33" s="42" t="inlineStr">
        <is>
          <t>HB-INJ-05</t>
        </is>
      </c>
      <c r="J33" s="42" t="n"/>
      <c r="K33" s="43">
        <f>IF($I33="Excluded","Excluded",IF(H33="N/A","N/A",IFERROR(INDEX(BL_COVERAGE,MATCH($I33,BL_IDS,0))&amp;"","Mapping error")))</f>
        <v/>
      </c>
    </row>
    <row r="34" ht="39.75" customHeight="1" s="19">
      <c r="A34" s="42" t="inlineStr">
        <is>
          <t>V1.5.3</t>
        </is>
      </c>
      <c r="B34" s="40" t="inlineStr">
        <is>
          <t>V1 - Encoding and Sanitization</t>
        </is>
      </c>
      <c r="C34" s="40" t="inlineStr">
        <is>
          <t>V1.5 - Safe Deserialization</t>
        </is>
      </c>
      <c r="D34" s="42" t="n">
        <v>3</v>
      </c>
      <c r="E34" s="40"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F34" s="40" t="inlineStr">
        <is>
          <t>Always</t>
        </is>
      </c>
      <c r="G34" s="42" t="inlineStr">
        <is>
          <t>TRUE</t>
        </is>
      </c>
      <c r="H34" s="43">
        <f>IF(AND(TRUE(),D34&lt;=TARGET_LEVEL_NUM),"Applicable","N/A")</f>
        <v/>
      </c>
      <c r="I34" s="42" t="inlineStr">
        <is>
          <t>HB-INJ-05</t>
        </is>
      </c>
      <c r="J34" s="42" t="n"/>
      <c r="K34" s="43">
        <f>IF($I34="Excluded","Excluded",IF(H34="N/A","N/A",IFERROR(INDEX(BL_COVERAGE,MATCH($I34,BL_IDS,0))&amp;"","Mapping error")))</f>
        <v/>
      </c>
    </row>
    <row r="35" ht="39.75" customHeight="1" s="19">
      <c r="A35" s="42" t="inlineStr">
        <is>
          <t>V2.1.1</t>
        </is>
      </c>
      <c r="B35" s="40" t="inlineStr">
        <is>
          <t>V2 - Validation and Business Logic</t>
        </is>
      </c>
      <c r="C35" s="40" t="inlineStr">
        <is>
          <t>V2.1 - Validation and Business Logic Documentation</t>
        </is>
      </c>
      <c r="D35" s="42" t="n">
        <v>1</v>
      </c>
      <c r="E35" s="40"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F35" s="40" t="inlineStr">
        <is>
          <t>Always</t>
        </is>
      </c>
      <c r="G35" s="42" t="inlineStr">
        <is>
          <t>TRUE</t>
        </is>
      </c>
      <c r="H35" s="43">
        <f>IF(AND(TRUE(),D35&lt;=TARGET_LEVEL_NUM),"Applicable","N/A")</f>
        <v/>
      </c>
      <c r="I35" s="42" t="inlineStr">
        <is>
          <t>HB-VAL-01</t>
        </is>
      </c>
      <c r="J35" s="42" t="n"/>
      <c r="K35" s="43">
        <f>IF($I35="Excluded","Excluded",IF(H35="N/A","N/A",IFERROR(INDEX(BL_COVERAGE,MATCH($I35,BL_IDS,0))&amp;"","Mapping error")))</f>
        <v/>
      </c>
    </row>
    <row r="36" ht="39.75" customHeight="1" s="19">
      <c r="A36" s="42" t="inlineStr">
        <is>
          <t>V2.1.2</t>
        </is>
      </c>
      <c r="B36" s="40" t="inlineStr">
        <is>
          <t>V2 - Validation and Business Logic</t>
        </is>
      </c>
      <c r="C36" s="40" t="inlineStr">
        <is>
          <t>V2.1 - Validation and Business Logic Documentation</t>
        </is>
      </c>
      <c r="D36" s="42" t="n">
        <v>2</v>
      </c>
      <c r="E36" s="40" t="inlineStr">
        <is>
          <t>Verify that the application's documentation defines how to validate the logical and contextual consistency of combined data items, such as checking that suburb and ZIP code match.</t>
        </is>
      </c>
      <c r="F36" s="40" t="inlineStr">
        <is>
          <t>Always</t>
        </is>
      </c>
      <c r="G36" s="42" t="inlineStr">
        <is>
          <t>TRUE</t>
        </is>
      </c>
      <c r="H36" s="43">
        <f>IF(AND(TRUE(),D36&lt;=TARGET_LEVEL_NUM),"Applicable","N/A")</f>
        <v/>
      </c>
      <c r="I36" s="42" t="inlineStr">
        <is>
          <t>HB-VAL-01</t>
        </is>
      </c>
      <c r="J36" s="42" t="n"/>
      <c r="K36" s="43">
        <f>IF($I36="Excluded","Excluded",IF(H36="N/A","N/A",IFERROR(INDEX(BL_COVERAGE,MATCH($I36,BL_IDS,0))&amp;"","Mapping error")))</f>
        <v/>
      </c>
    </row>
    <row r="37" ht="39.75" customHeight="1" s="19">
      <c r="A37" s="42" t="inlineStr">
        <is>
          <t>V2.1.3</t>
        </is>
      </c>
      <c r="B37" s="40" t="inlineStr">
        <is>
          <t>V2 - Validation and Business Logic</t>
        </is>
      </c>
      <c r="C37" s="40" t="inlineStr">
        <is>
          <t>V2.1 - Validation and Business Logic Documentation</t>
        </is>
      </c>
      <c r="D37" s="42" t="n">
        <v>2</v>
      </c>
      <c r="E37" s="40" t="inlineStr">
        <is>
          <t>Verify that expectations for business logic limits and validations are documented, including both per-user and globally across the application.</t>
        </is>
      </c>
      <c r="F37" s="40" t="inlineStr">
        <is>
          <t>Always</t>
        </is>
      </c>
      <c r="G37" s="42" t="inlineStr">
        <is>
          <t>TRUE</t>
        </is>
      </c>
      <c r="H37" s="43">
        <f>IF(AND(TRUE(),D37&lt;=TARGET_LEVEL_NUM),"Applicable","N/A")</f>
        <v/>
      </c>
      <c r="I37" s="42" t="inlineStr">
        <is>
          <t>HB-BIZ-01</t>
        </is>
      </c>
      <c r="J37" s="42" t="n"/>
      <c r="K37" s="43">
        <f>IF($I37="Excluded","Excluded",IF(H37="N/A","N/A",IFERROR(INDEX(BL_COVERAGE,MATCH($I37,BL_IDS,0))&amp;"","Mapping error")))</f>
        <v/>
      </c>
    </row>
    <row r="38" ht="39.75" customHeight="1" s="19">
      <c r="A38" s="42" t="inlineStr">
        <is>
          <t>V2.2.1</t>
        </is>
      </c>
      <c r="B38" s="40" t="inlineStr">
        <is>
          <t>V2 - Validation and Business Logic</t>
        </is>
      </c>
      <c r="C38" s="40" t="inlineStr">
        <is>
          <t>V2.2 - Input Validation</t>
        </is>
      </c>
      <c r="D38" s="42" t="n">
        <v>1</v>
      </c>
      <c r="E38" s="40"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F38" s="40" t="inlineStr">
        <is>
          <t>Always</t>
        </is>
      </c>
      <c r="G38" s="42" t="inlineStr">
        <is>
          <t>TRUE</t>
        </is>
      </c>
      <c r="H38" s="43">
        <f>IF(AND(TRUE(),D38&lt;=TARGET_LEVEL_NUM),"Applicable","N/A")</f>
        <v/>
      </c>
      <c r="I38" s="42" t="inlineStr">
        <is>
          <t>HB-VAL-01</t>
        </is>
      </c>
      <c r="J38" s="42" t="n"/>
      <c r="K38" s="43">
        <f>IF($I38="Excluded","Excluded",IF(H38="N/A","N/A",IFERROR(INDEX(BL_COVERAGE,MATCH($I38,BL_IDS,0))&amp;"","Mapping error")))</f>
        <v/>
      </c>
    </row>
    <row r="39" ht="39.75" customHeight="1" s="19">
      <c r="A39" s="42" t="inlineStr">
        <is>
          <t>V2.2.2</t>
        </is>
      </c>
      <c r="B39" s="40" t="inlineStr">
        <is>
          <t>V2 - Validation and Business Logic</t>
        </is>
      </c>
      <c r="C39" s="40" t="inlineStr">
        <is>
          <t>V2.2 - Input Validation</t>
        </is>
      </c>
      <c r="D39" s="42" t="n">
        <v>1</v>
      </c>
      <c r="E39" s="40" t="inlineStr">
        <is>
          <t>Verify that the application is designed to enforce input validation at a trusted service layer. While client-side validation improves usability and should be encouraged, it must not be relied upon as a security control.</t>
        </is>
      </c>
      <c r="F39" s="40" t="inlineStr">
        <is>
          <t>Always</t>
        </is>
      </c>
      <c r="G39" s="42" t="inlineStr">
        <is>
          <t>TRUE</t>
        </is>
      </c>
      <c r="H39" s="43">
        <f>IF(AND(TRUE(),D39&lt;=TARGET_LEVEL_NUM),"Applicable","N/A")</f>
        <v/>
      </c>
      <c r="I39" s="42" t="inlineStr">
        <is>
          <t>HB-VAL-01</t>
        </is>
      </c>
      <c r="J39" s="42" t="n"/>
      <c r="K39" s="43">
        <f>IF($I39="Excluded","Excluded",IF(H39="N/A","N/A",IFERROR(INDEX(BL_COVERAGE,MATCH($I39,BL_IDS,0))&amp;"","Mapping error")))</f>
        <v/>
      </c>
    </row>
    <row r="40" ht="39.75" customHeight="1" s="19">
      <c r="A40" s="42" t="inlineStr">
        <is>
          <t>V2.2.3</t>
        </is>
      </c>
      <c r="B40" s="40" t="inlineStr">
        <is>
          <t>V2 - Validation and Business Logic</t>
        </is>
      </c>
      <c r="C40" s="40" t="inlineStr">
        <is>
          <t>V2.2 - Input Validation</t>
        </is>
      </c>
      <c r="D40" s="42" t="n">
        <v>2</v>
      </c>
      <c r="E40" s="40" t="inlineStr">
        <is>
          <t>Verify that the application ensures that combinations of related data items are reasonable according to the pre-defined rules.</t>
        </is>
      </c>
      <c r="F40" s="40" t="inlineStr">
        <is>
          <t>Always</t>
        </is>
      </c>
      <c r="G40" s="42" t="inlineStr">
        <is>
          <t>TRUE</t>
        </is>
      </c>
      <c r="H40" s="43">
        <f>IF(AND(TRUE(),D40&lt;=TARGET_LEVEL_NUM),"Applicable","N/A")</f>
        <v/>
      </c>
      <c r="I40" s="42" t="inlineStr">
        <is>
          <t>HB-VAL-01</t>
        </is>
      </c>
      <c r="J40" s="42" t="n"/>
      <c r="K40" s="43">
        <f>IF($I40="Excluded","Excluded",IF(H40="N/A","N/A",IFERROR(INDEX(BL_COVERAGE,MATCH($I40,BL_IDS,0))&amp;"","Mapping error")))</f>
        <v/>
      </c>
    </row>
    <row r="41" ht="39.75" customHeight="1" s="19">
      <c r="A41" s="42" t="inlineStr">
        <is>
          <t>V2.3.1</t>
        </is>
      </c>
      <c r="B41" s="40" t="inlineStr">
        <is>
          <t>V2 - Validation and Business Logic</t>
        </is>
      </c>
      <c r="C41" s="40" t="inlineStr">
        <is>
          <t>V2.3 - Business Logic Security</t>
        </is>
      </c>
      <c r="D41" s="42" t="n">
        <v>1</v>
      </c>
      <c r="E41" s="40" t="inlineStr">
        <is>
          <t>Verify that the application will only process business logic flows for the same user in the expected sequential step order and without skipping steps.</t>
        </is>
      </c>
      <c r="F41" s="40" t="inlineStr">
        <is>
          <t>Always</t>
        </is>
      </c>
      <c r="G41" s="42" t="inlineStr">
        <is>
          <t>TRUE</t>
        </is>
      </c>
      <c r="H41" s="43">
        <f>IF(AND(TRUE(),D41&lt;=TARGET_LEVEL_NUM),"Applicable","N/A")</f>
        <v/>
      </c>
      <c r="I41" s="42" t="inlineStr">
        <is>
          <t>HB-BIZ-01</t>
        </is>
      </c>
      <c r="J41" s="42" t="n"/>
      <c r="K41" s="43">
        <f>IF($I41="Excluded","Excluded",IF(H41="N/A","N/A",IFERROR(INDEX(BL_COVERAGE,MATCH($I41,BL_IDS,0))&amp;"","Mapping error")))</f>
        <v/>
      </c>
    </row>
    <row r="42" ht="39.75" customHeight="1" s="19">
      <c r="A42" s="42" t="inlineStr">
        <is>
          <t>V2.3.2</t>
        </is>
      </c>
      <c r="B42" s="40" t="inlineStr">
        <is>
          <t>V2 - Validation and Business Logic</t>
        </is>
      </c>
      <c r="C42" s="40" t="inlineStr">
        <is>
          <t>V2.3 - Business Logic Security</t>
        </is>
      </c>
      <c r="D42" s="42" t="n">
        <v>2</v>
      </c>
      <c r="E42" s="40" t="inlineStr">
        <is>
          <t>Verify that business logic limits are implemented per the application's documentation to avoid business logic flaws being exploited.</t>
        </is>
      </c>
      <c r="F42" s="40" t="inlineStr">
        <is>
          <t>Always</t>
        </is>
      </c>
      <c r="G42" s="42" t="inlineStr">
        <is>
          <t>TRUE</t>
        </is>
      </c>
      <c r="H42" s="43">
        <f>IF(AND(TRUE(),D42&lt;=TARGET_LEVEL_NUM),"Applicable","N/A")</f>
        <v/>
      </c>
      <c r="I42" s="42" t="inlineStr">
        <is>
          <t>HB-BIZ-01</t>
        </is>
      </c>
      <c r="J42" s="42" t="n"/>
      <c r="K42" s="43">
        <f>IF($I42="Excluded","Excluded",IF(H42="N/A","N/A",IFERROR(INDEX(BL_COVERAGE,MATCH($I42,BL_IDS,0))&amp;"","Mapping error")))</f>
        <v/>
      </c>
    </row>
    <row r="43" ht="39.75" customHeight="1" s="19">
      <c r="A43" s="42" t="inlineStr">
        <is>
          <t>V2.3.3</t>
        </is>
      </c>
      <c r="B43" s="40" t="inlineStr">
        <is>
          <t>V2 - Validation and Business Logic</t>
        </is>
      </c>
      <c r="C43" s="40" t="inlineStr">
        <is>
          <t>V2.3 - Business Logic Security</t>
        </is>
      </c>
      <c r="D43" s="42" t="n">
        <v>2</v>
      </c>
      <c r="E43" s="40" t="inlineStr">
        <is>
          <t>Verify that transactions are being used at the business logic level such that either a business logic operation succeeds in its entirety or it is rolled back to the previous correct state.</t>
        </is>
      </c>
      <c r="F43" s="40" t="inlineStr">
        <is>
          <t>Always</t>
        </is>
      </c>
      <c r="G43" s="42" t="inlineStr">
        <is>
          <t>TRUE</t>
        </is>
      </c>
      <c r="H43" s="43">
        <f>IF(AND(TRUE(),D43&lt;=TARGET_LEVEL_NUM),"Applicable","N/A")</f>
        <v/>
      </c>
      <c r="I43" s="42" t="inlineStr">
        <is>
          <t>HB-BIZ-01</t>
        </is>
      </c>
      <c r="J43" s="42" t="n"/>
      <c r="K43" s="43">
        <f>IF($I43="Excluded","Excluded",IF(H43="N/A","N/A",IFERROR(INDEX(BL_COVERAGE,MATCH($I43,BL_IDS,0))&amp;"","Mapping error")))</f>
        <v/>
      </c>
    </row>
    <row r="44" ht="39.75" customHeight="1" s="19">
      <c r="A44" s="42" t="inlineStr">
        <is>
          <t>V2.3.4</t>
        </is>
      </c>
      <c r="B44" s="40" t="inlineStr">
        <is>
          <t>V2 - Validation and Business Logic</t>
        </is>
      </c>
      <c r="C44" s="40" t="inlineStr">
        <is>
          <t>V2.3 - Business Logic Security</t>
        </is>
      </c>
      <c r="D44" s="42" t="n">
        <v>2</v>
      </c>
      <c r="E44" s="40" t="inlineStr">
        <is>
          <t>Verify that business logic level locking mechanisms are used to ensure that limited quantity resources (such as theater seats or delivery slots) cannot be double-booked by manipulating the application's logic.</t>
        </is>
      </c>
      <c r="F44" s="40" t="inlineStr">
        <is>
          <t>Always</t>
        </is>
      </c>
      <c r="G44" s="42" t="inlineStr">
        <is>
          <t>TRUE</t>
        </is>
      </c>
      <c r="H44" s="43">
        <f>IF(AND(TRUE(),D44&lt;=TARGET_LEVEL_NUM),"Applicable","N/A")</f>
        <v/>
      </c>
      <c r="I44" s="42" t="inlineStr">
        <is>
          <t>HB-BIZ-01</t>
        </is>
      </c>
      <c r="J44" s="42" t="n"/>
      <c r="K44" s="43">
        <f>IF($I44="Excluded","Excluded",IF(H44="N/A","N/A",IFERROR(INDEX(BL_COVERAGE,MATCH($I44,BL_IDS,0))&amp;"","Mapping error")))</f>
        <v/>
      </c>
    </row>
    <row r="45" ht="39.75" customHeight="1" s="19">
      <c r="A45" s="42" t="inlineStr">
        <is>
          <t>V2.3.5</t>
        </is>
      </c>
      <c r="B45" s="40" t="inlineStr">
        <is>
          <t>V2 - Validation and Business Logic</t>
        </is>
      </c>
      <c r="C45" s="40" t="inlineStr">
        <is>
          <t>V2.3 - Business Logic Security</t>
        </is>
      </c>
      <c r="D45" s="42" t="n">
        <v>3</v>
      </c>
      <c r="E45" s="40"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F45" s="40" t="inlineStr">
        <is>
          <t>Always</t>
        </is>
      </c>
      <c r="G45" s="42" t="inlineStr">
        <is>
          <t>TRUE</t>
        </is>
      </c>
      <c r="H45" s="43">
        <f>IF(AND(TRUE(),D45&lt;=TARGET_LEVEL_NUM),"Applicable","N/A")</f>
        <v/>
      </c>
      <c r="I45" s="42" t="inlineStr">
        <is>
          <t>HB-BIZ-02</t>
        </is>
      </c>
      <c r="J45" s="42" t="n"/>
      <c r="K45" s="43">
        <f>IF($I45="Excluded","Excluded",IF(H45="N/A","N/A",IFERROR(INDEX(BL_COVERAGE,MATCH($I45,BL_IDS,0))&amp;"","Mapping error")))</f>
        <v/>
      </c>
    </row>
    <row r="46" ht="39.75" customHeight="1" s="19">
      <c r="A46" s="42" t="inlineStr">
        <is>
          <t>V2.4.1</t>
        </is>
      </c>
      <c r="B46" s="40" t="inlineStr">
        <is>
          <t>V2 - Validation and Business Logic</t>
        </is>
      </c>
      <c r="C46" s="40" t="inlineStr">
        <is>
          <t>V2.4 - Anti-automation</t>
        </is>
      </c>
      <c r="D46" s="42" t="n">
        <v>2</v>
      </c>
      <c r="E46" s="40" t="inlineStr">
        <is>
          <t>Verify that anti-automation controls are in place to protect against excessive calls to application functions that could lead to data exfiltration, garbage-data creation, quota exhaustion, rate-limit breaches, denial-of-service, or overuse of costly resources.</t>
        </is>
      </c>
      <c r="F46" s="40" t="inlineStr">
        <is>
          <t>Always</t>
        </is>
      </c>
      <c r="G46" s="42" t="inlineStr">
        <is>
          <t>TRUE</t>
        </is>
      </c>
      <c r="H46" s="43">
        <f>IF(AND(TRUE(),D46&lt;=TARGET_LEVEL_NUM),"Applicable","N/A")</f>
        <v/>
      </c>
      <c r="I46" s="42" t="inlineStr">
        <is>
          <t>HB-ABUSE-01</t>
        </is>
      </c>
      <c r="J46" s="42" t="n"/>
      <c r="K46" s="43">
        <f>IF($I46="Excluded","Excluded",IF(H46="N/A","N/A",IFERROR(INDEX(BL_COVERAGE,MATCH($I46,BL_IDS,0))&amp;"","Mapping error")))</f>
        <v/>
      </c>
    </row>
    <row r="47" ht="39.75" customHeight="1" s="19">
      <c r="A47" s="42" t="inlineStr">
        <is>
          <t>V2.4.2</t>
        </is>
      </c>
      <c r="B47" s="40" t="inlineStr">
        <is>
          <t>V2 - Validation and Business Logic</t>
        </is>
      </c>
      <c r="C47" s="40" t="inlineStr">
        <is>
          <t>V2.4 - Anti-automation</t>
        </is>
      </c>
      <c r="D47" s="42" t="n">
        <v>3</v>
      </c>
      <c r="E47" s="40" t="inlineStr">
        <is>
          <t>Verify that business logic flows require realistic human timing, preventing excessively rapid transaction submissions.</t>
        </is>
      </c>
      <c r="F47" s="40" t="inlineStr">
        <is>
          <t>Always</t>
        </is>
      </c>
      <c r="G47" s="42" t="inlineStr">
        <is>
          <t>TRUE</t>
        </is>
      </c>
      <c r="H47" s="43">
        <f>IF(AND(TRUE(),D47&lt;=TARGET_LEVEL_NUM),"Applicable","N/A")</f>
        <v/>
      </c>
      <c r="I47" s="42" t="inlineStr">
        <is>
          <t>HB-ABUSE-01</t>
        </is>
      </c>
      <c r="J47" s="42" t="n"/>
      <c r="K47" s="43">
        <f>IF($I47="Excluded","Excluded",IF(H47="N/A","N/A",IFERROR(INDEX(BL_COVERAGE,MATCH($I47,BL_IDS,0))&amp;"","Mapping error")))</f>
        <v/>
      </c>
    </row>
    <row r="48" ht="39.75" customHeight="1" s="19">
      <c r="A48" s="42" t="inlineStr">
        <is>
          <t>V3.1.1</t>
        </is>
      </c>
      <c r="B48" s="40" t="inlineStr">
        <is>
          <t>V3 - Web Frontend Security</t>
        </is>
      </c>
      <c r="C48" s="40" t="inlineStr">
        <is>
          <t>V3.1 - Web Frontend Security Documentation</t>
        </is>
      </c>
      <c r="D48" s="42" t="n">
        <v>3</v>
      </c>
      <c r="E48" s="40"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F48" s="40" t="inlineStr">
        <is>
          <t>If has SPA/client-side front end</t>
        </is>
      </c>
      <c r="G48" s="42" t="inlineStr">
        <is>
          <t>SPA_FRONTEND="Yes"</t>
        </is>
      </c>
      <c r="H48" s="43">
        <f>IF(AND(SPA_FRONTEND="Yes",D48&lt;=TARGET_LEVEL_NUM),"Applicable","N/A")</f>
        <v/>
      </c>
      <c r="I48" s="42" t="inlineStr">
        <is>
          <t>HB-WEB-05</t>
        </is>
      </c>
      <c r="J48" s="42" t="n"/>
      <c r="K48" s="43">
        <f>IF($I48="Excluded","Excluded",IF(H48="N/A","N/A",IFERROR(INDEX(BL_COVERAGE,MATCH($I48,BL_IDS,0))&amp;"","Mapping error")))</f>
        <v/>
      </c>
    </row>
    <row r="49" ht="39.75" customHeight="1" s="19">
      <c r="A49" s="42" t="inlineStr">
        <is>
          <t>V3.2.1</t>
        </is>
      </c>
      <c r="B49" s="40" t="inlineStr">
        <is>
          <t>V3 - Web Frontend Security</t>
        </is>
      </c>
      <c r="C49" s="40" t="inlineStr">
        <is>
          <t>V3.2 - Unintended Content Interpretation</t>
        </is>
      </c>
      <c r="D49" s="42" t="n">
        <v>1</v>
      </c>
      <c r="E49" s="40"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F49" s="40" t="inlineStr">
        <is>
          <t>If has SPA/client-side front end</t>
        </is>
      </c>
      <c r="G49" s="42" t="inlineStr">
        <is>
          <t>SPA_FRONTEND="Yes"</t>
        </is>
      </c>
      <c r="H49" s="43">
        <f>IF(AND(SPA_FRONTEND="Yes",D49&lt;=TARGET_LEVEL_NUM),"Applicable","N/A")</f>
        <v/>
      </c>
      <c r="I49" s="42" t="inlineStr">
        <is>
          <t>HB-WEB-01</t>
        </is>
      </c>
      <c r="J49" s="42" t="n"/>
      <c r="K49" s="43">
        <f>IF($I49="Excluded","Excluded",IF(H49="N/A","N/A",IFERROR(INDEX(BL_COVERAGE,MATCH($I49,BL_IDS,0))&amp;"","Mapping error")))</f>
        <v/>
      </c>
    </row>
    <row r="50" ht="39.75" customHeight="1" s="19">
      <c r="A50" s="42" t="inlineStr">
        <is>
          <t>V3.2.2</t>
        </is>
      </c>
      <c r="B50" s="40" t="inlineStr">
        <is>
          <t>V3 - Web Frontend Security</t>
        </is>
      </c>
      <c r="C50" s="40" t="inlineStr">
        <is>
          <t>V3.2 - Unintended Content Interpretation</t>
        </is>
      </c>
      <c r="D50" s="42" t="n">
        <v>1</v>
      </c>
      <c r="E50" s="40" t="inlineStr">
        <is>
          <t>Verify that content intended to be displayed as text, rather than rendered as HTML, is handled using safe rendering functions (such as createTextNode or textContent) to prevent unintended execution of content such as HTML or JavaScript.</t>
        </is>
      </c>
      <c r="F50" s="40" t="inlineStr">
        <is>
          <t>If has SPA/client-side front end</t>
        </is>
      </c>
      <c r="G50" s="42" t="inlineStr">
        <is>
          <t>SPA_FRONTEND="Yes"</t>
        </is>
      </c>
      <c r="H50" s="43">
        <f>IF(AND(SPA_FRONTEND="Yes",D50&lt;=TARGET_LEVEL_NUM),"Applicable","N/A")</f>
        <v/>
      </c>
      <c r="I50" s="42" t="inlineStr">
        <is>
          <t>HB-WEB-01</t>
        </is>
      </c>
      <c r="J50" s="42" t="n"/>
      <c r="K50" s="43">
        <f>IF($I50="Excluded","Excluded",IF(H50="N/A","N/A",IFERROR(INDEX(BL_COVERAGE,MATCH($I50,BL_IDS,0))&amp;"","Mapping error")))</f>
        <v/>
      </c>
    </row>
    <row r="51" ht="39.75" customHeight="1" s="19">
      <c r="A51" s="42" t="inlineStr">
        <is>
          <t>V3.2.3</t>
        </is>
      </c>
      <c r="B51" s="40" t="inlineStr">
        <is>
          <t>V3 - Web Frontend Security</t>
        </is>
      </c>
      <c r="C51" s="40" t="inlineStr">
        <is>
          <t>V3.2 - Unintended Content Interpretation</t>
        </is>
      </c>
      <c r="D51" s="42" t="n">
        <v>3</v>
      </c>
      <c r="E51" s="40" t="inlineStr">
        <is>
          <t>Verify that the application avoids DOM clobbering when using client-side JavaScript by employing explicit variable declarations, performing strict type checking, avoiding storing global variables on the document object, and implementing namespace isolation.</t>
        </is>
      </c>
      <c r="F51" s="40" t="inlineStr">
        <is>
          <t>If has SPA/client-side front end</t>
        </is>
      </c>
      <c r="G51" s="42" t="inlineStr">
        <is>
          <t>SPA_FRONTEND="Yes"</t>
        </is>
      </c>
      <c r="H51" s="43">
        <f>IF(AND(SPA_FRONTEND="Yes",D51&lt;=TARGET_LEVEL_NUM),"Applicable","N/A")</f>
        <v/>
      </c>
      <c r="I51" s="42" t="inlineStr">
        <is>
          <t>HB-WEB-01</t>
        </is>
      </c>
      <c r="J51" s="42" t="n"/>
      <c r="K51" s="43">
        <f>IF($I51="Excluded","Excluded",IF(H51="N/A","N/A",IFERROR(INDEX(BL_COVERAGE,MATCH($I51,BL_IDS,0))&amp;"","Mapping error")))</f>
        <v/>
      </c>
    </row>
    <row r="52" ht="39.75" customHeight="1" s="19">
      <c r="A52" s="42" t="inlineStr">
        <is>
          <t>V3.3.1</t>
        </is>
      </c>
      <c r="B52" s="40" t="inlineStr">
        <is>
          <t>V3 - Web Frontend Security</t>
        </is>
      </c>
      <c r="C52" s="40" t="inlineStr">
        <is>
          <t>V3.3 - Cookie Setup</t>
        </is>
      </c>
      <c r="D52" s="42" t="n">
        <v>1</v>
      </c>
      <c r="E52" s="40" t="inlineStr">
        <is>
          <t>Verify that cookies have the 'Secure' attribute set, and if the '\__Host-' prefix is not used for the cookie name, the '__Secure-' prefix must be used for the cookie name.</t>
        </is>
      </c>
      <c r="F52" s="40" t="inlineStr">
        <is>
          <t>If has SPA/client-side front end</t>
        </is>
      </c>
      <c r="G52" s="42" t="inlineStr">
        <is>
          <t>SPA_FRONTEND="Yes"</t>
        </is>
      </c>
      <c r="H52" s="43">
        <f>IF(AND(SPA_FRONTEND="Yes",D52&lt;=TARGET_LEVEL_NUM),"Applicable","N/A")</f>
        <v/>
      </c>
      <c r="I52" s="42" t="inlineStr">
        <is>
          <t>HB-WEB-02</t>
        </is>
      </c>
      <c r="J52" s="42" t="n"/>
      <c r="K52" s="43">
        <f>IF($I52="Excluded","Excluded",IF(H52="N/A","N/A",IFERROR(INDEX(BL_COVERAGE,MATCH($I52,BL_IDS,0))&amp;"","Mapping error")))</f>
        <v/>
      </c>
    </row>
    <row r="53" ht="39.75" customHeight="1" s="19">
      <c r="A53" s="42" t="inlineStr">
        <is>
          <t>V3.3.2</t>
        </is>
      </c>
      <c r="B53" s="40" t="inlineStr">
        <is>
          <t>V3 - Web Frontend Security</t>
        </is>
      </c>
      <c r="C53" s="40" t="inlineStr">
        <is>
          <t>V3.3 - Cookie Setup</t>
        </is>
      </c>
      <c r="D53" s="42" t="n">
        <v>2</v>
      </c>
      <c r="E53" s="40" t="inlineStr">
        <is>
          <t>Verify that each cookie's 'SameSite' attribute value is set according to the purpose of the cookie, to limit exposure to user interface redress attacks and browser-based request forgery attacks, commonly known as cross-site request forgery (CSRF).</t>
        </is>
      </c>
      <c r="F53" s="40" t="inlineStr">
        <is>
          <t>If has SPA/client-side front end</t>
        </is>
      </c>
      <c r="G53" s="42" t="inlineStr">
        <is>
          <t>SPA_FRONTEND="Yes"</t>
        </is>
      </c>
      <c r="H53" s="43">
        <f>IF(AND(SPA_FRONTEND="Yes",D53&lt;=TARGET_LEVEL_NUM),"Applicable","N/A")</f>
        <v/>
      </c>
      <c r="I53" s="42" t="inlineStr">
        <is>
          <t>HB-WEB-02</t>
        </is>
      </c>
      <c r="J53" s="42" t="n"/>
      <c r="K53" s="43">
        <f>IF($I53="Excluded","Excluded",IF(H53="N/A","N/A",IFERROR(INDEX(BL_COVERAGE,MATCH($I53,BL_IDS,0))&amp;"","Mapping error")))</f>
        <v/>
      </c>
    </row>
    <row r="54" ht="39.75" customHeight="1" s="19">
      <c r="A54" s="42" t="inlineStr">
        <is>
          <t>V3.3.3</t>
        </is>
      </c>
      <c r="B54" s="40" t="inlineStr">
        <is>
          <t>V3 - Web Frontend Security</t>
        </is>
      </c>
      <c r="C54" s="40" t="inlineStr">
        <is>
          <t>V3.3 - Cookie Setup</t>
        </is>
      </c>
      <c r="D54" s="42" t="n">
        <v>2</v>
      </c>
      <c r="E54" s="40" t="inlineStr">
        <is>
          <t>Verify that cookies have the '__Host-' prefix for the cookie name unless they are explicitly designed to be shared with other hosts.</t>
        </is>
      </c>
      <c r="F54" s="40" t="inlineStr">
        <is>
          <t>If has SPA/client-side front end</t>
        </is>
      </c>
      <c r="G54" s="42" t="inlineStr">
        <is>
          <t>SPA_FRONTEND="Yes"</t>
        </is>
      </c>
      <c r="H54" s="43">
        <f>IF(AND(SPA_FRONTEND="Yes",D54&lt;=TARGET_LEVEL_NUM),"Applicable","N/A")</f>
        <v/>
      </c>
      <c r="I54" s="42" t="inlineStr">
        <is>
          <t>HB-WEB-02</t>
        </is>
      </c>
      <c r="J54" s="42" t="n"/>
      <c r="K54" s="43">
        <f>IF($I54="Excluded","Excluded",IF(H54="N/A","N/A",IFERROR(INDEX(BL_COVERAGE,MATCH($I54,BL_IDS,0))&amp;"","Mapping error")))</f>
        <v/>
      </c>
    </row>
    <row r="55" ht="39.75" customHeight="1" s="19">
      <c r="A55" s="42" t="inlineStr">
        <is>
          <t>V3.3.4</t>
        </is>
      </c>
      <c r="B55" s="40" t="inlineStr">
        <is>
          <t>V3 - Web Frontend Security</t>
        </is>
      </c>
      <c r="C55" s="40" t="inlineStr">
        <is>
          <t>V3.3 - Cookie Setup</t>
        </is>
      </c>
      <c r="D55" s="42" t="n">
        <v>2</v>
      </c>
      <c r="E55" s="40"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F55" s="40" t="inlineStr">
        <is>
          <t>If has SPA/client-side front end</t>
        </is>
      </c>
      <c r="G55" s="42" t="inlineStr">
        <is>
          <t>SPA_FRONTEND="Yes"</t>
        </is>
      </c>
      <c r="H55" s="43">
        <f>IF(AND(SPA_FRONTEND="Yes",D55&lt;=TARGET_LEVEL_NUM),"Applicable","N/A")</f>
        <v/>
      </c>
      <c r="I55" s="42" t="inlineStr">
        <is>
          <t>HB-WEB-02</t>
        </is>
      </c>
      <c r="J55" s="42" t="n"/>
      <c r="K55" s="43">
        <f>IF($I55="Excluded","Excluded",IF(H55="N/A","N/A",IFERROR(INDEX(BL_COVERAGE,MATCH($I55,BL_IDS,0))&amp;"","Mapping error")))</f>
        <v/>
      </c>
    </row>
    <row r="56" ht="39.75" customHeight="1" s="19">
      <c r="A56" s="42" t="inlineStr">
        <is>
          <t>V3.3.5</t>
        </is>
      </c>
      <c r="B56" s="40" t="inlineStr">
        <is>
          <t>V3 - Web Frontend Security</t>
        </is>
      </c>
      <c r="C56" s="40" t="inlineStr">
        <is>
          <t>V3.3 - Cookie Setup</t>
        </is>
      </c>
      <c r="D56" s="42" t="n">
        <v>3</v>
      </c>
      <c r="E56" s="40"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F56" s="40" t="inlineStr">
        <is>
          <t>If has SPA/client-side front end</t>
        </is>
      </c>
      <c r="G56" s="42" t="inlineStr">
        <is>
          <t>SPA_FRONTEND="Yes"</t>
        </is>
      </c>
      <c r="H56" s="43">
        <f>IF(AND(SPA_FRONTEND="Yes",D56&lt;=TARGET_LEVEL_NUM),"Applicable","N/A")</f>
        <v/>
      </c>
      <c r="I56" s="42" t="inlineStr">
        <is>
          <t>Excluded</t>
        </is>
      </c>
      <c r="J56" s="42" t="inlineStr">
        <is>
          <t>Functional limit (cookie size), not a security control: an oversized cookie breaks the feature, it does not weaken security.</t>
        </is>
      </c>
      <c r="K56" s="43">
        <f>IF($I56="Excluded","Excluded",IF(H56="N/A","N/A",IFERROR(INDEX(BL_COVERAGE,MATCH($I56,BL_IDS,0))&amp;"","Mapping error")))</f>
        <v/>
      </c>
    </row>
    <row r="57" ht="39.75" customHeight="1" s="19">
      <c r="A57" s="42" t="inlineStr">
        <is>
          <t>V3.4.1</t>
        </is>
      </c>
      <c r="B57" s="40" t="inlineStr">
        <is>
          <t>V3 - Web Frontend Security</t>
        </is>
      </c>
      <c r="C57" s="40" t="inlineStr">
        <is>
          <t>V3.4 - Browser Security Mechanism Headers</t>
        </is>
      </c>
      <c r="D57" s="42" t="n">
        <v>1</v>
      </c>
      <c r="E57" s="40" t="inlineStr">
        <is>
          <t>Verify that a Strict-Transport-Security header field is included on all responses to enforce an HTTP Strict Transport Security (HSTS) policy. A maximum age of at least 1 year must be defined, and for L2 and up, the policy must apply to all subdomains as well.</t>
        </is>
      </c>
      <c r="F57" s="40" t="inlineStr">
        <is>
          <t>If has SPA/client-side front end</t>
        </is>
      </c>
      <c r="G57" s="42" t="inlineStr">
        <is>
          <t>SPA_FRONTEND="Yes"</t>
        </is>
      </c>
      <c r="H57" s="43">
        <f>IF(AND(SPA_FRONTEND="Yes",D57&lt;=TARGET_LEVEL_NUM),"Applicable","N/A")</f>
        <v/>
      </c>
      <c r="I57" s="42" t="inlineStr">
        <is>
          <t>HB-WEB-03</t>
        </is>
      </c>
      <c r="J57" s="42" t="n"/>
      <c r="K57" s="43">
        <f>IF($I57="Excluded","Excluded",IF(H57="N/A","N/A",IFERROR(INDEX(BL_COVERAGE,MATCH($I57,BL_IDS,0))&amp;"","Mapping error")))</f>
        <v/>
      </c>
    </row>
    <row r="58" ht="39.75" customHeight="1" s="19">
      <c r="A58" s="42" t="inlineStr">
        <is>
          <t>V3.4.2</t>
        </is>
      </c>
      <c r="B58" s="40" t="inlineStr">
        <is>
          <t>V3 - Web Frontend Security</t>
        </is>
      </c>
      <c r="C58" s="40" t="inlineStr">
        <is>
          <t>V3.4 - Browser Security Mechanism Headers</t>
        </is>
      </c>
      <c r="D58" s="42" t="n">
        <v>1</v>
      </c>
      <c r="E58" s="40"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F58" s="40" t="inlineStr">
        <is>
          <t>If has SPA/client-side front end</t>
        </is>
      </c>
      <c r="G58" s="42" t="inlineStr">
        <is>
          <t>SPA_FRONTEND="Yes"</t>
        </is>
      </c>
      <c r="H58" s="43">
        <f>IF(AND(SPA_FRONTEND="Yes",D58&lt;=TARGET_LEVEL_NUM),"Applicable","N/A")</f>
        <v/>
      </c>
      <c r="I58" s="42" t="inlineStr">
        <is>
          <t>HB-WEB-04</t>
        </is>
      </c>
      <c r="J58" s="42" t="n"/>
      <c r="K58" s="43">
        <f>IF($I58="Excluded","Excluded",IF(H58="N/A","N/A",IFERROR(INDEX(BL_COVERAGE,MATCH($I58,BL_IDS,0))&amp;"","Mapping error")))</f>
        <v/>
      </c>
    </row>
    <row r="59" ht="39.75" customHeight="1" s="19">
      <c r="A59" s="42" t="inlineStr">
        <is>
          <t>V3.4.3</t>
        </is>
      </c>
      <c r="B59" s="40" t="inlineStr">
        <is>
          <t>V3 - Web Frontend Security</t>
        </is>
      </c>
      <c r="C59" s="40" t="inlineStr">
        <is>
          <t>V3.4 - Browser Security Mechanism Headers</t>
        </is>
      </c>
      <c r="D59" s="42" t="n">
        <v>2</v>
      </c>
      <c r="E59" s="40"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F59" s="40" t="inlineStr">
        <is>
          <t>If has SPA/client-side front end</t>
        </is>
      </c>
      <c r="G59" s="42" t="inlineStr">
        <is>
          <t>SPA_FRONTEND="Yes"</t>
        </is>
      </c>
      <c r="H59" s="43">
        <f>IF(AND(SPA_FRONTEND="Yes",D59&lt;=TARGET_LEVEL_NUM),"Applicable","N/A")</f>
        <v/>
      </c>
      <c r="I59" s="42" t="inlineStr">
        <is>
          <t>HB-WEB-03</t>
        </is>
      </c>
      <c r="J59" s="42" t="n"/>
      <c r="K59" s="43">
        <f>IF($I59="Excluded","Excluded",IF(H59="N/A","N/A",IFERROR(INDEX(BL_COVERAGE,MATCH($I59,BL_IDS,0))&amp;"","Mapping error")))</f>
        <v/>
      </c>
    </row>
    <row r="60" ht="39.75" customHeight="1" s="19">
      <c r="A60" s="42" t="inlineStr">
        <is>
          <t>V3.4.4</t>
        </is>
      </c>
      <c r="B60" s="40" t="inlineStr">
        <is>
          <t>V3 - Web Frontend Security</t>
        </is>
      </c>
      <c r="C60" s="40" t="inlineStr">
        <is>
          <t>V3.4 - Browser Security Mechanism Headers</t>
        </is>
      </c>
      <c r="D60" s="42" t="n">
        <v>2</v>
      </c>
      <c r="E60" s="40"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F60" s="40" t="inlineStr">
        <is>
          <t>If has SPA/client-side front end</t>
        </is>
      </c>
      <c r="G60" s="42" t="inlineStr">
        <is>
          <t>SPA_FRONTEND="Yes"</t>
        </is>
      </c>
      <c r="H60" s="43">
        <f>IF(AND(SPA_FRONTEND="Yes",D60&lt;=TARGET_LEVEL_NUM),"Applicable","N/A")</f>
        <v/>
      </c>
      <c r="I60" s="42" t="inlineStr">
        <is>
          <t>HB-WEB-03</t>
        </is>
      </c>
      <c r="J60" s="42" t="n"/>
      <c r="K60" s="43">
        <f>IF($I60="Excluded","Excluded",IF(H60="N/A","N/A",IFERROR(INDEX(BL_COVERAGE,MATCH($I60,BL_IDS,0))&amp;"","Mapping error")))</f>
        <v/>
      </c>
    </row>
    <row r="61" ht="39.75" customHeight="1" s="19">
      <c r="A61" s="42" t="inlineStr">
        <is>
          <t>V3.4.5</t>
        </is>
      </c>
      <c r="B61" s="40" t="inlineStr">
        <is>
          <t>V3 - Web Frontend Security</t>
        </is>
      </c>
      <c r="C61" s="40" t="inlineStr">
        <is>
          <t>V3.4 - Browser Security Mechanism Headers</t>
        </is>
      </c>
      <c r="D61" s="42" t="n">
        <v>2</v>
      </c>
      <c r="E61" s="40"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F61" s="40" t="inlineStr">
        <is>
          <t>If has SPA/client-side front end</t>
        </is>
      </c>
      <c r="G61" s="42" t="inlineStr">
        <is>
          <t>SPA_FRONTEND="Yes"</t>
        </is>
      </c>
      <c r="H61" s="43">
        <f>IF(AND(SPA_FRONTEND="Yes",D61&lt;=TARGET_LEVEL_NUM),"Applicable","N/A")</f>
        <v/>
      </c>
      <c r="I61" s="42" t="inlineStr">
        <is>
          <t>HB-WEB-03</t>
        </is>
      </c>
      <c r="J61" s="42" t="n"/>
      <c r="K61" s="43">
        <f>IF($I61="Excluded","Excluded",IF(H61="N/A","N/A",IFERROR(INDEX(BL_COVERAGE,MATCH($I61,BL_IDS,0))&amp;"","Mapping error")))</f>
        <v/>
      </c>
    </row>
    <row r="62" ht="39.75" customHeight="1" s="19">
      <c r="A62" s="42" t="inlineStr">
        <is>
          <t>V3.4.6</t>
        </is>
      </c>
      <c r="B62" s="40" t="inlineStr">
        <is>
          <t>V3 - Web Frontend Security</t>
        </is>
      </c>
      <c r="C62" s="40" t="inlineStr">
        <is>
          <t>V3.4 - Browser Security Mechanism Headers</t>
        </is>
      </c>
      <c r="D62" s="42" t="n">
        <v>2</v>
      </c>
      <c r="E62" s="40"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F62" s="40" t="inlineStr">
        <is>
          <t>If has SPA/client-side front end</t>
        </is>
      </c>
      <c r="G62" s="42" t="inlineStr">
        <is>
          <t>SPA_FRONTEND="Yes"</t>
        </is>
      </c>
      <c r="H62" s="43">
        <f>IF(AND(SPA_FRONTEND="Yes",D62&lt;=TARGET_LEVEL_NUM),"Applicable","N/A")</f>
        <v/>
      </c>
      <c r="I62" s="42" t="inlineStr">
        <is>
          <t>HB-WEB-03</t>
        </is>
      </c>
      <c r="J62" s="42" t="n"/>
      <c r="K62" s="43">
        <f>IF($I62="Excluded","Excluded",IF(H62="N/A","N/A",IFERROR(INDEX(BL_COVERAGE,MATCH($I62,BL_IDS,0))&amp;"","Mapping error")))</f>
        <v/>
      </c>
    </row>
    <row r="63" ht="39.75" customHeight="1" s="19">
      <c r="A63" s="42" t="inlineStr">
        <is>
          <t>V3.4.7</t>
        </is>
      </c>
      <c r="B63" s="40" t="inlineStr">
        <is>
          <t>V3 - Web Frontend Security</t>
        </is>
      </c>
      <c r="C63" s="40" t="inlineStr">
        <is>
          <t>V3.4 - Browser Security Mechanism Headers</t>
        </is>
      </c>
      <c r="D63" s="42" t="n">
        <v>3</v>
      </c>
      <c r="E63" s="40" t="inlineStr">
        <is>
          <t>Verify that the Content-Security-Policy header field specifies a location to report violations.</t>
        </is>
      </c>
      <c r="F63" s="40" t="inlineStr">
        <is>
          <t>If has SPA/client-side front end</t>
        </is>
      </c>
      <c r="G63" s="42" t="inlineStr">
        <is>
          <t>SPA_FRONTEND="Yes"</t>
        </is>
      </c>
      <c r="H63" s="43">
        <f>IF(AND(SPA_FRONTEND="Yes",D63&lt;=TARGET_LEVEL_NUM),"Applicable","N/A")</f>
        <v/>
      </c>
      <c r="I63" s="42" t="inlineStr">
        <is>
          <t>HB-WEB-03</t>
        </is>
      </c>
      <c r="J63" s="42" t="n"/>
      <c r="K63" s="43">
        <f>IF($I63="Excluded","Excluded",IF(H63="N/A","N/A",IFERROR(INDEX(BL_COVERAGE,MATCH($I63,BL_IDS,0))&amp;"","Mapping error")))</f>
        <v/>
      </c>
    </row>
    <row r="64" ht="39.75" customHeight="1" s="19">
      <c r="A64" s="42" t="inlineStr">
        <is>
          <t>V3.4.8</t>
        </is>
      </c>
      <c r="B64" s="40" t="inlineStr">
        <is>
          <t>V3 - Web Frontend Security</t>
        </is>
      </c>
      <c r="C64" s="40" t="inlineStr">
        <is>
          <t>V3.4 - Browser Security Mechanism Headers</t>
        </is>
      </c>
      <c r="D64" s="42" t="n">
        <v>3</v>
      </c>
      <c r="E64" s="40"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F64" s="40" t="inlineStr">
        <is>
          <t>If has SPA/client-side front end</t>
        </is>
      </c>
      <c r="G64" s="42" t="inlineStr">
        <is>
          <t>SPA_FRONTEND="Yes"</t>
        </is>
      </c>
      <c r="H64" s="43">
        <f>IF(AND(SPA_FRONTEND="Yes",D64&lt;=TARGET_LEVEL_NUM),"Applicable","N/A")</f>
        <v/>
      </c>
      <c r="I64" s="42" t="inlineStr">
        <is>
          <t>HB-WEB-03</t>
        </is>
      </c>
      <c r="J64" s="42" t="n"/>
      <c r="K64" s="43">
        <f>IF($I64="Excluded","Excluded",IF(H64="N/A","N/A",IFERROR(INDEX(BL_COVERAGE,MATCH($I64,BL_IDS,0))&amp;"","Mapping error")))</f>
        <v/>
      </c>
    </row>
    <row r="65" ht="39.75" customHeight="1" s="19">
      <c r="A65" s="42" t="inlineStr">
        <is>
          <t>V3.5.1</t>
        </is>
      </c>
      <c r="B65" s="40" t="inlineStr">
        <is>
          <t>V3 - Web Frontend Security</t>
        </is>
      </c>
      <c r="C65" s="40" t="inlineStr">
        <is>
          <t>V3.5 - Browser Origin Separation</t>
        </is>
      </c>
      <c r="D65" s="42" t="n">
        <v>1</v>
      </c>
      <c r="E65" s="40"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F65" s="40" t="inlineStr">
        <is>
          <t>If has SPA/client-side front end</t>
        </is>
      </c>
      <c r="G65" s="42" t="inlineStr">
        <is>
          <t>SPA_FRONTEND="Yes"</t>
        </is>
      </c>
      <c r="H65" s="43">
        <f>IF(AND(SPA_FRONTEND="Yes",D65&lt;=TARGET_LEVEL_NUM),"Applicable","N/A")</f>
        <v/>
      </c>
      <c r="I65" s="42" t="inlineStr">
        <is>
          <t>HB-WEB-04</t>
        </is>
      </c>
      <c r="J65" s="42" t="n"/>
      <c r="K65" s="43">
        <f>IF($I65="Excluded","Excluded",IF(H65="N/A","N/A",IFERROR(INDEX(BL_COVERAGE,MATCH($I65,BL_IDS,0))&amp;"","Mapping error")))</f>
        <v/>
      </c>
    </row>
    <row r="66" ht="39.75" customHeight="1" s="19">
      <c r="A66" s="42" t="inlineStr">
        <is>
          <t>V3.5.2</t>
        </is>
      </c>
      <c r="B66" s="40" t="inlineStr">
        <is>
          <t>V3 - Web Frontend Security</t>
        </is>
      </c>
      <c r="C66" s="40" t="inlineStr">
        <is>
          <t>V3.5 - Browser Origin Separation</t>
        </is>
      </c>
      <c r="D66" s="42" t="n">
        <v>1</v>
      </c>
      <c r="E66" s="40"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F66" s="40" t="inlineStr">
        <is>
          <t>If has SPA/client-side front end</t>
        </is>
      </c>
      <c r="G66" s="42" t="inlineStr">
        <is>
          <t>SPA_FRONTEND="Yes"</t>
        </is>
      </c>
      <c r="H66" s="43">
        <f>IF(AND(SPA_FRONTEND="Yes",D66&lt;=TARGET_LEVEL_NUM),"Applicable","N/A")</f>
        <v/>
      </c>
      <c r="I66" s="42" t="inlineStr">
        <is>
          <t>HB-WEB-04</t>
        </is>
      </c>
      <c r="J66" s="42" t="n"/>
      <c r="K66" s="43">
        <f>IF($I66="Excluded","Excluded",IF(H66="N/A","N/A",IFERROR(INDEX(BL_COVERAGE,MATCH($I66,BL_IDS,0))&amp;"","Mapping error")))</f>
        <v/>
      </c>
    </row>
    <row r="67" ht="39.75" customHeight="1" s="19">
      <c r="A67" s="42" t="inlineStr">
        <is>
          <t>V3.5.3</t>
        </is>
      </c>
      <c r="B67" s="40" t="inlineStr">
        <is>
          <t>V3 - Web Frontend Security</t>
        </is>
      </c>
      <c r="C67" s="40" t="inlineStr">
        <is>
          <t>V3.5 - Browser Origin Separation</t>
        </is>
      </c>
      <c r="D67" s="42" t="n">
        <v>1</v>
      </c>
      <c r="E67" s="40"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F67" s="40" t="inlineStr">
        <is>
          <t>If has SPA/client-side front end</t>
        </is>
      </c>
      <c r="G67" s="42" t="inlineStr">
        <is>
          <t>SPA_FRONTEND="Yes"</t>
        </is>
      </c>
      <c r="H67" s="43">
        <f>IF(AND(SPA_FRONTEND="Yes",D67&lt;=TARGET_LEVEL_NUM),"Applicable","N/A")</f>
        <v/>
      </c>
      <c r="I67" s="42" t="inlineStr">
        <is>
          <t>HB-WEB-04</t>
        </is>
      </c>
      <c r="J67" s="42" t="n"/>
      <c r="K67" s="43">
        <f>IF($I67="Excluded","Excluded",IF(H67="N/A","N/A",IFERROR(INDEX(BL_COVERAGE,MATCH($I67,BL_IDS,0))&amp;"","Mapping error")))</f>
        <v/>
      </c>
    </row>
    <row r="68" ht="39.75" customHeight="1" s="19">
      <c r="A68" s="42" t="inlineStr">
        <is>
          <t>V3.5.4</t>
        </is>
      </c>
      <c r="B68" s="40" t="inlineStr">
        <is>
          <t>V3 - Web Frontend Security</t>
        </is>
      </c>
      <c r="C68" s="40" t="inlineStr">
        <is>
          <t>V3.5 - Browser Origin Separation</t>
        </is>
      </c>
      <c r="D68" s="42" t="n">
        <v>2</v>
      </c>
      <c r="E68" s="40"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F68" s="40" t="inlineStr">
        <is>
          <t>If has SPA/client-side front end</t>
        </is>
      </c>
      <c r="G68" s="42" t="inlineStr">
        <is>
          <t>SPA_FRONTEND="Yes"</t>
        </is>
      </c>
      <c r="H68" s="43">
        <f>IF(AND(SPA_FRONTEND="Yes",D68&lt;=TARGET_LEVEL_NUM),"Applicable","N/A")</f>
        <v/>
      </c>
      <c r="I68" s="42" t="inlineStr">
        <is>
          <t>HB-WEB-04</t>
        </is>
      </c>
      <c r="J68" s="42" t="n"/>
      <c r="K68" s="43">
        <f>IF($I68="Excluded","Excluded",IF(H68="N/A","N/A",IFERROR(INDEX(BL_COVERAGE,MATCH($I68,BL_IDS,0))&amp;"","Mapping error")))</f>
        <v/>
      </c>
    </row>
    <row r="69" ht="39.75" customHeight="1" s="19">
      <c r="A69" s="42" t="inlineStr">
        <is>
          <t>V3.5.5</t>
        </is>
      </c>
      <c r="B69" s="40" t="inlineStr">
        <is>
          <t>V3 - Web Frontend Security</t>
        </is>
      </c>
      <c r="C69" s="40" t="inlineStr">
        <is>
          <t>V3.5 - Browser Origin Separation</t>
        </is>
      </c>
      <c r="D69" s="42" t="n">
        <v>2</v>
      </c>
      <c r="E69" s="40" t="inlineStr">
        <is>
          <t>Verify that messages received by the postMessage interface are discarded if the origin of the message is not trusted, or if the syntax of the message is invalid.</t>
        </is>
      </c>
      <c r="F69" s="40" t="inlineStr">
        <is>
          <t>If has SPA/client-side front end</t>
        </is>
      </c>
      <c r="G69" s="42" t="inlineStr">
        <is>
          <t>SPA_FRONTEND="Yes"</t>
        </is>
      </c>
      <c r="H69" s="43">
        <f>IF(AND(SPA_FRONTEND="Yes",D69&lt;=TARGET_LEVEL_NUM),"Applicable","N/A")</f>
        <v/>
      </c>
      <c r="I69" s="42" t="inlineStr">
        <is>
          <t>HB-WEB-04</t>
        </is>
      </c>
      <c r="J69" s="42" t="n"/>
      <c r="K69" s="43">
        <f>IF($I69="Excluded","Excluded",IF(H69="N/A","N/A",IFERROR(INDEX(BL_COVERAGE,MATCH($I69,BL_IDS,0))&amp;"","Mapping error")))</f>
        <v/>
      </c>
    </row>
    <row r="70" ht="39.75" customHeight="1" s="19">
      <c r="A70" s="42" t="inlineStr">
        <is>
          <t>V3.5.6</t>
        </is>
      </c>
      <c r="B70" s="40" t="inlineStr">
        <is>
          <t>V3 - Web Frontend Security</t>
        </is>
      </c>
      <c r="C70" s="40" t="inlineStr">
        <is>
          <t>V3.5 - Browser Origin Separation</t>
        </is>
      </c>
      <c r="D70" s="42" t="n">
        <v>3</v>
      </c>
      <c r="E70" s="40" t="inlineStr">
        <is>
          <t>Verify that JSONP functionality is not enabled anywhere across the application to avoid Cross-Site Script Inclusion (XSSI) attacks.</t>
        </is>
      </c>
      <c r="F70" s="40" t="inlineStr">
        <is>
          <t>If has SPA/client-side front end</t>
        </is>
      </c>
      <c r="G70" s="42" t="inlineStr">
        <is>
          <t>SPA_FRONTEND="Yes"</t>
        </is>
      </c>
      <c r="H70" s="43">
        <f>IF(AND(SPA_FRONTEND="Yes",D70&lt;=TARGET_LEVEL_NUM),"Applicable","N/A")</f>
        <v/>
      </c>
      <c r="I70" s="42" t="inlineStr">
        <is>
          <t>HB-WEB-04</t>
        </is>
      </c>
      <c r="J70" s="42" t="n"/>
      <c r="K70" s="43">
        <f>IF($I70="Excluded","Excluded",IF(H70="N/A","N/A",IFERROR(INDEX(BL_COVERAGE,MATCH($I70,BL_IDS,0))&amp;"","Mapping error")))</f>
        <v/>
      </c>
    </row>
    <row r="71" ht="39.75" customHeight="1" s="19">
      <c r="A71" s="42" t="inlineStr">
        <is>
          <t>V3.5.7</t>
        </is>
      </c>
      <c r="B71" s="40" t="inlineStr">
        <is>
          <t>V3 - Web Frontend Security</t>
        </is>
      </c>
      <c r="C71" s="40" t="inlineStr">
        <is>
          <t>V3.5 - Browser Origin Separation</t>
        </is>
      </c>
      <c r="D71" s="42" t="n">
        <v>3</v>
      </c>
      <c r="E71" s="40" t="inlineStr">
        <is>
          <t>Verify that data requiring authorization is not included in script resource responses, like JavaScript files, to prevent Cross-Site Script Inclusion (XSSI) attacks.</t>
        </is>
      </c>
      <c r="F71" s="40" t="inlineStr">
        <is>
          <t>If has SPA/client-side front end</t>
        </is>
      </c>
      <c r="G71" s="42" t="inlineStr">
        <is>
          <t>SPA_FRONTEND="Yes"</t>
        </is>
      </c>
      <c r="H71" s="43">
        <f>IF(AND(SPA_FRONTEND="Yes",D71&lt;=TARGET_LEVEL_NUM),"Applicable","N/A")</f>
        <v/>
      </c>
      <c r="I71" s="42" t="inlineStr">
        <is>
          <t>HB-WEB-04</t>
        </is>
      </c>
      <c r="J71" s="42" t="n"/>
      <c r="K71" s="43">
        <f>IF($I71="Excluded","Excluded",IF(H71="N/A","N/A",IFERROR(INDEX(BL_COVERAGE,MATCH($I71,BL_IDS,0))&amp;"","Mapping error")))</f>
        <v/>
      </c>
    </row>
    <row r="72" ht="39.75" customHeight="1" s="19">
      <c r="A72" s="42" t="inlineStr">
        <is>
          <t>V3.5.8</t>
        </is>
      </c>
      <c r="B72" s="40" t="inlineStr">
        <is>
          <t>V3 - Web Frontend Security</t>
        </is>
      </c>
      <c r="C72" s="40" t="inlineStr">
        <is>
          <t>V3.5 - Browser Origin Separation</t>
        </is>
      </c>
      <c r="D72" s="42" t="n">
        <v>3</v>
      </c>
      <c r="E72" s="40"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F72" s="40" t="inlineStr">
        <is>
          <t>If has SPA/client-side front end</t>
        </is>
      </c>
      <c r="G72" s="42" t="inlineStr">
        <is>
          <t>SPA_FRONTEND="Yes"</t>
        </is>
      </c>
      <c r="H72" s="43">
        <f>IF(AND(SPA_FRONTEND="Yes",D72&lt;=TARGET_LEVEL_NUM),"Applicable","N/A")</f>
        <v/>
      </c>
      <c r="I72" s="42" t="inlineStr">
        <is>
          <t>HB-WEB-04</t>
        </is>
      </c>
      <c r="J72" s="42" t="n"/>
      <c r="K72" s="43">
        <f>IF($I72="Excluded","Excluded",IF(H72="N/A","N/A",IFERROR(INDEX(BL_COVERAGE,MATCH($I72,BL_IDS,0))&amp;"","Mapping error")))</f>
        <v/>
      </c>
    </row>
    <row r="73" ht="39.75" customHeight="1" s="19">
      <c r="A73" s="42" t="inlineStr">
        <is>
          <t>V3.6.1</t>
        </is>
      </c>
      <c r="B73" s="40" t="inlineStr">
        <is>
          <t>V3 - Web Frontend Security</t>
        </is>
      </c>
      <c r="C73" s="40" t="inlineStr">
        <is>
          <t>V3.6 - External Resource Integrity</t>
        </is>
      </c>
      <c r="D73" s="42" t="n">
        <v>3</v>
      </c>
      <c r="E73" s="40"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F73" s="40" t="inlineStr">
        <is>
          <t>If has SPA/client-side front end</t>
        </is>
      </c>
      <c r="G73" s="42" t="inlineStr">
        <is>
          <t>SPA_FRONTEND="Yes"</t>
        </is>
      </c>
      <c r="H73" s="43">
        <f>IF(AND(SPA_FRONTEND="Yes",D73&lt;=TARGET_LEVEL_NUM),"Applicable","N/A")</f>
        <v/>
      </c>
      <c r="I73" s="42" t="inlineStr">
        <is>
          <t>HB-WEB-05</t>
        </is>
      </c>
      <c r="J73" s="42" t="n"/>
      <c r="K73" s="43">
        <f>IF($I73="Excluded","Excluded",IF(H73="N/A","N/A",IFERROR(INDEX(BL_COVERAGE,MATCH($I73,BL_IDS,0))&amp;"","Mapping error")))</f>
        <v/>
      </c>
    </row>
    <row r="74" ht="39.75" customHeight="1" s="19">
      <c r="A74" s="42" t="inlineStr">
        <is>
          <t>V3.7.1</t>
        </is>
      </c>
      <c r="B74" s="40" t="inlineStr">
        <is>
          <t>V3 - Web Frontend Security</t>
        </is>
      </c>
      <c r="C74" s="40" t="inlineStr">
        <is>
          <t>V3.7 - Other Browser Security Considerations</t>
        </is>
      </c>
      <c r="D74" s="42" t="n">
        <v>2</v>
      </c>
      <c r="E74" s="40"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F74" s="40" t="inlineStr">
        <is>
          <t>If has SPA/client-side front end</t>
        </is>
      </c>
      <c r="G74" s="42" t="inlineStr">
        <is>
          <t>SPA_FRONTEND="Yes"</t>
        </is>
      </c>
      <c r="H74" s="43">
        <f>IF(AND(SPA_FRONTEND="Yes",D74&lt;=TARGET_LEVEL_NUM),"Applicable","N/A")</f>
        <v/>
      </c>
      <c r="I74" s="42" t="inlineStr">
        <is>
          <t>HB-WEB-05</t>
        </is>
      </c>
      <c r="J74" s="42" t="n"/>
      <c r="K74" s="43">
        <f>IF($I74="Excluded","Excluded",IF(H74="N/A","N/A",IFERROR(INDEX(BL_COVERAGE,MATCH($I74,BL_IDS,0))&amp;"","Mapping error")))</f>
        <v/>
      </c>
    </row>
    <row r="75" ht="39.75" customHeight="1" s="19">
      <c r="A75" s="42" t="inlineStr">
        <is>
          <t>V3.7.2</t>
        </is>
      </c>
      <c r="B75" s="40" t="inlineStr">
        <is>
          <t>V3 - Web Frontend Security</t>
        </is>
      </c>
      <c r="C75" s="40" t="inlineStr">
        <is>
          <t>V3.7 - Other Browser Security Considerations</t>
        </is>
      </c>
      <c r="D75" s="42" t="n">
        <v>2</v>
      </c>
      <c r="E75" s="40" t="inlineStr">
        <is>
          <t>Verify that the application will only automatically redirect the user to a different hostname or domain (which is not controlled by the application) where the destination appears on an allowlist.</t>
        </is>
      </c>
      <c r="F75" s="40" t="inlineStr">
        <is>
          <t>If has SPA/client-side front end</t>
        </is>
      </c>
      <c r="G75" s="42" t="inlineStr">
        <is>
          <t>SPA_FRONTEND="Yes"</t>
        </is>
      </c>
      <c r="H75" s="43">
        <f>IF(AND(SPA_FRONTEND="Yes",D75&lt;=TARGET_LEVEL_NUM),"Applicable","N/A")</f>
        <v/>
      </c>
      <c r="I75" s="42" t="inlineStr">
        <is>
          <t>HB-WEB-05</t>
        </is>
      </c>
      <c r="J75" s="42" t="n"/>
      <c r="K75" s="43">
        <f>IF($I75="Excluded","Excluded",IF(H75="N/A","N/A",IFERROR(INDEX(BL_COVERAGE,MATCH($I75,BL_IDS,0))&amp;"","Mapping error")))</f>
        <v/>
      </c>
    </row>
    <row r="76" ht="39.75" customHeight="1" s="19">
      <c r="A76" s="42" t="inlineStr">
        <is>
          <t>V3.7.3</t>
        </is>
      </c>
      <c r="B76" s="40" t="inlineStr">
        <is>
          <t>V3 - Web Frontend Security</t>
        </is>
      </c>
      <c r="C76" s="40" t="inlineStr">
        <is>
          <t>V3.7 - Other Browser Security Considerations</t>
        </is>
      </c>
      <c r="D76" s="42" t="n">
        <v>3</v>
      </c>
      <c r="E76" s="40" t="inlineStr">
        <is>
          <t>Verify that the application shows a notification when the user is being redirected to a URL outside of the application's control, with an option to cancel the navigation.</t>
        </is>
      </c>
      <c r="F76" s="40" t="inlineStr">
        <is>
          <t>If has SPA/client-side front end</t>
        </is>
      </c>
      <c r="G76" s="42" t="inlineStr">
        <is>
          <t>SPA_FRONTEND="Yes"</t>
        </is>
      </c>
      <c r="H76" s="43">
        <f>IF(AND(SPA_FRONTEND="Yes",D76&lt;=TARGET_LEVEL_NUM),"Applicable","N/A")</f>
        <v/>
      </c>
      <c r="I76" s="42" t="inlineStr">
        <is>
          <t>HB-WEB-05</t>
        </is>
      </c>
      <c r="J76" s="42" t="n"/>
      <c r="K76" s="43">
        <f>IF($I76="Excluded","Excluded",IF(H76="N/A","N/A",IFERROR(INDEX(BL_COVERAGE,MATCH($I76,BL_IDS,0))&amp;"","Mapping error")))</f>
        <v/>
      </c>
    </row>
    <row r="77" ht="39.75" customHeight="1" s="19">
      <c r="A77" s="42" t="inlineStr">
        <is>
          <t>V3.7.4</t>
        </is>
      </c>
      <c r="B77" s="40" t="inlineStr">
        <is>
          <t>V3 - Web Frontend Security</t>
        </is>
      </c>
      <c r="C77" s="40" t="inlineStr">
        <is>
          <t>V3.7 - Other Browser Security Considerations</t>
        </is>
      </c>
      <c r="D77" s="42" t="n">
        <v>3</v>
      </c>
      <c r="E77" s="40"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F77" s="40" t="inlineStr">
        <is>
          <t>If has SPA/client-side front end</t>
        </is>
      </c>
      <c r="G77" s="42" t="inlineStr">
        <is>
          <t>SPA_FRONTEND="Yes"</t>
        </is>
      </c>
      <c r="H77" s="43">
        <f>IF(AND(SPA_FRONTEND="Yes",D77&lt;=TARGET_LEVEL_NUM),"Applicable","N/A")</f>
        <v/>
      </c>
      <c r="I77" s="42" t="inlineStr">
        <is>
          <t>HB-WEB-03</t>
        </is>
      </c>
      <c r="J77" s="42" t="n"/>
      <c r="K77" s="43">
        <f>IF($I77="Excluded","Excluded",IF(H77="N/A","N/A",IFERROR(INDEX(BL_COVERAGE,MATCH($I77,BL_IDS,0))&amp;"","Mapping error")))</f>
        <v/>
      </c>
    </row>
    <row r="78" ht="39.75" customHeight="1" s="19">
      <c r="A78" s="42" t="inlineStr">
        <is>
          <t>V3.7.5</t>
        </is>
      </c>
      <c r="B78" s="40" t="inlineStr">
        <is>
          <t>V3 - Web Frontend Security</t>
        </is>
      </c>
      <c r="C78" s="40" t="inlineStr">
        <is>
          <t>V3.7 - Other Browser Security Considerations</t>
        </is>
      </c>
      <c r="D78" s="42" t="n">
        <v>3</v>
      </c>
      <c r="E78" s="40" t="inlineStr">
        <is>
          <t>Verify that the application behaves as documented (such as warning the user or blocking access) if the browser used to access the application does not support the expected security features.</t>
        </is>
      </c>
      <c r="F78" s="40" t="inlineStr">
        <is>
          <t>If has SPA/client-side front end</t>
        </is>
      </c>
      <c r="G78" s="42" t="inlineStr">
        <is>
          <t>SPA_FRONTEND="Yes"</t>
        </is>
      </c>
      <c r="H78" s="43">
        <f>IF(AND(SPA_FRONTEND="Yes",D78&lt;=TARGET_LEVEL_NUM),"Applicable","N/A")</f>
        <v/>
      </c>
      <c r="I78" s="42" t="inlineStr">
        <is>
          <t>HB-WEB-05</t>
        </is>
      </c>
      <c r="J78" s="42" t="n"/>
      <c r="K78" s="43">
        <f>IF($I78="Excluded","Excluded",IF(H78="N/A","N/A",IFERROR(INDEX(BL_COVERAGE,MATCH($I78,BL_IDS,0))&amp;"","Mapping error")))</f>
        <v/>
      </c>
    </row>
    <row r="79" ht="39.75" customHeight="1" s="19">
      <c r="A79" s="42" t="inlineStr">
        <is>
          <t>V4.1.1</t>
        </is>
      </c>
      <c r="B79" s="40" t="inlineStr">
        <is>
          <t>V4 - API and Web Service</t>
        </is>
      </c>
      <c r="C79" s="40" t="inlineStr">
        <is>
          <t>V4.1 - Generic Web Service Security</t>
        </is>
      </c>
      <c r="D79" s="42" t="n">
        <v>1</v>
      </c>
      <c r="E79" s="40"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F79" s="40" t="inlineStr">
        <is>
          <t>If exposes an API</t>
        </is>
      </c>
      <c r="G79" s="42" t="inlineStr">
        <is>
          <t>API_EXPOSED="Yes"</t>
        </is>
      </c>
      <c r="H79" s="43">
        <f>IF(AND(API_EXPOSED="Yes",D79&lt;=TARGET_LEVEL_NUM),"Applicable","N/A")</f>
        <v/>
      </c>
      <c r="I79" s="42" t="inlineStr">
        <is>
          <t>HB-API-01</t>
        </is>
      </c>
      <c r="J79" s="42" t="n"/>
      <c r="K79" s="43">
        <f>IF($I79="Excluded","Excluded",IF(H79="N/A","N/A",IFERROR(INDEX(BL_COVERAGE,MATCH($I79,BL_IDS,0))&amp;"","Mapping error")))</f>
        <v/>
      </c>
    </row>
    <row r="80" ht="39.75" customHeight="1" s="19">
      <c r="A80" s="42" t="inlineStr">
        <is>
          <t>V4.1.2</t>
        </is>
      </c>
      <c r="B80" s="40" t="inlineStr">
        <is>
          <t>V4 - API and Web Service</t>
        </is>
      </c>
      <c r="C80" s="40" t="inlineStr">
        <is>
          <t>V4.1 - Generic Web Service Security</t>
        </is>
      </c>
      <c r="D80" s="42" t="n">
        <v>2</v>
      </c>
      <c r="E80" s="40"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F80" s="40" t="inlineStr">
        <is>
          <t>If exposes an API</t>
        </is>
      </c>
      <c r="G80" s="42" t="inlineStr">
        <is>
          <t>API_EXPOSED="Yes"</t>
        </is>
      </c>
      <c r="H80" s="43">
        <f>IF(AND(API_EXPOSED="Yes",D80&lt;=TARGET_LEVEL_NUM),"Applicable","N/A")</f>
        <v/>
      </c>
      <c r="I80" s="42" t="inlineStr">
        <is>
          <t>HB-API-01</t>
        </is>
      </c>
      <c r="J80" s="42" t="n"/>
      <c r="K80" s="43">
        <f>IF($I80="Excluded","Excluded",IF(H80="N/A","N/A",IFERROR(INDEX(BL_COVERAGE,MATCH($I80,BL_IDS,0))&amp;"","Mapping error")))</f>
        <v/>
      </c>
    </row>
    <row r="81" ht="39.75" customHeight="1" s="19">
      <c r="A81" s="42" t="inlineStr">
        <is>
          <t>V4.1.3</t>
        </is>
      </c>
      <c r="B81" s="40" t="inlineStr">
        <is>
          <t>V4 - API and Web Service</t>
        </is>
      </c>
      <c r="C81" s="40" t="inlineStr">
        <is>
          <t>V4.1 - Generic Web Service Security</t>
        </is>
      </c>
      <c r="D81" s="42" t="n">
        <v>2</v>
      </c>
      <c r="E81" s="40"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F81" s="40" t="inlineStr">
        <is>
          <t>If exposes an API</t>
        </is>
      </c>
      <c r="G81" s="42" t="inlineStr">
        <is>
          <t>API_EXPOSED="Yes"</t>
        </is>
      </c>
      <c r="H81" s="43">
        <f>IF(AND(API_EXPOSED="Yes",D81&lt;=TARGET_LEVEL_NUM),"Applicable","N/A")</f>
        <v/>
      </c>
      <c r="I81" s="42" t="inlineStr">
        <is>
          <t>HB-API-01</t>
        </is>
      </c>
      <c r="J81" s="42" t="n"/>
      <c r="K81" s="43">
        <f>IF($I81="Excluded","Excluded",IF(H81="N/A","N/A",IFERROR(INDEX(BL_COVERAGE,MATCH($I81,BL_IDS,0))&amp;"","Mapping error")))</f>
        <v/>
      </c>
    </row>
    <row r="82" ht="39.75" customHeight="1" s="19">
      <c r="A82" s="42" t="inlineStr">
        <is>
          <t>V4.1.4</t>
        </is>
      </c>
      <c r="B82" s="40" t="inlineStr">
        <is>
          <t>V4 - API and Web Service</t>
        </is>
      </c>
      <c r="C82" s="40" t="inlineStr">
        <is>
          <t>V4.1 - Generic Web Service Security</t>
        </is>
      </c>
      <c r="D82" s="42" t="n">
        <v>3</v>
      </c>
      <c r="E82" s="40" t="inlineStr">
        <is>
          <t>Verify that only HTTP methods that are explicitly supported by the application or its API (including OPTIONS during preflight requests) can be used and that unused methods are blocked.</t>
        </is>
      </c>
      <c r="F82" s="40" t="inlineStr">
        <is>
          <t>If exposes an API</t>
        </is>
      </c>
      <c r="G82" s="42" t="inlineStr">
        <is>
          <t>API_EXPOSED="Yes"</t>
        </is>
      </c>
      <c r="H82" s="43">
        <f>IF(AND(API_EXPOSED="Yes",D82&lt;=TARGET_LEVEL_NUM),"Applicable","N/A")</f>
        <v/>
      </c>
      <c r="I82" s="42" t="inlineStr">
        <is>
          <t>HB-API-01</t>
        </is>
      </c>
      <c r="J82" s="42" t="n"/>
      <c r="K82" s="43">
        <f>IF($I82="Excluded","Excluded",IF(H82="N/A","N/A",IFERROR(INDEX(BL_COVERAGE,MATCH($I82,BL_IDS,0))&amp;"","Mapping error")))</f>
        <v/>
      </c>
    </row>
    <row r="83" ht="39.75" customHeight="1" s="19">
      <c r="A83" s="42" t="inlineStr">
        <is>
          <t>V4.1.5</t>
        </is>
      </c>
      <c r="B83" s="40" t="inlineStr">
        <is>
          <t>V4 - API and Web Service</t>
        </is>
      </c>
      <c r="C83" s="40" t="inlineStr">
        <is>
          <t>V4.1 - Generic Web Service Security</t>
        </is>
      </c>
      <c r="D83" s="42" t="n">
        <v>3</v>
      </c>
      <c r="E83" s="40" t="inlineStr">
        <is>
          <t>Verify that per-message digital signatures are used to provide additional assurance on top of transport protections for requests or transactions which are highly sensitive or which traverse a number of systems.</t>
        </is>
      </c>
      <c r="F83" s="40" t="inlineStr">
        <is>
          <t>If exposes an API</t>
        </is>
      </c>
      <c r="G83" s="42" t="inlineStr">
        <is>
          <t>API_EXPOSED="Yes"</t>
        </is>
      </c>
      <c r="H83" s="43">
        <f>IF(AND(API_EXPOSED="Yes",D83&lt;=TARGET_LEVEL_NUM),"Applicable","N/A")</f>
        <v/>
      </c>
      <c r="I83" s="42" t="inlineStr">
        <is>
          <t>HB-API-01</t>
        </is>
      </c>
      <c r="J83" s="42" t="n"/>
      <c r="K83" s="43">
        <f>IF($I83="Excluded","Excluded",IF(H83="N/A","N/A",IFERROR(INDEX(BL_COVERAGE,MATCH($I83,BL_IDS,0))&amp;"","Mapping error")))</f>
        <v/>
      </c>
    </row>
    <row r="84" ht="39.75" customHeight="1" s="19">
      <c r="A84" s="42" t="inlineStr">
        <is>
          <t>V4.2.1</t>
        </is>
      </c>
      <c r="B84" s="40" t="inlineStr">
        <is>
          <t>V4 - API and Web Service</t>
        </is>
      </c>
      <c r="C84" s="40" t="inlineStr">
        <is>
          <t>V4.2 - HTTP Message Structure Validation</t>
        </is>
      </c>
      <c r="D84" s="42" t="n">
        <v>2</v>
      </c>
      <c r="E84" s="40"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F84" s="40" t="inlineStr">
        <is>
          <t>If exposes an API</t>
        </is>
      </c>
      <c r="G84" s="42" t="inlineStr">
        <is>
          <t>API_EXPOSED="Yes"</t>
        </is>
      </c>
      <c r="H84" s="43">
        <f>IF(AND(API_EXPOSED="Yes",D84&lt;=TARGET_LEVEL_NUM),"Applicable","N/A")</f>
        <v/>
      </c>
      <c r="I84" s="42" t="inlineStr">
        <is>
          <t>HB-API-01</t>
        </is>
      </c>
      <c r="J84" s="42" t="n"/>
      <c r="K84" s="43">
        <f>IF($I84="Excluded","Excluded",IF(H84="N/A","N/A",IFERROR(INDEX(BL_COVERAGE,MATCH($I84,BL_IDS,0))&amp;"","Mapping error")))</f>
        <v/>
      </c>
    </row>
    <row r="85" ht="39.75" customHeight="1" s="19">
      <c r="A85" s="42" t="inlineStr">
        <is>
          <t>V4.2.2</t>
        </is>
      </c>
      <c r="B85" s="40" t="inlineStr">
        <is>
          <t>V4 - API and Web Service</t>
        </is>
      </c>
      <c r="C85" s="40" t="inlineStr">
        <is>
          <t>V4.2 - HTTP Message Structure Validation</t>
        </is>
      </c>
      <c r="D85" s="42" t="n">
        <v>3</v>
      </c>
      <c r="E85" s="40" t="inlineStr">
        <is>
          <t>Verify that when generating HTTP messages, the Content-Length header field does not conflict with the length of the content as determined by the framing of the HTTP protocol, in order to prevent request smuggling attacks.</t>
        </is>
      </c>
      <c r="F85" s="40" t="inlineStr">
        <is>
          <t>If exposes an API</t>
        </is>
      </c>
      <c r="G85" s="42" t="inlineStr">
        <is>
          <t>API_EXPOSED="Yes"</t>
        </is>
      </c>
      <c r="H85" s="43">
        <f>IF(AND(API_EXPOSED="Yes",D85&lt;=TARGET_LEVEL_NUM),"Applicable","N/A")</f>
        <v/>
      </c>
      <c r="I85" s="42" t="inlineStr">
        <is>
          <t>HB-API-01</t>
        </is>
      </c>
      <c r="J85" s="42" t="n"/>
      <c r="K85" s="43">
        <f>IF($I85="Excluded","Excluded",IF(H85="N/A","N/A",IFERROR(INDEX(BL_COVERAGE,MATCH($I85,BL_IDS,0))&amp;"","Mapping error")))</f>
        <v/>
      </c>
    </row>
    <row r="86" ht="39.75" customHeight="1" s="19">
      <c r="A86" s="42" t="inlineStr">
        <is>
          <t>V4.2.3</t>
        </is>
      </c>
      <c r="B86" s="40" t="inlineStr">
        <is>
          <t>V4 - API and Web Service</t>
        </is>
      </c>
      <c r="C86" s="40" t="inlineStr">
        <is>
          <t>V4.2 - HTTP Message Structure Validation</t>
        </is>
      </c>
      <c r="D86" s="42" t="n">
        <v>3</v>
      </c>
      <c r="E86" s="40" t="inlineStr">
        <is>
          <t>Verify that the application does not send nor accept HTTP/2 or HTTP/3 messages with connection-specific header fields such as Transfer-Encoding to prevent response splitting and header injection attacks.</t>
        </is>
      </c>
      <c r="F86" s="40" t="inlineStr">
        <is>
          <t>If exposes an API</t>
        </is>
      </c>
      <c r="G86" s="42" t="inlineStr">
        <is>
          <t>API_EXPOSED="Yes"</t>
        </is>
      </c>
      <c r="H86" s="43">
        <f>IF(AND(API_EXPOSED="Yes",D86&lt;=TARGET_LEVEL_NUM),"Applicable","N/A")</f>
        <v/>
      </c>
      <c r="I86" s="42" t="inlineStr">
        <is>
          <t>HB-API-01</t>
        </is>
      </c>
      <c r="J86" s="42" t="n"/>
      <c r="K86" s="43">
        <f>IF($I86="Excluded","Excluded",IF(H86="N/A","N/A",IFERROR(INDEX(BL_COVERAGE,MATCH($I86,BL_IDS,0))&amp;"","Mapping error")))</f>
        <v/>
      </c>
    </row>
    <row r="87" ht="39.75" customHeight="1" s="19">
      <c r="A87" s="42" t="inlineStr">
        <is>
          <t>V4.2.4</t>
        </is>
      </c>
      <c r="B87" s="40" t="inlineStr">
        <is>
          <t>V4 - API and Web Service</t>
        </is>
      </c>
      <c r="C87" s="40" t="inlineStr">
        <is>
          <t>V4.2 - HTTP Message Structure Validation</t>
        </is>
      </c>
      <c r="D87" s="42" t="n">
        <v>3</v>
      </c>
      <c r="E87" s="40" t="inlineStr">
        <is>
          <t>Verify that the application only accepts HTTP/2 and HTTP/3 requests where the header fields and values do not contain any CR (\r), LF (\n), or CRLF (\r\n) sequences, to prevent header injection attacks.</t>
        </is>
      </c>
      <c r="F87" s="40" t="inlineStr">
        <is>
          <t>If exposes an API</t>
        </is>
      </c>
      <c r="G87" s="42" t="inlineStr">
        <is>
          <t>API_EXPOSED="Yes"</t>
        </is>
      </c>
      <c r="H87" s="43">
        <f>IF(AND(API_EXPOSED="Yes",D87&lt;=TARGET_LEVEL_NUM),"Applicable","N/A")</f>
        <v/>
      </c>
      <c r="I87" s="42" t="inlineStr">
        <is>
          <t>HB-API-01</t>
        </is>
      </c>
      <c r="J87" s="42" t="n"/>
      <c r="K87" s="43">
        <f>IF($I87="Excluded","Excluded",IF(H87="N/A","N/A",IFERROR(INDEX(BL_COVERAGE,MATCH($I87,BL_IDS,0))&amp;"","Mapping error")))</f>
        <v/>
      </c>
    </row>
    <row r="88" ht="39.75" customHeight="1" s="19">
      <c r="A88" s="42" t="inlineStr">
        <is>
          <t>V4.2.5</t>
        </is>
      </c>
      <c r="B88" s="40" t="inlineStr">
        <is>
          <t>V4 - API and Web Service</t>
        </is>
      </c>
      <c r="C88" s="40" t="inlineStr">
        <is>
          <t>V4.2 - HTTP Message Structure Validation</t>
        </is>
      </c>
      <c r="D88" s="42" t="n">
        <v>3</v>
      </c>
      <c r="E88" s="40"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F88" s="40" t="inlineStr">
        <is>
          <t>If exposes an API</t>
        </is>
      </c>
      <c r="G88" s="42" t="inlineStr">
        <is>
          <t>API_EXPOSED="Yes"</t>
        </is>
      </c>
      <c r="H88" s="43">
        <f>IF(AND(API_EXPOSED="Yes",D88&lt;=TARGET_LEVEL_NUM),"Applicable","N/A")</f>
        <v/>
      </c>
      <c r="I88" s="42" t="inlineStr">
        <is>
          <t>HB-API-01</t>
        </is>
      </c>
      <c r="J88" s="42" t="n"/>
      <c r="K88" s="43">
        <f>IF($I88="Excluded","Excluded",IF(H88="N/A","N/A",IFERROR(INDEX(BL_COVERAGE,MATCH($I88,BL_IDS,0))&amp;"","Mapping error")))</f>
        <v/>
      </c>
    </row>
    <row r="89" ht="39.75" customHeight="1" s="19">
      <c r="A89" s="42" t="inlineStr">
        <is>
          <t>V4.3.1</t>
        </is>
      </c>
      <c r="B89" s="40" t="inlineStr">
        <is>
          <t>V4 - API and Web Service</t>
        </is>
      </c>
      <c r="C89" s="40" t="inlineStr">
        <is>
          <t>V4.3 - GraphQL</t>
        </is>
      </c>
      <c r="D89" s="42" t="n">
        <v>2</v>
      </c>
      <c r="E89" s="40" t="inlineStr">
        <is>
          <t>Verify that a query allowlist, depth limiting, amount limiting, or query cost analysis is used to prevent GraphQL or data layer expression Denial of Service (DoS) as a result of expensive, nested queries.</t>
        </is>
      </c>
      <c r="F89" s="40" t="inlineStr">
        <is>
          <t>If exposes an API</t>
        </is>
      </c>
      <c r="G89" s="42" t="inlineStr">
        <is>
          <t>API_EXPOSED="Yes"</t>
        </is>
      </c>
      <c r="H89" s="43">
        <f>IF(AND(API_EXPOSED="Yes",D89&lt;=TARGET_LEVEL_NUM),"Applicable","N/A")</f>
        <v/>
      </c>
      <c r="I89" s="42" t="inlineStr">
        <is>
          <t>HB-API-02</t>
        </is>
      </c>
      <c r="J89" s="42" t="n"/>
      <c r="K89" s="43">
        <f>IF($I89="Excluded","Excluded",IF(H89="N/A","N/A",IFERROR(INDEX(BL_COVERAGE,MATCH($I89,BL_IDS,0))&amp;"","Mapping error")))</f>
        <v/>
      </c>
    </row>
    <row r="90" ht="39.75" customHeight="1" s="19">
      <c r="A90" s="42" t="inlineStr">
        <is>
          <t>V4.3.2</t>
        </is>
      </c>
      <c r="B90" s="40" t="inlineStr">
        <is>
          <t>V4 - API and Web Service</t>
        </is>
      </c>
      <c r="C90" s="40" t="inlineStr">
        <is>
          <t>V4.3 - GraphQL</t>
        </is>
      </c>
      <c r="D90" s="42" t="n">
        <v>2</v>
      </c>
      <c r="E90" s="40" t="inlineStr">
        <is>
          <t>Verify that GraphQL introspection queries are disabled in the production environment unless the GraphQL API is meant to be used by other parties.</t>
        </is>
      </c>
      <c r="F90" s="40" t="inlineStr">
        <is>
          <t>If exposes an API</t>
        </is>
      </c>
      <c r="G90" s="42" t="inlineStr">
        <is>
          <t>API_EXPOSED="Yes"</t>
        </is>
      </c>
      <c r="H90" s="43">
        <f>IF(AND(API_EXPOSED="Yes",D90&lt;=TARGET_LEVEL_NUM),"Applicable","N/A")</f>
        <v/>
      </c>
      <c r="I90" s="42" t="inlineStr">
        <is>
          <t>HB-API-02</t>
        </is>
      </c>
      <c r="J90" s="42" t="n"/>
      <c r="K90" s="43">
        <f>IF($I90="Excluded","Excluded",IF(H90="N/A","N/A",IFERROR(INDEX(BL_COVERAGE,MATCH($I90,BL_IDS,0))&amp;"","Mapping error")))</f>
        <v/>
      </c>
    </row>
    <row r="91" ht="39.75" customHeight="1" s="19">
      <c r="A91" s="42" t="inlineStr">
        <is>
          <t>V4.4.1</t>
        </is>
      </c>
      <c r="B91" s="40" t="inlineStr">
        <is>
          <t>V4 - API and Web Service</t>
        </is>
      </c>
      <c r="C91" s="40" t="inlineStr">
        <is>
          <t>V4.4 - WebSocket</t>
        </is>
      </c>
      <c r="D91" s="42" t="n">
        <v>1</v>
      </c>
      <c r="E91" s="40" t="inlineStr">
        <is>
          <t>Verify that WebSocket over TLS (WSS) is used for all WebSocket connections.</t>
        </is>
      </c>
      <c r="F91" s="40" t="inlineStr">
        <is>
          <t>If exposes an API</t>
        </is>
      </c>
      <c r="G91" s="42" t="inlineStr">
        <is>
          <t>API_EXPOSED="Yes"</t>
        </is>
      </c>
      <c r="H91" s="43">
        <f>IF(AND(API_EXPOSED="Yes",D91&lt;=TARGET_LEVEL_NUM),"Applicable","N/A")</f>
        <v/>
      </c>
      <c r="I91" s="42" t="inlineStr">
        <is>
          <t>HB-API-03</t>
        </is>
      </c>
      <c r="J91" s="42" t="n"/>
      <c r="K91" s="43">
        <f>IF($I91="Excluded","Excluded",IF(H91="N/A","N/A",IFERROR(INDEX(BL_COVERAGE,MATCH($I91,BL_IDS,0))&amp;"","Mapping error")))</f>
        <v/>
      </c>
    </row>
    <row r="92" ht="39.75" customHeight="1" s="19">
      <c r="A92" s="42" t="inlineStr">
        <is>
          <t>V4.4.2</t>
        </is>
      </c>
      <c r="B92" s="40" t="inlineStr">
        <is>
          <t>V4 - API and Web Service</t>
        </is>
      </c>
      <c r="C92" s="40" t="inlineStr">
        <is>
          <t>V4.4 - WebSocket</t>
        </is>
      </c>
      <c r="D92" s="42" t="n">
        <v>2</v>
      </c>
      <c r="E92" s="40" t="inlineStr">
        <is>
          <t>Verify that, during the initial HTTP WebSocket handshake, the Origin header field is checked against a list of origins allowed for the application.</t>
        </is>
      </c>
      <c r="F92" s="40" t="inlineStr">
        <is>
          <t>If exposes an API</t>
        </is>
      </c>
      <c r="G92" s="42" t="inlineStr">
        <is>
          <t>API_EXPOSED="Yes"</t>
        </is>
      </c>
      <c r="H92" s="43">
        <f>IF(AND(API_EXPOSED="Yes",D92&lt;=TARGET_LEVEL_NUM),"Applicable","N/A")</f>
        <v/>
      </c>
      <c r="I92" s="42" t="inlineStr">
        <is>
          <t>HB-API-03</t>
        </is>
      </c>
      <c r="J92" s="42" t="n"/>
      <c r="K92" s="43">
        <f>IF($I92="Excluded","Excluded",IF(H92="N/A","N/A",IFERROR(INDEX(BL_COVERAGE,MATCH($I92,BL_IDS,0))&amp;"","Mapping error")))</f>
        <v/>
      </c>
    </row>
    <row r="93" ht="39.75" customHeight="1" s="19">
      <c r="A93" s="42" t="inlineStr">
        <is>
          <t>V4.4.3</t>
        </is>
      </c>
      <c r="B93" s="40" t="inlineStr">
        <is>
          <t>V4 - API and Web Service</t>
        </is>
      </c>
      <c r="C93" s="40" t="inlineStr">
        <is>
          <t>V4.4 - WebSocket</t>
        </is>
      </c>
      <c r="D93" s="42" t="n">
        <v>2</v>
      </c>
      <c r="E93" s="40" t="inlineStr">
        <is>
          <t>Verify that, if the application's standard session management cannot be used, dedicated tokens are being used for this, which comply with the relevant Session Management security requirements.</t>
        </is>
      </c>
      <c r="F93" s="40" t="inlineStr">
        <is>
          <t>If exposes an API</t>
        </is>
      </c>
      <c r="G93" s="42" t="inlineStr">
        <is>
          <t>API_EXPOSED="Yes"</t>
        </is>
      </c>
      <c r="H93" s="43">
        <f>IF(AND(API_EXPOSED="Yes",D93&lt;=TARGET_LEVEL_NUM),"Applicable","N/A")</f>
        <v/>
      </c>
      <c r="I93" s="42" t="inlineStr">
        <is>
          <t>HB-API-03</t>
        </is>
      </c>
      <c r="J93" s="42" t="n"/>
      <c r="K93" s="43">
        <f>IF($I93="Excluded","Excluded",IF(H93="N/A","N/A",IFERROR(INDEX(BL_COVERAGE,MATCH($I93,BL_IDS,0))&amp;"","Mapping error")))</f>
        <v/>
      </c>
    </row>
    <row r="94" ht="39.75" customHeight="1" s="19">
      <c r="A94" s="42" t="inlineStr">
        <is>
          <t>V4.4.4</t>
        </is>
      </c>
      <c r="B94" s="40" t="inlineStr">
        <is>
          <t>V4 - API and Web Service</t>
        </is>
      </c>
      <c r="C94" s="40" t="inlineStr">
        <is>
          <t>V4.4 - WebSocket</t>
        </is>
      </c>
      <c r="D94" s="42" t="n">
        <v>2</v>
      </c>
      <c r="E94" s="40" t="inlineStr">
        <is>
          <t>Verify that dedicated WebSocket session management tokens are initially obtained or validated through the previously authenticated HTTPS session when transitioning an existing HTTPS session to a WebSocket channel.</t>
        </is>
      </c>
      <c r="F94" s="40" t="inlineStr">
        <is>
          <t>If exposes an API</t>
        </is>
      </c>
      <c r="G94" s="42" t="inlineStr">
        <is>
          <t>API_EXPOSED="Yes"</t>
        </is>
      </c>
      <c r="H94" s="43">
        <f>IF(AND(API_EXPOSED="Yes",D94&lt;=TARGET_LEVEL_NUM),"Applicable","N/A")</f>
        <v/>
      </c>
      <c r="I94" s="42" t="inlineStr">
        <is>
          <t>HB-API-03</t>
        </is>
      </c>
      <c r="J94" s="42" t="n"/>
      <c r="K94" s="43">
        <f>IF($I94="Excluded","Excluded",IF(H94="N/A","N/A",IFERROR(INDEX(BL_COVERAGE,MATCH($I94,BL_IDS,0))&amp;"","Mapping error")))</f>
        <v/>
      </c>
    </row>
    <row r="95" ht="39.75" customHeight="1" s="19">
      <c r="A95" s="42" t="inlineStr">
        <is>
          <t>V5.1.1</t>
        </is>
      </c>
      <c r="B95" s="40" t="inlineStr">
        <is>
          <t>V5 - File Handling</t>
        </is>
      </c>
      <c r="C95" s="40" t="inlineStr">
        <is>
          <t>V5.1 - File Handling Documentation</t>
        </is>
      </c>
      <c r="D95" s="42" t="n">
        <v>2</v>
      </c>
      <c r="E95" s="40"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F95" s="40" t="inlineStr">
        <is>
          <t>If handles file upload/storage</t>
        </is>
      </c>
      <c r="G95" s="42" t="inlineStr">
        <is>
          <t>FILE_HANDLING="Yes"</t>
        </is>
      </c>
      <c r="H95" s="43">
        <f>IF(AND(FILE_HANDLING="Yes",D95&lt;=TARGET_LEVEL_NUM),"Applicable","N/A")</f>
        <v/>
      </c>
      <c r="I95" s="42" t="inlineStr">
        <is>
          <t>HB-FILE-01</t>
        </is>
      </c>
      <c r="J95" s="42" t="n"/>
      <c r="K95" s="43">
        <f>IF($I95="Excluded","Excluded",IF(H95="N/A","N/A",IFERROR(INDEX(BL_COVERAGE,MATCH($I95,BL_IDS,0))&amp;"","Mapping error")))</f>
        <v/>
      </c>
    </row>
    <row r="96" ht="39.75" customHeight="1" s="19">
      <c r="A96" s="42" t="inlineStr">
        <is>
          <t>V5.2.1</t>
        </is>
      </c>
      <c r="B96" s="40" t="inlineStr">
        <is>
          <t>V5 - File Handling</t>
        </is>
      </c>
      <c r="C96" s="40" t="inlineStr">
        <is>
          <t>V5.2 - File Upload and Content</t>
        </is>
      </c>
      <c r="D96" s="42" t="n">
        <v>1</v>
      </c>
      <c r="E96" s="40" t="inlineStr">
        <is>
          <t>Verify that the application will only accept files of a size which it can process without causing a loss of performance or a denial of service attack.</t>
        </is>
      </c>
      <c r="F96" s="40" t="inlineStr">
        <is>
          <t>If handles file upload/storage</t>
        </is>
      </c>
      <c r="G96" s="42" t="inlineStr">
        <is>
          <t>FILE_HANDLING="Yes"</t>
        </is>
      </c>
      <c r="H96" s="43">
        <f>IF(AND(FILE_HANDLING="Yes",D96&lt;=TARGET_LEVEL_NUM),"Applicable","N/A")</f>
        <v/>
      </c>
      <c r="I96" s="42" t="inlineStr">
        <is>
          <t>HB-FILE-01</t>
        </is>
      </c>
      <c r="J96" s="42" t="n"/>
      <c r="K96" s="43">
        <f>IF($I96="Excluded","Excluded",IF(H96="N/A","N/A",IFERROR(INDEX(BL_COVERAGE,MATCH($I96,BL_IDS,0))&amp;"","Mapping error")))</f>
        <v/>
      </c>
    </row>
    <row r="97" ht="39.75" customHeight="1" s="19">
      <c r="A97" s="42" t="inlineStr">
        <is>
          <t>V5.2.2</t>
        </is>
      </c>
      <c r="B97" s="40" t="inlineStr">
        <is>
          <t>V5 - File Handling</t>
        </is>
      </c>
      <c r="C97" s="40" t="inlineStr">
        <is>
          <t>V5.2 - File Upload and Content</t>
        </is>
      </c>
      <c r="D97" s="42" t="n">
        <v>1</v>
      </c>
      <c r="E97" s="40"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F97" s="40" t="inlineStr">
        <is>
          <t>If handles file upload/storage</t>
        </is>
      </c>
      <c r="G97" s="42" t="inlineStr">
        <is>
          <t>FILE_HANDLING="Yes"</t>
        </is>
      </c>
      <c r="H97" s="43">
        <f>IF(AND(FILE_HANDLING="Yes",D97&lt;=TARGET_LEVEL_NUM),"Applicable","N/A")</f>
        <v/>
      </c>
      <c r="I97" s="42" t="inlineStr">
        <is>
          <t>HB-FILE-01</t>
        </is>
      </c>
      <c r="J97" s="42" t="n"/>
      <c r="K97" s="43">
        <f>IF($I97="Excluded","Excluded",IF(H97="N/A","N/A",IFERROR(INDEX(BL_COVERAGE,MATCH($I97,BL_IDS,0))&amp;"","Mapping error")))</f>
        <v/>
      </c>
    </row>
    <row r="98" ht="39.75" customHeight="1" s="19">
      <c r="A98" s="42" t="inlineStr">
        <is>
          <t>V5.2.3</t>
        </is>
      </c>
      <c r="B98" s="40" t="inlineStr">
        <is>
          <t>V5 - File Handling</t>
        </is>
      </c>
      <c r="C98" s="40" t="inlineStr">
        <is>
          <t>V5.2 - File Upload and Content</t>
        </is>
      </c>
      <c r="D98" s="42" t="n">
        <v>2</v>
      </c>
      <c r="E98" s="40" t="inlineStr">
        <is>
          <t>Verify that the application checks compressed files (e.g., zip, gz, docx, odt) against maximum allowed uncompressed size and against maximum number of files before uncompressing the file.</t>
        </is>
      </c>
      <c r="F98" s="40" t="inlineStr">
        <is>
          <t>If handles file upload/storage</t>
        </is>
      </c>
      <c r="G98" s="42" t="inlineStr">
        <is>
          <t>FILE_HANDLING="Yes"</t>
        </is>
      </c>
      <c r="H98" s="43">
        <f>IF(AND(FILE_HANDLING="Yes",D98&lt;=TARGET_LEVEL_NUM),"Applicable","N/A")</f>
        <v/>
      </c>
      <c r="I98" s="42" t="inlineStr">
        <is>
          <t>HB-FILE-01</t>
        </is>
      </c>
      <c r="J98" s="42" t="n"/>
      <c r="K98" s="43">
        <f>IF($I98="Excluded","Excluded",IF(H98="N/A","N/A",IFERROR(INDEX(BL_COVERAGE,MATCH($I98,BL_IDS,0))&amp;"","Mapping error")))</f>
        <v/>
      </c>
    </row>
    <row r="99" ht="39.75" customHeight="1" s="19">
      <c r="A99" s="42" t="inlineStr">
        <is>
          <t>V5.2.4</t>
        </is>
      </c>
      <c r="B99" s="40" t="inlineStr">
        <is>
          <t>V5 - File Handling</t>
        </is>
      </c>
      <c r="C99" s="40" t="inlineStr">
        <is>
          <t>V5.2 - File Upload and Content</t>
        </is>
      </c>
      <c r="D99" s="42" t="n">
        <v>3</v>
      </c>
      <c r="E99" s="40" t="inlineStr">
        <is>
          <t>Verify that a file size quota and maximum number of files per user are enforced to ensure that a single user cannot fill up the storage with too many files, or excessively large files.</t>
        </is>
      </c>
      <c r="F99" s="40" t="inlineStr">
        <is>
          <t>If handles file upload/storage</t>
        </is>
      </c>
      <c r="G99" s="42" t="inlineStr">
        <is>
          <t>FILE_HANDLING="Yes"</t>
        </is>
      </c>
      <c r="H99" s="43">
        <f>IF(AND(FILE_HANDLING="Yes",D99&lt;=TARGET_LEVEL_NUM),"Applicable","N/A")</f>
        <v/>
      </c>
      <c r="I99" s="42" t="inlineStr">
        <is>
          <t>HB-FILE-01</t>
        </is>
      </c>
      <c r="J99" s="42" t="n"/>
      <c r="K99" s="43">
        <f>IF($I99="Excluded","Excluded",IF(H99="N/A","N/A",IFERROR(INDEX(BL_COVERAGE,MATCH($I99,BL_IDS,0))&amp;"","Mapping error")))</f>
        <v/>
      </c>
    </row>
    <row r="100" ht="39.75" customHeight="1" s="19">
      <c r="A100" s="42" t="inlineStr">
        <is>
          <t>V5.2.5</t>
        </is>
      </c>
      <c r="B100" s="40" t="inlineStr">
        <is>
          <t>V5 - File Handling</t>
        </is>
      </c>
      <c r="C100" s="40" t="inlineStr">
        <is>
          <t>V5.2 - File Upload and Content</t>
        </is>
      </c>
      <c r="D100" s="42" t="n">
        <v>3</v>
      </c>
      <c r="E100" s="40" t="inlineStr">
        <is>
          <t>Verify that the application does not allow uploading compressed files containing symlinks unless this is specifically required (in which case it will be necessary to enforce an allowlist of the files that can be symlinked to).</t>
        </is>
      </c>
      <c r="F100" s="40" t="inlineStr">
        <is>
          <t>If handles file upload/storage</t>
        </is>
      </c>
      <c r="G100" s="42" t="inlineStr">
        <is>
          <t>FILE_HANDLING="Yes"</t>
        </is>
      </c>
      <c r="H100" s="43">
        <f>IF(AND(FILE_HANDLING="Yes",D100&lt;=TARGET_LEVEL_NUM),"Applicable","N/A")</f>
        <v/>
      </c>
      <c r="I100" s="42" t="inlineStr">
        <is>
          <t>HB-FILE-01</t>
        </is>
      </c>
      <c r="J100" s="42" t="n"/>
      <c r="K100" s="43">
        <f>IF($I100="Excluded","Excluded",IF(H100="N/A","N/A",IFERROR(INDEX(BL_COVERAGE,MATCH($I100,BL_IDS,0))&amp;"","Mapping error")))</f>
        <v/>
      </c>
    </row>
    <row r="101" ht="39.75" customHeight="1" s="19">
      <c r="A101" s="42" t="inlineStr">
        <is>
          <t>V5.2.6</t>
        </is>
      </c>
      <c r="B101" s="40" t="inlineStr">
        <is>
          <t>V5 - File Handling</t>
        </is>
      </c>
      <c r="C101" s="40" t="inlineStr">
        <is>
          <t>V5.2 - File Upload and Content</t>
        </is>
      </c>
      <c r="D101" s="42" t="n">
        <v>3</v>
      </c>
      <c r="E101" s="40" t="inlineStr">
        <is>
          <t>Verify that the application rejects uploaded images with a pixel size larger than the maximum allowed, to prevent pixel flood attacks.</t>
        </is>
      </c>
      <c r="F101" s="40" t="inlineStr">
        <is>
          <t>If handles file upload/storage</t>
        </is>
      </c>
      <c r="G101" s="42" t="inlineStr">
        <is>
          <t>FILE_HANDLING="Yes"</t>
        </is>
      </c>
      <c r="H101" s="43">
        <f>IF(AND(FILE_HANDLING="Yes",D101&lt;=TARGET_LEVEL_NUM),"Applicable","N/A")</f>
        <v/>
      </c>
      <c r="I101" s="42" t="inlineStr">
        <is>
          <t>HB-FILE-01</t>
        </is>
      </c>
      <c r="J101" s="42" t="n"/>
      <c r="K101" s="43">
        <f>IF($I101="Excluded","Excluded",IF(H101="N/A","N/A",IFERROR(INDEX(BL_COVERAGE,MATCH($I101,BL_IDS,0))&amp;"","Mapping error")))</f>
        <v/>
      </c>
    </row>
    <row r="102" ht="39.75" customHeight="1" s="19">
      <c r="A102" s="42" t="inlineStr">
        <is>
          <t>V5.3.1</t>
        </is>
      </c>
      <c r="B102" s="40" t="inlineStr">
        <is>
          <t>V5 - File Handling</t>
        </is>
      </c>
      <c r="C102" s="40" t="inlineStr">
        <is>
          <t>V5.3 - File Storage</t>
        </is>
      </c>
      <c r="D102" s="42" t="n">
        <v>1</v>
      </c>
      <c r="E102" s="40" t="inlineStr">
        <is>
          <t>Verify that files uploaded or generated by untrusted input and stored in a public folder, are not executed as server-side program code when accessed directly with an HTTP request.</t>
        </is>
      </c>
      <c r="F102" s="40" t="inlineStr">
        <is>
          <t>If handles file upload/storage</t>
        </is>
      </c>
      <c r="G102" s="42" t="inlineStr">
        <is>
          <t>FILE_HANDLING="Yes"</t>
        </is>
      </c>
      <c r="H102" s="43">
        <f>IF(AND(FILE_HANDLING="Yes",D102&lt;=TARGET_LEVEL_NUM),"Applicable","N/A")</f>
        <v/>
      </c>
      <c r="I102" s="42" t="inlineStr">
        <is>
          <t>HB-FILE-02</t>
        </is>
      </c>
      <c r="J102" s="42" t="n"/>
      <c r="K102" s="43">
        <f>IF($I102="Excluded","Excluded",IF(H102="N/A","N/A",IFERROR(INDEX(BL_COVERAGE,MATCH($I102,BL_IDS,0))&amp;"","Mapping error")))</f>
        <v/>
      </c>
    </row>
    <row r="103" ht="39.75" customHeight="1" s="19">
      <c r="A103" s="42" t="inlineStr">
        <is>
          <t>V5.3.2</t>
        </is>
      </c>
      <c r="B103" s="40" t="inlineStr">
        <is>
          <t>V5 - File Handling</t>
        </is>
      </c>
      <c r="C103" s="40" t="inlineStr">
        <is>
          <t>V5.3 - File Storage</t>
        </is>
      </c>
      <c r="D103" s="42" t="n">
        <v>1</v>
      </c>
      <c r="E103" s="40"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F103" s="40" t="inlineStr">
        <is>
          <t>If handles file upload/storage</t>
        </is>
      </c>
      <c r="G103" s="42" t="inlineStr">
        <is>
          <t>FILE_HANDLING="Yes"</t>
        </is>
      </c>
      <c r="H103" s="43">
        <f>IF(AND(FILE_HANDLING="Yes",D103&lt;=TARGET_LEVEL_NUM),"Applicable","N/A")</f>
        <v/>
      </c>
      <c r="I103" s="42" t="inlineStr">
        <is>
          <t>HB-FILE-02</t>
        </is>
      </c>
      <c r="J103" s="42" t="n"/>
      <c r="K103" s="43">
        <f>IF($I103="Excluded","Excluded",IF(H103="N/A","N/A",IFERROR(INDEX(BL_COVERAGE,MATCH($I103,BL_IDS,0))&amp;"","Mapping error")))</f>
        <v/>
      </c>
    </row>
    <row r="104" ht="39.75" customHeight="1" s="19">
      <c r="A104" s="42" t="inlineStr">
        <is>
          <t>V5.3.3</t>
        </is>
      </c>
      <c r="B104" s="40" t="inlineStr">
        <is>
          <t>V5 - File Handling</t>
        </is>
      </c>
      <c r="C104" s="40" t="inlineStr">
        <is>
          <t>V5.3 - File Storage</t>
        </is>
      </c>
      <c r="D104" s="42" t="n">
        <v>3</v>
      </c>
      <c r="E104" s="40" t="inlineStr">
        <is>
          <t>Verify that server-side file processing, such as file decompression, ignores user-provided path information to prevent vulnerabilities such as zip slip.</t>
        </is>
      </c>
      <c r="F104" s="40" t="inlineStr">
        <is>
          <t>If handles file upload/storage</t>
        </is>
      </c>
      <c r="G104" s="42" t="inlineStr">
        <is>
          <t>FILE_HANDLING="Yes"</t>
        </is>
      </c>
      <c r="H104" s="43">
        <f>IF(AND(FILE_HANDLING="Yes",D104&lt;=TARGET_LEVEL_NUM),"Applicable","N/A")</f>
        <v/>
      </c>
      <c r="I104" s="42" t="inlineStr">
        <is>
          <t>HB-FILE-02</t>
        </is>
      </c>
      <c r="J104" s="42" t="n"/>
      <c r="K104" s="43">
        <f>IF($I104="Excluded","Excluded",IF(H104="N/A","N/A",IFERROR(INDEX(BL_COVERAGE,MATCH($I104,BL_IDS,0))&amp;"","Mapping error")))</f>
        <v/>
      </c>
    </row>
    <row r="105" ht="39.75" customHeight="1" s="19">
      <c r="A105" s="42" t="inlineStr">
        <is>
          <t>V5.4.1</t>
        </is>
      </c>
      <c r="B105" s="40" t="inlineStr">
        <is>
          <t>V5 - File Handling</t>
        </is>
      </c>
      <c r="C105" s="40" t="inlineStr">
        <is>
          <t>V5.4 - File Download</t>
        </is>
      </c>
      <c r="D105" s="42" t="n">
        <v>2</v>
      </c>
      <c r="E105" s="40" t="inlineStr">
        <is>
          <t>Verify that the application validates or ignores user-submitted filenames, including in a JSON, JSONP, or URL parameter and specifies a filename in the Content-Disposition header field in the response.</t>
        </is>
      </c>
      <c r="F105" s="40" t="inlineStr">
        <is>
          <t>If handles file upload/storage</t>
        </is>
      </c>
      <c r="G105" s="42" t="inlineStr">
        <is>
          <t>FILE_HANDLING="Yes"</t>
        </is>
      </c>
      <c r="H105" s="43">
        <f>IF(AND(FILE_HANDLING="Yes",D105&lt;=TARGET_LEVEL_NUM),"Applicable","N/A")</f>
        <v/>
      </c>
      <c r="I105" s="42" t="inlineStr">
        <is>
          <t>HB-FILE-02</t>
        </is>
      </c>
      <c r="J105" s="42" t="n"/>
      <c r="K105" s="43">
        <f>IF($I105="Excluded","Excluded",IF(H105="N/A","N/A",IFERROR(INDEX(BL_COVERAGE,MATCH($I105,BL_IDS,0))&amp;"","Mapping error")))</f>
        <v/>
      </c>
    </row>
    <row r="106" ht="39.75" customHeight="1" s="19">
      <c r="A106" s="42" t="inlineStr">
        <is>
          <t>V5.4.2</t>
        </is>
      </c>
      <c r="B106" s="40" t="inlineStr">
        <is>
          <t>V5 - File Handling</t>
        </is>
      </c>
      <c r="C106" s="40" t="inlineStr">
        <is>
          <t>V5.4 - File Download</t>
        </is>
      </c>
      <c r="D106" s="42" t="n">
        <v>2</v>
      </c>
      <c r="E106" s="40" t="inlineStr">
        <is>
          <t>Verify that file names served (e.g., in HTTP response header fields or email attachments) are encoded or sanitized (e.g., following RFC 6266) to preserve document structure and prevent injection attacks.</t>
        </is>
      </c>
      <c r="F106" s="40" t="inlineStr">
        <is>
          <t>If handles file upload/storage</t>
        </is>
      </c>
      <c r="G106" s="42" t="inlineStr">
        <is>
          <t>FILE_HANDLING="Yes"</t>
        </is>
      </c>
      <c r="H106" s="43">
        <f>IF(AND(FILE_HANDLING="Yes",D106&lt;=TARGET_LEVEL_NUM),"Applicable","N/A")</f>
        <v/>
      </c>
      <c r="I106" s="42" t="inlineStr">
        <is>
          <t>HB-FILE-02</t>
        </is>
      </c>
      <c r="J106" s="42" t="n"/>
      <c r="K106" s="43">
        <f>IF($I106="Excluded","Excluded",IF(H106="N/A","N/A",IFERROR(INDEX(BL_COVERAGE,MATCH($I106,BL_IDS,0))&amp;"","Mapping error")))</f>
        <v/>
      </c>
    </row>
    <row r="107" ht="39.75" customHeight="1" s="19">
      <c r="A107" s="42" t="inlineStr">
        <is>
          <t>V5.4.3</t>
        </is>
      </c>
      <c r="B107" s="40" t="inlineStr">
        <is>
          <t>V5 - File Handling</t>
        </is>
      </c>
      <c r="C107" s="40" t="inlineStr">
        <is>
          <t>V5.4 - File Download</t>
        </is>
      </c>
      <c r="D107" s="42" t="n">
        <v>2</v>
      </c>
      <c r="E107" s="40" t="inlineStr">
        <is>
          <t>Verify that files obtained from untrusted sources are scanned by antivirus scanners to prevent serving of known malicious content.</t>
        </is>
      </c>
      <c r="F107" s="40" t="inlineStr">
        <is>
          <t>If handles file upload/storage</t>
        </is>
      </c>
      <c r="G107" s="42" t="inlineStr">
        <is>
          <t>FILE_HANDLING="Yes"</t>
        </is>
      </c>
      <c r="H107" s="43">
        <f>IF(AND(FILE_HANDLING="Yes",D107&lt;=TARGET_LEVEL_NUM),"Applicable","N/A")</f>
        <v/>
      </c>
      <c r="I107" s="42" t="inlineStr">
        <is>
          <t>HB-FILE-01</t>
        </is>
      </c>
      <c r="J107" s="42" t="n"/>
      <c r="K107" s="43">
        <f>IF($I107="Excluded","Excluded",IF(H107="N/A","N/A",IFERROR(INDEX(BL_COVERAGE,MATCH($I107,BL_IDS,0))&amp;"","Mapping error")))</f>
        <v/>
      </c>
    </row>
    <row r="108" ht="39.75" customHeight="1" s="19">
      <c r="A108" s="42" t="inlineStr">
        <is>
          <t>V6.1.1</t>
        </is>
      </c>
      <c r="B108" s="40" t="inlineStr">
        <is>
          <t>V6 - Authentication</t>
        </is>
      </c>
      <c r="C108" s="40" t="inlineStr">
        <is>
          <t>V6.1 - Authentication Documentation</t>
        </is>
      </c>
      <c r="D108" s="42" t="n">
        <v>1</v>
      </c>
      <c r="E108" s="40"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F108" s="40" t="inlineStr">
        <is>
          <t>Always</t>
        </is>
      </c>
      <c r="G108" s="42" t="inlineStr">
        <is>
          <t>TRUE</t>
        </is>
      </c>
      <c r="H108" s="43">
        <f>IF(AND(TRUE(),D108&lt;=TARGET_LEVEL_NUM),"Applicable","N/A")</f>
        <v/>
      </c>
      <c r="I108" s="42" t="inlineStr">
        <is>
          <t>HB-AUTH-02</t>
        </is>
      </c>
      <c r="J108" s="42" t="n"/>
      <c r="K108" s="43">
        <f>IF($I108="Excluded","Excluded",IF(H108="N/A","N/A",IFERROR(INDEX(BL_COVERAGE,MATCH($I108,BL_IDS,0))&amp;"","Mapping error")))</f>
        <v/>
      </c>
    </row>
    <row r="109" ht="39.75" customHeight="1" s="19">
      <c r="A109" s="42" t="inlineStr">
        <is>
          <t>V6.1.2</t>
        </is>
      </c>
      <c r="B109" s="40" t="inlineStr">
        <is>
          <t>V6 - Authentication</t>
        </is>
      </c>
      <c r="C109" s="40" t="inlineStr">
        <is>
          <t>V6.1 - Authentication Documentation</t>
        </is>
      </c>
      <c r="D109" s="42" t="n">
        <v>2</v>
      </c>
      <c r="E109" s="40" t="inlineStr">
        <is>
          <t>Verify that a list of context-specific words is documented in order to prevent their use in passwords. The list could include permutations of organization names, product names, system identifiers, project codenames, department or role names, and similar.</t>
        </is>
      </c>
      <c r="F109" s="40" t="inlineStr">
        <is>
          <t>Always</t>
        </is>
      </c>
      <c r="G109" s="42" t="inlineStr">
        <is>
          <t>TRUE</t>
        </is>
      </c>
      <c r="H109" s="43">
        <f>IF(AND(TRUE(),D109&lt;=TARGET_LEVEL_NUM),"Applicable","N/A")</f>
        <v/>
      </c>
      <c r="I109" s="42" t="inlineStr">
        <is>
          <t>HB-AUTH-01</t>
        </is>
      </c>
      <c r="J109" s="42" t="n"/>
      <c r="K109" s="43">
        <f>IF($I109="Excluded","Excluded",IF(H109="N/A","N/A",IFERROR(INDEX(BL_COVERAGE,MATCH($I109,BL_IDS,0))&amp;"","Mapping error")))</f>
        <v/>
      </c>
    </row>
    <row r="110" ht="39.75" customHeight="1" s="19">
      <c r="A110" s="42" t="inlineStr">
        <is>
          <t>V6.1.3</t>
        </is>
      </c>
      <c r="B110" s="40" t="inlineStr">
        <is>
          <t>V6 - Authentication</t>
        </is>
      </c>
      <c r="C110" s="40" t="inlineStr">
        <is>
          <t>V6.1 - Authentication Documentation</t>
        </is>
      </c>
      <c r="D110" s="42" t="n">
        <v>2</v>
      </c>
      <c r="E110" s="40" t="inlineStr">
        <is>
          <t>Verify that, if the application includes multiple authentication pathways, these are all documented together with the security controls and authentication strength which must be consistently enforced across them.</t>
        </is>
      </c>
      <c r="F110" s="40" t="inlineStr">
        <is>
          <t>Always</t>
        </is>
      </c>
      <c r="G110" s="42" t="inlineStr">
        <is>
          <t>TRUE</t>
        </is>
      </c>
      <c r="H110" s="43">
        <f>IF(AND(TRUE(),D110&lt;=TARGET_LEVEL_NUM),"Applicable","N/A")</f>
        <v/>
      </c>
      <c r="I110" s="42" t="inlineStr">
        <is>
          <t>HB-AUTH-06</t>
        </is>
      </c>
      <c r="J110" s="42" t="n"/>
      <c r="K110" s="43">
        <f>IF($I110="Excluded","Excluded",IF(H110="N/A","N/A",IFERROR(INDEX(BL_COVERAGE,MATCH($I110,BL_IDS,0))&amp;"","Mapping error")))</f>
        <v/>
      </c>
    </row>
    <row r="111" ht="39.75" customHeight="1" s="19">
      <c r="A111" s="42" t="inlineStr">
        <is>
          <t>V6.2.1</t>
        </is>
      </c>
      <c r="B111" s="40" t="inlineStr">
        <is>
          <t>V6 - Authentication</t>
        </is>
      </c>
      <c r="C111" s="40" t="inlineStr">
        <is>
          <t>V6.2 - Password Security</t>
        </is>
      </c>
      <c r="D111" s="42" t="n">
        <v>1</v>
      </c>
      <c r="E111" s="40" t="inlineStr">
        <is>
          <t>Verify that user set passwords are at least 8 characters in length although a minimum of 15 characters is strongly recommended.</t>
        </is>
      </c>
      <c r="F111" s="40" t="inlineStr">
        <is>
          <t>Always</t>
        </is>
      </c>
      <c r="G111" s="42" t="inlineStr">
        <is>
          <t>TRUE</t>
        </is>
      </c>
      <c r="H111" s="43">
        <f>IF(AND(TRUE(),D111&lt;=TARGET_LEVEL_NUM),"Applicable","N/A")</f>
        <v/>
      </c>
      <c r="I111" s="42" t="inlineStr">
        <is>
          <t>HB-AUTH-01</t>
        </is>
      </c>
      <c r="J111" s="42" t="n"/>
      <c r="K111" s="43">
        <f>IF($I111="Excluded","Excluded",IF(H111="N/A","N/A",IFERROR(INDEX(BL_COVERAGE,MATCH($I111,BL_IDS,0))&amp;"","Mapping error")))</f>
        <v/>
      </c>
    </row>
    <row r="112" ht="39.75" customHeight="1" s="19">
      <c r="A112" s="42" t="inlineStr">
        <is>
          <t>V6.2.2</t>
        </is>
      </c>
      <c r="B112" s="40" t="inlineStr">
        <is>
          <t>V6 - Authentication</t>
        </is>
      </c>
      <c r="C112" s="40" t="inlineStr">
        <is>
          <t>V6.2 - Password Security</t>
        </is>
      </c>
      <c r="D112" s="42" t="n">
        <v>1</v>
      </c>
      <c r="E112" s="40" t="inlineStr">
        <is>
          <t>Verify that users can change their password.</t>
        </is>
      </c>
      <c r="F112" s="40" t="inlineStr">
        <is>
          <t>Always</t>
        </is>
      </c>
      <c r="G112" s="42" t="inlineStr">
        <is>
          <t>TRUE</t>
        </is>
      </c>
      <c r="H112" s="43">
        <f>IF(AND(TRUE(),D112&lt;=TARGET_LEVEL_NUM),"Applicable","N/A")</f>
        <v/>
      </c>
      <c r="I112" s="42" t="inlineStr">
        <is>
          <t>HB-AUTH-01</t>
        </is>
      </c>
      <c r="J112" s="42" t="n"/>
      <c r="K112" s="43">
        <f>IF($I112="Excluded","Excluded",IF(H112="N/A","N/A",IFERROR(INDEX(BL_COVERAGE,MATCH($I112,BL_IDS,0))&amp;"","Mapping error")))</f>
        <v/>
      </c>
    </row>
    <row r="113" ht="39.75" customHeight="1" s="19">
      <c r="A113" s="42" t="inlineStr">
        <is>
          <t>V6.2.3</t>
        </is>
      </c>
      <c r="B113" s="40" t="inlineStr">
        <is>
          <t>V6 - Authentication</t>
        </is>
      </c>
      <c r="C113" s="40" t="inlineStr">
        <is>
          <t>V6.2 - Password Security</t>
        </is>
      </c>
      <c r="D113" s="42" t="n">
        <v>1</v>
      </c>
      <c r="E113" s="40" t="inlineStr">
        <is>
          <t>Verify that password change functionality requires the user's current and new password.</t>
        </is>
      </c>
      <c r="F113" s="40" t="inlineStr">
        <is>
          <t>Always</t>
        </is>
      </c>
      <c r="G113" s="42" t="inlineStr">
        <is>
          <t>TRUE</t>
        </is>
      </c>
      <c r="H113" s="43">
        <f>IF(AND(TRUE(),D113&lt;=TARGET_LEVEL_NUM),"Applicable","N/A")</f>
        <v/>
      </c>
      <c r="I113" s="42" t="inlineStr">
        <is>
          <t>HB-AUTH-01</t>
        </is>
      </c>
      <c r="J113" s="42" t="n"/>
      <c r="K113" s="43">
        <f>IF($I113="Excluded","Excluded",IF(H113="N/A","N/A",IFERROR(INDEX(BL_COVERAGE,MATCH($I113,BL_IDS,0))&amp;"","Mapping error")))</f>
        <v/>
      </c>
    </row>
    <row r="114" ht="39.75" customHeight="1" s="19">
      <c r="A114" s="42" t="inlineStr">
        <is>
          <t>V6.2.4</t>
        </is>
      </c>
      <c r="B114" s="40" t="inlineStr">
        <is>
          <t>V6 - Authentication</t>
        </is>
      </c>
      <c r="C114" s="40" t="inlineStr">
        <is>
          <t>V6.2 - Password Security</t>
        </is>
      </c>
      <c r="D114" s="42" t="n">
        <v>1</v>
      </c>
      <c r="E114" s="40" t="inlineStr">
        <is>
          <t>Verify that passwords submitted during account registration or password change are checked against an available set of, at least, the top 3000 passwords which match the application's password policy, e.g. minimum length.</t>
        </is>
      </c>
      <c r="F114" s="40" t="inlineStr">
        <is>
          <t>Always</t>
        </is>
      </c>
      <c r="G114" s="42" t="inlineStr">
        <is>
          <t>TRUE</t>
        </is>
      </c>
      <c r="H114" s="43">
        <f>IF(AND(TRUE(),D114&lt;=TARGET_LEVEL_NUM),"Applicable","N/A")</f>
        <v/>
      </c>
      <c r="I114" s="42" t="inlineStr">
        <is>
          <t>HB-AUTH-01</t>
        </is>
      </c>
      <c r="J114" s="42" t="n"/>
      <c r="K114" s="43">
        <f>IF($I114="Excluded","Excluded",IF(H114="N/A","N/A",IFERROR(INDEX(BL_COVERAGE,MATCH($I114,BL_IDS,0))&amp;"","Mapping error")))</f>
        <v/>
      </c>
    </row>
    <row r="115" ht="39.75" customHeight="1" s="19">
      <c r="A115" s="42" t="inlineStr">
        <is>
          <t>V6.2.5</t>
        </is>
      </c>
      <c r="B115" s="40" t="inlineStr">
        <is>
          <t>V6 - Authentication</t>
        </is>
      </c>
      <c r="C115" s="40" t="inlineStr">
        <is>
          <t>V6.2 - Password Security</t>
        </is>
      </c>
      <c r="D115" s="42" t="n">
        <v>1</v>
      </c>
      <c r="E115" s="40" t="inlineStr">
        <is>
          <t>Verify that passwords of any composition can be used, without rules limiting the type of characters permitted. There must be no requirement for a minimum number of upper or lower case characters, numbers, or special characters.</t>
        </is>
      </c>
      <c r="F115" s="40" t="inlineStr">
        <is>
          <t>Always</t>
        </is>
      </c>
      <c r="G115" s="42" t="inlineStr">
        <is>
          <t>TRUE</t>
        </is>
      </c>
      <c r="H115" s="43">
        <f>IF(AND(TRUE(),D115&lt;=TARGET_LEVEL_NUM),"Applicable","N/A")</f>
        <v/>
      </c>
      <c r="I115" s="42" t="inlineStr">
        <is>
          <t>HB-AUTH-01</t>
        </is>
      </c>
      <c r="J115" s="42" t="n"/>
      <c r="K115" s="43">
        <f>IF($I115="Excluded","Excluded",IF(H115="N/A","N/A",IFERROR(INDEX(BL_COVERAGE,MATCH($I115,BL_IDS,0))&amp;"","Mapping error")))</f>
        <v/>
      </c>
    </row>
    <row r="116" ht="39.75" customHeight="1" s="19">
      <c r="A116" s="42" t="inlineStr">
        <is>
          <t>V6.2.6</t>
        </is>
      </c>
      <c r="B116" s="40" t="inlineStr">
        <is>
          <t>V6 - Authentication</t>
        </is>
      </c>
      <c r="C116" s="40" t="inlineStr">
        <is>
          <t>V6.2 - Password Security</t>
        </is>
      </c>
      <c r="D116" s="42" t="n">
        <v>1</v>
      </c>
      <c r="E116" s="40" t="inlineStr">
        <is>
          <t>Verify that password input fields use type=password to mask the entry. Applications may allow the user to temporarily view the entire masked password, or the last typed character of the password.</t>
        </is>
      </c>
      <c r="F116" s="40" t="inlineStr">
        <is>
          <t>Always</t>
        </is>
      </c>
      <c r="G116" s="42" t="inlineStr">
        <is>
          <t>TRUE</t>
        </is>
      </c>
      <c r="H116" s="43">
        <f>IF(AND(TRUE(),D116&lt;=TARGET_LEVEL_NUM),"Applicable","N/A")</f>
        <v/>
      </c>
      <c r="I116" s="42" t="inlineStr">
        <is>
          <t>HB-AUTH-01</t>
        </is>
      </c>
      <c r="J116" s="42" t="n"/>
      <c r="K116" s="43">
        <f>IF($I116="Excluded","Excluded",IF(H116="N/A","N/A",IFERROR(INDEX(BL_COVERAGE,MATCH($I116,BL_IDS,0))&amp;"","Mapping error")))</f>
        <v/>
      </c>
    </row>
    <row r="117" ht="39.75" customHeight="1" s="19">
      <c r="A117" s="42" t="inlineStr">
        <is>
          <t>V6.2.7</t>
        </is>
      </c>
      <c r="B117" s="40" t="inlineStr">
        <is>
          <t>V6 - Authentication</t>
        </is>
      </c>
      <c r="C117" s="40" t="inlineStr">
        <is>
          <t>V6.2 - Password Security</t>
        </is>
      </c>
      <c r="D117" s="42" t="n">
        <v>1</v>
      </c>
      <c r="E117" s="40" t="inlineStr">
        <is>
          <t>Verify that "paste" functionality, browser password helpers, and external password managers are permitted.</t>
        </is>
      </c>
      <c r="F117" s="40" t="inlineStr">
        <is>
          <t>Always</t>
        </is>
      </c>
      <c r="G117" s="42" t="inlineStr">
        <is>
          <t>TRUE</t>
        </is>
      </c>
      <c r="H117" s="43">
        <f>IF(AND(TRUE(),D117&lt;=TARGET_LEVEL_NUM),"Applicable","N/A")</f>
        <v/>
      </c>
      <c r="I117" s="42" t="inlineStr">
        <is>
          <t>HB-AUTH-01</t>
        </is>
      </c>
      <c r="J117" s="42" t="n"/>
      <c r="K117" s="43">
        <f>IF($I117="Excluded","Excluded",IF(H117="N/A","N/A",IFERROR(INDEX(BL_COVERAGE,MATCH($I117,BL_IDS,0))&amp;"","Mapping error")))</f>
        <v/>
      </c>
    </row>
    <row r="118" ht="39.75" customHeight="1" s="19">
      <c r="A118" s="42" t="inlineStr">
        <is>
          <t>V6.2.8</t>
        </is>
      </c>
      <c r="B118" s="40" t="inlineStr">
        <is>
          <t>V6 - Authentication</t>
        </is>
      </c>
      <c r="C118" s="40" t="inlineStr">
        <is>
          <t>V6.2 - Password Security</t>
        </is>
      </c>
      <c r="D118" s="42" t="n">
        <v>1</v>
      </c>
      <c r="E118" s="40" t="inlineStr">
        <is>
          <t>Verify that the application verifies the user's password exactly as received from the user, without any modifications such as truncation or case transformation.</t>
        </is>
      </c>
      <c r="F118" s="40" t="inlineStr">
        <is>
          <t>Always</t>
        </is>
      </c>
      <c r="G118" s="42" t="inlineStr">
        <is>
          <t>TRUE</t>
        </is>
      </c>
      <c r="H118" s="43">
        <f>IF(AND(TRUE(),D118&lt;=TARGET_LEVEL_NUM),"Applicable","N/A")</f>
        <v/>
      </c>
      <c r="I118" s="42" t="inlineStr">
        <is>
          <t>HB-AUTH-01</t>
        </is>
      </c>
      <c r="J118" s="42" t="n"/>
      <c r="K118" s="43">
        <f>IF($I118="Excluded","Excluded",IF(H118="N/A","N/A",IFERROR(INDEX(BL_COVERAGE,MATCH($I118,BL_IDS,0))&amp;"","Mapping error")))</f>
        <v/>
      </c>
    </row>
    <row r="119" ht="39.75" customHeight="1" s="19">
      <c r="A119" s="42" t="inlineStr">
        <is>
          <t>V6.2.9</t>
        </is>
      </c>
      <c r="B119" s="40" t="inlineStr">
        <is>
          <t>V6 - Authentication</t>
        </is>
      </c>
      <c r="C119" s="40" t="inlineStr">
        <is>
          <t>V6.2 - Password Security</t>
        </is>
      </c>
      <c r="D119" s="42" t="n">
        <v>2</v>
      </c>
      <c r="E119" s="40" t="inlineStr">
        <is>
          <t>Verify that passwords of at least 64 characters are permitted.</t>
        </is>
      </c>
      <c r="F119" s="40" t="inlineStr">
        <is>
          <t>Always</t>
        </is>
      </c>
      <c r="G119" s="42" t="inlineStr">
        <is>
          <t>TRUE</t>
        </is>
      </c>
      <c r="H119" s="43">
        <f>IF(AND(TRUE(),D119&lt;=TARGET_LEVEL_NUM),"Applicable","N/A")</f>
        <v/>
      </c>
      <c r="I119" s="42" t="inlineStr">
        <is>
          <t>HB-AUTH-01</t>
        </is>
      </c>
      <c r="J119" s="42" t="n"/>
      <c r="K119" s="43">
        <f>IF($I119="Excluded","Excluded",IF(H119="N/A","N/A",IFERROR(INDEX(BL_COVERAGE,MATCH($I119,BL_IDS,0))&amp;"","Mapping error")))</f>
        <v/>
      </c>
    </row>
    <row r="120" ht="39.75" customHeight="1" s="19">
      <c r="A120" s="42" t="inlineStr">
        <is>
          <t>V6.2.10</t>
        </is>
      </c>
      <c r="B120" s="40" t="inlineStr">
        <is>
          <t>V6 - Authentication</t>
        </is>
      </c>
      <c r="C120" s="40" t="inlineStr">
        <is>
          <t>V6.2 - Password Security</t>
        </is>
      </c>
      <c r="D120" s="42" t="n">
        <v>2</v>
      </c>
      <c r="E120" s="40" t="inlineStr">
        <is>
          <t>Verify that a user's password stays valid until it is discovered to be compromised or the user rotates it. The application must not require periodic credential rotation.</t>
        </is>
      </c>
      <c r="F120" s="40" t="inlineStr">
        <is>
          <t>Always</t>
        </is>
      </c>
      <c r="G120" s="42" t="inlineStr">
        <is>
          <t>TRUE</t>
        </is>
      </c>
      <c r="H120" s="43">
        <f>IF(AND(TRUE(),D120&lt;=TARGET_LEVEL_NUM),"Applicable","N/A")</f>
        <v/>
      </c>
      <c r="I120" s="42" t="inlineStr">
        <is>
          <t>HB-AUTH-01</t>
        </is>
      </c>
      <c r="J120" s="42" t="n"/>
      <c r="K120" s="43">
        <f>IF($I120="Excluded","Excluded",IF(H120="N/A","N/A",IFERROR(INDEX(BL_COVERAGE,MATCH($I120,BL_IDS,0))&amp;"","Mapping error")))</f>
        <v/>
      </c>
    </row>
    <row r="121" ht="39.75" customHeight="1" s="19">
      <c r="A121" s="42" t="inlineStr">
        <is>
          <t>V6.2.11</t>
        </is>
      </c>
      <c r="B121" s="40" t="inlineStr">
        <is>
          <t>V6 - Authentication</t>
        </is>
      </c>
      <c r="C121" s="40" t="inlineStr">
        <is>
          <t>V6.2 - Password Security</t>
        </is>
      </c>
      <c r="D121" s="42" t="n">
        <v>2</v>
      </c>
      <c r="E121" s="40" t="inlineStr">
        <is>
          <t>Verify that the documented list of context specific words is used to prevent easy to guess passwords being created.</t>
        </is>
      </c>
      <c r="F121" s="40" t="inlineStr">
        <is>
          <t>Always</t>
        </is>
      </c>
      <c r="G121" s="42" t="inlineStr">
        <is>
          <t>TRUE</t>
        </is>
      </c>
      <c r="H121" s="43">
        <f>IF(AND(TRUE(),D121&lt;=TARGET_LEVEL_NUM),"Applicable","N/A")</f>
        <v/>
      </c>
      <c r="I121" s="42" t="inlineStr">
        <is>
          <t>HB-AUTH-01</t>
        </is>
      </c>
      <c r="J121" s="42" t="n"/>
      <c r="K121" s="43">
        <f>IF($I121="Excluded","Excluded",IF(H121="N/A","N/A",IFERROR(INDEX(BL_COVERAGE,MATCH($I121,BL_IDS,0))&amp;"","Mapping error")))</f>
        <v/>
      </c>
    </row>
    <row r="122" ht="39.75" customHeight="1" s="19">
      <c r="A122" s="42" t="inlineStr">
        <is>
          <t>V6.2.12</t>
        </is>
      </c>
      <c r="B122" s="40" t="inlineStr">
        <is>
          <t>V6 - Authentication</t>
        </is>
      </c>
      <c r="C122" s="40" t="inlineStr">
        <is>
          <t>V6.2 - Password Security</t>
        </is>
      </c>
      <c r="D122" s="42" t="n">
        <v>2</v>
      </c>
      <c r="E122" s="40" t="inlineStr">
        <is>
          <t>Verify that passwords submitted during account registration or password changes are checked against a set of breached passwords.</t>
        </is>
      </c>
      <c r="F122" s="40" t="inlineStr">
        <is>
          <t>Always</t>
        </is>
      </c>
      <c r="G122" s="42" t="inlineStr">
        <is>
          <t>TRUE</t>
        </is>
      </c>
      <c r="H122" s="43">
        <f>IF(AND(TRUE(),D122&lt;=TARGET_LEVEL_NUM),"Applicable","N/A")</f>
        <v/>
      </c>
      <c r="I122" s="42" t="inlineStr">
        <is>
          <t>HB-AUTH-01</t>
        </is>
      </c>
      <c r="J122" s="42" t="n"/>
      <c r="K122" s="43">
        <f>IF($I122="Excluded","Excluded",IF(H122="N/A","N/A",IFERROR(INDEX(BL_COVERAGE,MATCH($I122,BL_IDS,0))&amp;"","Mapping error")))</f>
        <v/>
      </c>
    </row>
    <row r="123" ht="39.75" customHeight="1" s="19">
      <c r="A123" s="42" t="inlineStr">
        <is>
          <t>V6.3.1</t>
        </is>
      </c>
      <c r="B123" s="40" t="inlineStr">
        <is>
          <t>V6 - Authentication</t>
        </is>
      </c>
      <c r="C123" s="40" t="inlineStr">
        <is>
          <t>V6.3 - General Authentication Security</t>
        </is>
      </c>
      <c r="D123" s="42" t="n">
        <v>1</v>
      </c>
      <c r="E123" s="40" t="inlineStr">
        <is>
          <t>Verify that controls to prevent attacks such as credential stuffing and password brute force are implemented according to the application's security documentation.</t>
        </is>
      </c>
      <c r="F123" s="40" t="inlineStr">
        <is>
          <t>Always</t>
        </is>
      </c>
      <c r="G123" s="42" t="inlineStr">
        <is>
          <t>TRUE</t>
        </is>
      </c>
      <c r="H123" s="43">
        <f>IF(AND(TRUE(),D123&lt;=TARGET_LEVEL_NUM),"Applicable","N/A")</f>
        <v/>
      </c>
      <c r="I123" s="42" t="inlineStr">
        <is>
          <t>HB-AUTH-02</t>
        </is>
      </c>
      <c r="J123" s="42" t="n"/>
      <c r="K123" s="43">
        <f>IF($I123="Excluded","Excluded",IF(H123="N/A","N/A",IFERROR(INDEX(BL_COVERAGE,MATCH($I123,BL_IDS,0))&amp;"","Mapping error")))</f>
        <v/>
      </c>
    </row>
    <row r="124" ht="39.75" customHeight="1" s="19">
      <c r="A124" s="42" t="inlineStr">
        <is>
          <t>V6.3.2</t>
        </is>
      </c>
      <c r="B124" s="40" t="inlineStr">
        <is>
          <t>V6 - Authentication</t>
        </is>
      </c>
      <c r="C124" s="40" t="inlineStr">
        <is>
          <t>V6.3 - General Authentication Security</t>
        </is>
      </c>
      <c r="D124" s="42" t="n">
        <v>1</v>
      </c>
      <c r="E124" s="40" t="inlineStr">
        <is>
          <t>Verify that default user accounts (e.g., "root", "admin", or "sa") are not present in the application or are disabled.</t>
        </is>
      </c>
      <c r="F124" s="40" t="inlineStr">
        <is>
          <t>Always</t>
        </is>
      </c>
      <c r="G124" s="42" t="inlineStr">
        <is>
          <t>TRUE</t>
        </is>
      </c>
      <c r="H124" s="43">
        <f>IF(AND(TRUE(),D124&lt;=TARGET_LEVEL_NUM),"Applicable","N/A")</f>
        <v/>
      </c>
      <c r="I124" s="42" t="inlineStr">
        <is>
          <t>HB-AUTH-03</t>
        </is>
      </c>
      <c r="J124" s="42" t="n"/>
      <c r="K124" s="43">
        <f>IF($I124="Excluded","Excluded",IF(H124="N/A","N/A",IFERROR(INDEX(BL_COVERAGE,MATCH($I124,BL_IDS,0))&amp;"","Mapping error")))</f>
        <v/>
      </c>
    </row>
    <row r="125" ht="39.75" customHeight="1" s="19">
      <c r="A125" s="42" t="inlineStr">
        <is>
          <t>V6.3.3</t>
        </is>
      </c>
      <c r="B125" s="40" t="inlineStr">
        <is>
          <t>V6 - Authentication</t>
        </is>
      </c>
      <c r="C125" s="40" t="inlineStr">
        <is>
          <t>V6.3 - General Authentication Security</t>
        </is>
      </c>
      <c r="D125" s="42" t="n">
        <v>2</v>
      </c>
      <c r="E125" s="40"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F125" s="40" t="inlineStr">
        <is>
          <t>Always</t>
        </is>
      </c>
      <c r="G125" s="42" t="inlineStr">
        <is>
          <t>TRUE</t>
        </is>
      </c>
      <c r="H125" s="43">
        <f>IF(AND(TRUE(),D125&lt;=TARGET_LEVEL_NUM),"Applicable","N/A")</f>
        <v/>
      </c>
      <c r="I125" s="42" t="inlineStr">
        <is>
          <t>HB-AUTH-04</t>
        </is>
      </c>
      <c r="J125" s="42" t="n"/>
      <c r="K125" s="43">
        <f>IF($I125="Excluded","Excluded",IF(H125="N/A","N/A",IFERROR(INDEX(BL_COVERAGE,MATCH($I125,BL_IDS,0))&amp;"","Mapping error")))</f>
        <v/>
      </c>
    </row>
    <row r="126" ht="39.75" customHeight="1" s="19">
      <c r="A126" s="42" t="inlineStr">
        <is>
          <t>V6.3.4</t>
        </is>
      </c>
      <c r="B126" s="40" t="inlineStr">
        <is>
          <t>V6 - Authentication</t>
        </is>
      </c>
      <c r="C126" s="40" t="inlineStr">
        <is>
          <t>V6.3 - General Authentication Security</t>
        </is>
      </c>
      <c r="D126" s="42" t="n">
        <v>2</v>
      </c>
      <c r="E126" s="40" t="inlineStr">
        <is>
          <t>Verify that, if the application includes multiple authentication pathways, there are no undocumented pathways and that security controls and authentication strength are enforced consistently.</t>
        </is>
      </c>
      <c r="F126" s="40" t="inlineStr">
        <is>
          <t>Always</t>
        </is>
      </c>
      <c r="G126" s="42" t="inlineStr">
        <is>
          <t>TRUE</t>
        </is>
      </c>
      <c r="H126" s="43">
        <f>IF(AND(TRUE(),D126&lt;=TARGET_LEVEL_NUM),"Applicable","N/A")</f>
        <v/>
      </c>
      <c r="I126" s="42" t="inlineStr">
        <is>
          <t>HB-AUTH-06</t>
        </is>
      </c>
      <c r="J126" s="42" t="n"/>
      <c r="K126" s="43">
        <f>IF($I126="Excluded","Excluded",IF(H126="N/A","N/A",IFERROR(INDEX(BL_COVERAGE,MATCH($I126,BL_IDS,0))&amp;"","Mapping error")))</f>
        <v/>
      </c>
    </row>
    <row r="127" ht="39.75" customHeight="1" s="19">
      <c r="A127" s="42" t="inlineStr">
        <is>
          <t>V6.3.5</t>
        </is>
      </c>
      <c r="B127" s="40" t="inlineStr">
        <is>
          <t>V6 - Authentication</t>
        </is>
      </c>
      <c r="C127" s="40" t="inlineStr">
        <is>
          <t>V6.3 - General Authentication Security</t>
        </is>
      </c>
      <c r="D127" s="42" t="n">
        <v>3</v>
      </c>
      <c r="E127" s="40"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F127" s="40" t="inlineStr">
        <is>
          <t>Always</t>
        </is>
      </c>
      <c r="G127" s="42" t="inlineStr">
        <is>
          <t>TRUE</t>
        </is>
      </c>
      <c r="H127" s="43">
        <f>IF(AND(TRUE(),D127&lt;=TARGET_LEVEL_NUM),"Applicable","N/A")</f>
        <v/>
      </c>
      <c r="I127" s="42" t="inlineStr">
        <is>
          <t>HB-AUTH-07</t>
        </is>
      </c>
      <c r="J127" s="42" t="n"/>
      <c r="K127" s="43">
        <f>IF($I127="Excluded","Excluded",IF(H127="N/A","N/A",IFERROR(INDEX(BL_COVERAGE,MATCH($I127,BL_IDS,0))&amp;"","Mapping error")))</f>
        <v/>
      </c>
    </row>
    <row r="128" ht="39.75" customHeight="1" s="19">
      <c r="A128" s="42" t="inlineStr">
        <is>
          <t>V6.3.6</t>
        </is>
      </c>
      <c r="B128" s="40" t="inlineStr">
        <is>
          <t>V6 - Authentication</t>
        </is>
      </c>
      <c r="C128" s="40" t="inlineStr">
        <is>
          <t>V6.3 - General Authentication Security</t>
        </is>
      </c>
      <c r="D128" s="42" t="n">
        <v>3</v>
      </c>
      <c r="E128" s="40" t="inlineStr">
        <is>
          <t>Verify that email is not used as either a single-factor or multi-factor authentication mechanism.</t>
        </is>
      </c>
      <c r="F128" s="40" t="inlineStr">
        <is>
          <t>Always</t>
        </is>
      </c>
      <c r="G128" s="42" t="inlineStr">
        <is>
          <t>TRUE</t>
        </is>
      </c>
      <c r="H128" s="43">
        <f>IF(AND(TRUE(),D128&lt;=TARGET_LEVEL_NUM),"Applicable","N/A")</f>
        <v/>
      </c>
      <c r="I128" s="42" t="inlineStr">
        <is>
          <t>HB-AUTH-04</t>
        </is>
      </c>
      <c r="J128" s="42" t="n"/>
      <c r="K128" s="43">
        <f>IF($I128="Excluded","Excluded",IF(H128="N/A","N/A",IFERROR(INDEX(BL_COVERAGE,MATCH($I128,BL_IDS,0))&amp;"","Mapping error")))</f>
        <v/>
      </c>
    </row>
    <row r="129" ht="39.75" customHeight="1" s="19">
      <c r="A129" s="42" t="inlineStr">
        <is>
          <t>V6.3.7</t>
        </is>
      </c>
      <c r="B129" s="40" t="inlineStr">
        <is>
          <t>V6 - Authentication</t>
        </is>
      </c>
      <c r="C129" s="40" t="inlineStr">
        <is>
          <t>V6.3 - General Authentication Security</t>
        </is>
      </c>
      <c r="D129" s="42" t="n">
        <v>3</v>
      </c>
      <c r="E129" s="40" t="inlineStr">
        <is>
          <t>Verify that users are notified after updates to authentication details, such as credential resets or modification of the username or email address.</t>
        </is>
      </c>
      <c r="F129" s="40" t="inlineStr">
        <is>
          <t>Always</t>
        </is>
      </c>
      <c r="G129" s="42" t="inlineStr">
        <is>
          <t>TRUE</t>
        </is>
      </c>
      <c r="H129" s="43">
        <f>IF(AND(TRUE(),D129&lt;=TARGET_LEVEL_NUM),"Applicable","N/A")</f>
        <v/>
      </c>
      <c r="I129" s="42" t="inlineStr">
        <is>
          <t>HB-AUTH-07</t>
        </is>
      </c>
      <c r="J129" s="42" t="n"/>
      <c r="K129" s="43">
        <f>IF($I129="Excluded","Excluded",IF(H129="N/A","N/A",IFERROR(INDEX(BL_COVERAGE,MATCH($I129,BL_IDS,0))&amp;"","Mapping error")))</f>
        <v/>
      </c>
    </row>
    <row r="130" ht="39.75" customHeight="1" s="19">
      <c r="A130" s="42" t="inlineStr">
        <is>
          <t>V6.3.8</t>
        </is>
      </c>
      <c r="B130" s="40" t="inlineStr">
        <is>
          <t>V6 - Authentication</t>
        </is>
      </c>
      <c r="C130" s="40" t="inlineStr">
        <is>
          <t>V6.3 - General Authentication Security</t>
        </is>
      </c>
      <c r="D130" s="42" t="n">
        <v>3</v>
      </c>
      <c r="E130" s="40" t="inlineStr">
        <is>
          <t>Verify that valid users cannot be deduced from failed authentication challenges, such as by basing on error messages, HTTP response codes, or different response times. Registration and forgot password functionality must also have this protection.</t>
        </is>
      </c>
      <c r="F130" s="40" t="inlineStr">
        <is>
          <t>Always</t>
        </is>
      </c>
      <c r="G130" s="42" t="inlineStr">
        <is>
          <t>TRUE</t>
        </is>
      </c>
      <c r="H130" s="43">
        <f>IF(AND(TRUE(),D130&lt;=TARGET_LEVEL_NUM),"Applicable","N/A")</f>
        <v/>
      </c>
      <c r="I130" s="42" t="inlineStr">
        <is>
          <t>HB-AUTH-02</t>
        </is>
      </c>
      <c r="J130" s="42" t="n"/>
      <c r="K130" s="43">
        <f>IF($I130="Excluded","Excluded",IF(H130="N/A","N/A",IFERROR(INDEX(BL_COVERAGE,MATCH($I130,BL_IDS,0))&amp;"","Mapping error")))</f>
        <v/>
      </c>
    </row>
    <row r="131" ht="39.75" customHeight="1" s="19">
      <c r="A131" s="42" t="inlineStr">
        <is>
          <t>V6.4.1</t>
        </is>
      </c>
      <c r="B131" s="40" t="inlineStr">
        <is>
          <t>V6 - Authentication</t>
        </is>
      </c>
      <c r="C131" s="40" t="inlineStr">
        <is>
          <t>V6.4 - Authentication Factor Lifecycle and Recovery</t>
        </is>
      </c>
      <c r="D131" s="42" t="n">
        <v>1</v>
      </c>
      <c r="E131" s="40"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F131" s="40" t="inlineStr">
        <is>
          <t>Always</t>
        </is>
      </c>
      <c r="G131" s="42" t="inlineStr">
        <is>
          <t>TRUE</t>
        </is>
      </c>
      <c r="H131" s="43">
        <f>IF(AND(TRUE(),D131&lt;=TARGET_LEVEL_NUM),"Applicable","N/A")</f>
        <v/>
      </c>
      <c r="I131" s="42" t="inlineStr">
        <is>
          <t>HB-AUTH-07</t>
        </is>
      </c>
      <c r="J131" s="42" t="n"/>
      <c r="K131" s="43">
        <f>IF($I131="Excluded","Excluded",IF(H131="N/A","N/A",IFERROR(INDEX(BL_COVERAGE,MATCH($I131,BL_IDS,0))&amp;"","Mapping error")))</f>
        <v/>
      </c>
    </row>
    <row r="132" ht="39.75" customHeight="1" s="19">
      <c r="A132" s="42" t="inlineStr">
        <is>
          <t>V6.4.2</t>
        </is>
      </c>
      <c r="B132" s="40" t="inlineStr">
        <is>
          <t>V6 - Authentication</t>
        </is>
      </c>
      <c r="C132" s="40" t="inlineStr">
        <is>
          <t>V6.4 - Authentication Factor Lifecycle and Recovery</t>
        </is>
      </c>
      <c r="D132" s="42" t="n">
        <v>1</v>
      </c>
      <c r="E132" s="40" t="inlineStr">
        <is>
          <t>Verify that password hints or knowledge-based authentication (so-called "secret questions") are not present.</t>
        </is>
      </c>
      <c r="F132" s="40" t="inlineStr">
        <is>
          <t>Always</t>
        </is>
      </c>
      <c r="G132" s="42" t="inlineStr">
        <is>
          <t>TRUE</t>
        </is>
      </c>
      <c r="H132" s="43">
        <f>IF(AND(TRUE(),D132&lt;=TARGET_LEVEL_NUM),"Applicable","N/A")</f>
        <v/>
      </c>
      <c r="I132" s="42" t="inlineStr">
        <is>
          <t>HB-AUTH-07</t>
        </is>
      </c>
      <c r="J132" s="42" t="n"/>
      <c r="K132" s="43">
        <f>IF($I132="Excluded","Excluded",IF(H132="N/A","N/A",IFERROR(INDEX(BL_COVERAGE,MATCH($I132,BL_IDS,0))&amp;"","Mapping error")))</f>
        <v/>
      </c>
    </row>
    <row r="133" ht="39.75" customHeight="1" s="19">
      <c r="A133" s="42" t="inlineStr">
        <is>
          <t>V6.4.3</t>
        </is>
      </c>
      <c r="B133" s="40" t="inlineStr">
        <is>
          <t>V6 - Authentication</t>
        </is>
      </c>
      <c r="C133" s="40" t="inlineStr">
        <is>
          <t>V6.4 - Authentication Factor Lifecycle and Recovery</t>
        </is>
      </c>
      <c r="D133" s="42" t="n">
        <v>2</v>
      </c>
      <c r="E133" s="40" t="inlineStr">
        <is>
          <t>Verify that a secure process for resetting a forgotten password is implemented, that does not bypass any enabled multi-factor authentication mechanisms.</t>
        </is>
      </c>
      <c r="F133" s="40" t="inlineStr">
        <is>
          <t>Always</t>
        </is>
      </c>
      <c r="G133" s="42" t="inlineStr">
        <is>
          <t>TRUE</t>
        </is>
      </c>
      <c r="H133" s="43">
        <f>IF(AND(TRUE(),D133&lt;=TARGET_LEVEL_NUM),"Applicable","N/A")</f>
        <v/>
      </c>
      <c r="I133" s="42" t="inlineStr">
        <is>
          <t>HB-AUTH-07</t>
        </is>
      </c>
      <c r="J133" s="42" t="n"/>
      <c r="K133" s="43">
        <f>IF($I133="Excluded","Excluded",IF(H133="N/A","N/A",IFERROR(INDEX(BL_COVERAGE,MATCH($I133,BL_IDS,0))&amp;"","Mapping error")))</f>
        <v/>
      </c>
    </row>
    <row r="134" ht="39.75" customHeight="1" s="19">
      <c r="A134" s="42" t="inlineStr">
        <is>
          <t>V6.4.4</t>
        </is>
      </c>
      <c r="B134" s="40" t="inlineStr">
        <is>
          <t>V6 - Authentication</t>
        </is>
      </c>
      <c r="C134" s="40" t="inlineStr">
        <is>
          <t>V6.4 - Authentication Factor Lifecycle and Recovery</t>
        </is>
      </c>
      <c r="D134" s="42" t="n">
        <v>2</v>
      </c>
      <c r="E134" s="40" t="inlineStr">
        <is>
          <t>Verify that if a multi-factor authentication factor is lost, evidence of identity proofing is performed at the same level as during enrollment.</t>
        </is>
      </c>
      <c r="F134" s="40" t="inlineStr">
        <is>
          <t>Always</t>
        </is>
      </c>
      <c r="G134" s="42" t="inlineStr">
        <is>
          <t>TRUE</t>
        </is>
      </c>
      <c r="H134" s="43">
        <f>IF(AND(TRUE(),D134&lt;=TARGET_LEVEL_NUM),"Applicable","N/A")</f>
        <v/>
      </c>
      <c r="I134" s="42" t="inlineStr">
        <is>
          <t>HB-AUTH-07</t>
        </is>
      </c>
      <c r="J134" s="42" t="n"/>
      <c r="K134" s="43">
        <f>IF($I134="Excluded","Excluded",IF(H134="N/A","N/A",IFERROR(INDEX(BL_COVERAGE,MATCH($I134,BL_IDS,0))&amp;"","Mapping error")))</f>
        <v/>
      </c>
    </row>
    <row r="135" ht="39.75" customHeight="1" s="19">
      <c r="A135" s="42" t="inlineStr">
        <is>
          <t>V6.4.5</t>
        </is>
      </c>
      <c r="B135" s="40" t="inlineStr">
        <is>
          <t>V6 - Authentication</t>
        </is>
      </c>
      <c r="C135" s="40" t="inlineStr">
        <is>
          <t>V6.4 - Authentication Factor Lifecycle and Recovery</t>
        </is>
      </c>
      <c r="D135" s="42" t="n">
        <v>3</v>
      </c>
      <c r="E135" s="40" t="inlineStr">
        <is>
          <t>Verify that renewal instructions for authentication mechanisms which expire are sent with enough time to be carried out before the old authentication mechanism expires, configuring automated reminders if necessary.</t>
        </is>
      </c>
      <c r="F135" s="40" t="inlineStr">
        <is>
          <t>Always</t>
        </is>
      </c>
      <c r="G135" s="42" t="inlineStr">
        <is>
          <t>TRUE</t>
        </is>
      </c>
      <c r="H135" s="43">
        <f>IF(AND(TRUE(),D135&lt;=TARGET_LEVEL_NUM),"Applicable","N/A")</f>
        <v/>
      </c>
      <c r="I135" s="42" t="inlineStr">
        <is>
          <t>HB-AUTH-07</t>
        </is>
      </c>
      <c r="J135" s="42" t="n"/>
      <c r="K135" s="43">
        <f>IF($I135="Excluded","Excluded",IF(H135="N/A","N/A",IFERROR(INDEX(BL_COVERAGE,MATCH($I135,BL_IDS,0))&amp;"","Mapping error")))</f>
        <v/>
      </c>
    </row>
    <row r="136" ht="39.75" customHeight="1" s="19">
      <c r="A136" s="42" t="inlineStr">
        <is>
          <t>V6.4.6</t>
        </is>
      </c>
      <c r="B136" s="40" t="inlineStr">
        <is>
          <t>V6 - Authentication</t>
        </is>
      </c>
      <c r="C136" s="40" t="inlineStr">
        <is>
          <t>V6.4 - Authentication Factor Lifecycle and Recovery</t>
        </is>
      </c>
      <c r="D136" s="42" t="n">
        <v>3</v>
      </c>
      <c r="E136" s="40" t="inlineStr">
        <is>
          <t>Verify that administrative users can initiate the password reset process for the user, but that this does not allow them to change or choose the user's password. This prevents a situation where they know the user's password.</t>
        </is>
      </c>
      <c r="F136" s="40" t="inlineStr">
        <is>
          <t>Always</t>
        </is>
      </c>
      <c r="G136" s="42" t="inlineStr">
        <is>
          <t>TRUE</t>
        </is>
      </c>
      <c r="H136" s="43">
        <f>IF(AND(TRUE(),D136&lt;=TARGET_LEVEL_NUM),"Applicable","N/A")</f>
        <v/>
      </c>
      <c r="I136" s="42" t="inlineStr">
        <is>
          <t>HB-AUTH-07</t>
        </is>
      </c>
      <c r="J136" s="42" t="n"/>
      <c r="K136" s="43">
        <f>IF($I136="Excluded","Excluded",IF(H136="N/A","N/A",IFERROR(INDEX(BL_COVERAGE,MATCH($I136,BL_IDS,0))&amp;"","Mapping error")))</f>
        <v/>
      </c>
    </row>
    <row r="137" ht="39.75" customHeight="1" s="19">
      <c r="A137" s="42" t="inlineStr">
        <is>
          <t>V6.5.1</t>
        </is>
      </c>
      <c r="B137" s="40" t="inlineStr">
        <is>
          <t>V6 - Authentication</t>
        </is>
      </c>
      <c r="C137" s="40" t="inlineStr">
        <is>
          <t>V6.5 - General Multi-factor authentication requirements</t>
        </is>
      </c>
      <c r="D137" s="42" t="n">
        <v>2</v>
      </c>
      <c r="E137" s="40" t="inlineStr">
        <is>
          <t>Verify that lookup secrets, out-of-band authentication requests or codes, and time-based one-time passwords (TOTPs) are only successfully usable once.</t>
        </is>
      </c>
      <c r="F137" s="40" t="inlineStr">
        <is>
          <t>Always</t>
        </is>
      </c>
      <c r="G137" s="42" t="inlineStr">
        <is>
          <t>TRUE</t>
        </is>
      </c>
      <c r="H137" s="43">
        <f>IF(AND(TRUE(),D137&lt;=TARGET_LEVEL_NUM),"Applicable","N/A")</f>
        <v/>
      </c>
      <c r="I137" s="42" t="inlineStr">
        <is>
          <t>HB-AUTH-05</t>
        </is>
      </c>
      <c r="J137" s="42" t="n"/>
      <c r="K137" s="43">
        <f>IF($I137="Excluded","Excluded",IF(H137="N/A","N/A",IFERROR(INDEX(BL_COVERAGE,MATCH($I137,BL_IDS,0))&amp;"","Mapping error")))</f>
        <v/>
      </c>
    </row>
    <row r="138" ht="39.75" customHeight="1" s="19">
      <c r="A138" s="42" t="inlineStr">
        <is>
          <t>V6.5.2</t>
        </is>
      </c>
      <c r="B138" s="40" t="inlineStr">
        <is>
          <t>V6 - Authentication</t>
        </is>
      </c>
      <c r="C138" s="40" t="inlineStr">
        <is>
          <t>V6.5 - General Multi-factor authentication requirements</t>
        </is>
      </c>
      <c r="D138" s="42" t="n">
        <v>2</v>
      </c>
      <c r="E138" s="40"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F138" s="40" t="inlineStr">
        <is>
          <t>Always</t>
        </is>
      </c>
      <c r="G138" s="42" t="inlineStr">
        <is>
          <t>TRUE</t>
        </is>
      </c>
      <c r="H138" s="43">
        <f>IF(AND(TRUE(),D138&lt;=TARGET_LEVEL_NUM),"Applicable","N/A")</f>
        <v/>
      </c>
      <c r="I138" s="42" t="inlineStr">
        <is>
          <t>HB-AUTH-05</t>
        </is>
      </c>
      <c r="J138" s="42" t="n"/>
      <c r="K138" s="43">
        <f>IF($I138="Excluded","Excluded",IF(H138="N/A","N/A",IFERROR(INDEX(BL_COVERAGE,MATCH($I138,BL_IDS,0))&amp;"","Mapping error")))</f>
        <v/>
      </c>
    </row>
    <row r="139" ht="39.75" customHeight="1" s="19">
      <c r="A139" s="42" t="inlineStr">
        <is>
          <t>V6.5.3</t>
        </is>
      </c>
      <c r="B139" s="40" t="inlineStr">
        <is>
          <t>V6 - Authentication</t>
        </is>
      </c>
      <c r="C139" s="40" t="inlineStr">
        <is>
          <t>V6.5 - General Multi-factor authentication requirements</t>
        </is>
      </c>
      <c r="D139" s="42" t="n">
        <v>2</v>
      </c>
      <c r="E139" s="40" t="inlineStr">
        <is>
          <t>Verify that lookup secrets, out-of-band authentication code, and time-based one-time password seeds, are generated using a Cryptographically Secure Pseudorandom Number Generator (CSPRNG) to avoid predictable values.</t>
        </is>
      </c>
      <c r="F139" s="40" t="inlineStr">
        <is>
          <t>Always</t>
        </is>
      </c>
      <c r="G139" s="42" t="inlineStr">
        <is>
          <t>TRUE</t>
        </is>
      </c>
      <c r="H139" s="43">
        <f>IF(AND(TRUE(),D139&lt;=TARGET_LEVEL_NUM),"Applicable","N/A")</f>
        <v/>
      </c>
      <c r="I139" s="42" t="inlineStr">
        <is>
          <t>HB-AUTH-05</t>
        </is>
      </c>
      <c r="J139" s="42" t="n"/>
      <c r="K139" s="43">
        <f>IF($I139="Excluded","Excluded",IF(H139="N/A","N/A",IFERROR(INDEX(BL_COVERAGE,MATCH($I139,BL_IDS,0))&amp;"","Mapping error")))</f>
        <v/>
      </c>
    </row>
    <row r="140" ht="39.75" customHeight="1" s="19">
      <c r="A140" s="42" t="inlineStr">
        <is>
          <t>V6.5.4</t>
        </is>
      </c>
      <c r="B140" s="40" t="inlineStr">
        <is>
          <t>V6 - Authentication</t>
        </is>
      </c>
      <c r="C140" s="40" t="inlineStr">
        <is>
          <t>V6.5 - General Multi-factor authentication requirements</t>
        </is>
      </c>
      <c r="D140" s="42" t="n">
        <v>2</v>
      </c>
      <c r="E140" s="40" t="inlineStr">
        <is>
          <t>Verify that lookup secrets and out-of-band authentication codes have a minimum of 20 bits of entropy (typically 4 random alphanumeric characters or 6 random digits is sufficient).</t>
        </is>
      </c>
      <c r="F140" s="40" t="inlineStr">
        <is>
          <t>Always</t>
        </is>
      </c>
      <c r="G140" s="42" t="inlineStr">
        <is>
          <t>TRUE</t>
        </is>
      </c>
      <c r="H140" s="43">
        <f>IF(AND(TRUE(),D140&lt;=TARGET_LEVEL_NUM),"Applicable","N/A")</f>
        <v/>
      </c>
      <c r="I140" s="42" t="inlineStr">
        <is>
          <t>HB-AUTH-05</t>
        </is>
      </c>
      <c r="J140" s="42" t="n"/>
      <c r="K140" s="43">
        <f>IF($I140="Excluded","Excluded",IF(H140="N/A","N/A",IFERROR(INDEX(BL_COVERAGE,MATCH($I140,BL_IDS,0))&amp;"","Mapping error")))</f>
        <v/>
      </c>
    </row>
    <row r="141" ht="39.75" customHeight="1" s="19">
      <c r="A141" s="42" t="inlineStr">
        <is>
          <t>V6.5.5</t>
        </is>
      </c>
      <c r="B141" s="40" t="inlineStr">
        <is>
          <t>V6 - Authentication</t>
        </is>
      </c>
      <c r="C141" s="40" t="inlineStr">
        <is>
          <t>V6.5 - General Multi-factor authentication requirements</t>
        </is>
      </c>
      <c r="D141" s="42" t="n">
        <v>2</v>
      </c>
      <c r="E141" s="40" t="inlineStr">
        <is>
          <t>Verify that out-of-band authentication requests, codes, or tokens, as well as time-based one-time passwords (TOTPs) have a defined lifetime. Out of band requests must have a maximum lifetime of 10 minutes and for TOTP a maximum lifetime of 30 seconds.</t>
        </is>
      </c>
      <c r="F141" s="40" t="inlineStr">
        <is>
          <t>Always</t>
        </is>
      </c>
      <c r="G141" s="42" t="inlineStr">
        <is>
          <t>TRUE</t>
        </is>
      </c>
      <c r="H141" s="43">
        <f>IF(AND(TRUE(),D141&lt;=TARGET_LEVEL_NUM),"Applicable","N/A")</f>
        <v/>
      </c>
      <c r="I141" s="42" t="inlineStr">
        <is>
          <t>HB-AUTH-05</t>
        </is>
      </c>
      <c r="J141" s="42" t="n"/>
      <c r="K141" s="43">
        <f>IF($I141="Excluded","Excluded",IF(H141="N/A","N/A",IFERROR(INDEX(BL_COVERAGE,MATCH($I141,BL_IDS,0))&amp;"","Mapping error")))</f>
        <v/>
      </c>
    </row>
    <row r="142" ht="39.75" customHeight="1" s="19">
      <c r="A142" s="42" t="inlineStr">
        <is>
          <t>V6.5.6</t>
        </is>
      </c>
      <c r="B142" s="40" t="inlineStr">
        <is>
          <t>V6 - Authentication</t>
        </is>
      </c>
      <c r="C142" s="40" t="inlineStr">
        <is>
          <t>V6.5 - General Multi-factor authentication requirements</t>
        </is>
      </c>
      <c r="D142" s="42" t="n">
        <v>3</v>
      </c>
      <c r="E142" s="40" t="inlineStr">
        <is>
          <t>Verify that any authentication factor (including physical devices) can be revoked in case of theft or other loss.</t>
        </is>
      </c>
      <c r="F142" s="40" t="inlineStr">
        <is>
          <t>Always</t>
        </is>
      </c>
      <c r="G142" s="42" t="inlineStr">
        <is>
          <t>TRUE</t>
        </is>
      </c>
      <c r="H142" s="43">
        <f>IF(AND(TRUE(),D142&lt;=TARGET_LEVEL_NUM),"Applicable","N/A")</f>
        <v/>
      </c>
      <c r="I142" s="42" t="inlineStr">
        <is>
          <t>HB-AUTH-05</t>
        </is>
      </c>
      <c r="J142" s="42" t="n"/>
      <c r="K142" s="43">
        <f>IF($I142="Excluded","Excluded",IF(H142="N/A","N/A",IFERROR(INDEX(BL_COVERAGE,MATCH($I142,BL_IDS,0))&amp;"","Mapping error")))</f>
        <v/>
      </c>
    </row>
    <row r="143" ht="39.75" customHeight="1" s="19">
      <c r="A143" s="42" t="inlineStr">
        <is>
          <t>V6.5.7</t>
        </is>
      </c>
      <c r="B143" s="40" t="inlineStr">
        <is>
          <t>V6 - Authentication</t>
        </is>
      </c>
      <c r="C143" s="40" t="inlineStr">
        <is>
          <t>V6.5 - General Multi-factor authentication requirements</t>
        </is>
      </c>
      <c r="D143" s="42" t="n">
        <v>3</v>
      </c>
      <c r="E143" s="40" t="inlineStr">
        <is>
          <t>Verify that biometric authentication mechanisms are only used as secondary factors together with either something you have or something you know.</t>
        </is>
      </c>
      <c r="F143" s="40" t="inlineStr">
        <is>
          <t>Always</t>
        </is>
      </c>
      <c r="G143" s="42" t="inlineStr">
        <is>
          <t>TRUE</t>
        </is>
      </c>
      <c r="H143" s="43">
        <f>IF(AND(TRUE(),D143&lt;=TARGET_LEVEL_NUM),"Applicable","N/A")</f>
        <v/>
      </c>
      <c r="I143" s="42" t="inlineStr">
        <is>
          <t>HB-AUTH-04</t>
        </is>
      </c>
      <c r="J143" s="42" t="n"/>
      <c r="K143" s="43">
        <f>IF($I143="Excluded","Excluded",IF(H143="N/A","N/A",IFERROR(INDEX(BL_COVERAGE,MATCH($I143,BL_IDS,0))&amp;"","Mapping error")))</f>
        <v/>
      </c>
    </row>
    <row r="144" ht="39.75" customHeight="1" s="19">
      <c r="A144" s="42" t="inlineStr">
        <is>
          <t>V6.5.8</t>
        </is>
      </c>
      <c r="B144" s="40" t="inlineStr">
        <is>
          <t>V6 - Authentication</t>
        </is>
      </c>
      <c r="C144" s="40" t="inlineStr">
        <is>
          <t>V6.5 - General Multi-factor authentication requirements</t>
        </is>
      </c>
      <c r="D144" s="42" t="n">
        <v>3</v>
      </c>
      <c r="E144" s="40" t="inlineStr">
        <is>
          <t>Verify that time-based one-time passwords (TOTPs) are checked based on a time source from a trusted service and not from an untrusted or client provided time.</t>
        </is>
      </c>
      <c r="F144" s="40" t="inlineStr">
        <is>
          <t>Always</t>
        </is>
      </c>
      <c r="G144" s="42" t="inlineStr">
        <is>
          <t>TRUE</t>
        </is>
      </c>
      <c r="H144" s="43">
        <f>IF(AND(TRUE(),D144&lt;=TARGET_LEVEL_NUM),"Applicable","N/A")</f>
        <v/>
      </c>
      <c r="I144" s="42" t="inlineStr">
        <is>
          <t>HB-AUTH-05</t>
        </is>
      </c>
      <c r="J144" s="42" t="n"/>
      <c r="K144" s="43">
        <f>IF($I144="Excluded","Excluded",IF(H144="N/A","N/A",IFERROR(INDEX(BL_COVERAGE,MATCH($I144,BL_IDS,0))&amp;"","Mapping error")))</f>
        <v/>
      </c>
    </row>
    <row r="145" ht="39.75" customHeight="1" s="19">
      <c r="A145" s="42" t="inlineStr">
        <is>
          <t>V6.6.1</t>
        </is>
      </c>
      <c r="B145" s="40" t="inlineStr">
        <is>
          <t>V6 - Authentication</t>
        </is>
      </c>
      <c r="C145" s="40" t="inlineStr">
        <is>
          <t>V6.6 - Out-of-Band authentication mechanisms</t>
        </is>
      </c>
      <c r="D145" s="42" t="n">
        <v>2</v>
      </c>
      <c r="E145" s="40"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F145" s="40" t="inlineStr">
        <is>
          <t>Always</t>
        </is>
      </c>
      <c r="G145" s="42" t="inlineStr">
        <is>
          <t>TRUE</t>
        </is>
      </c>
      <c r="H145" s="43">
        <f>IF(AND(TRUE(),D145&lt;=TARGET_LEVEL_NUM),"Applicable","N/A")</f>
        <v/>
      </c>
      <c r="I145" s="42" t="inlineStr">
        <is>
          <t>HB-AUTH-04</t>
        </is>
      </c>
      <c r="J145" s="42" t="n"/>
      <c r="K145" s="43">
        <f>IF($I145="Excluded","Excluded",IF(H145="N/A","N/A",IFERROR(INDEX(BL_COVERAGE,MATCH($I145,BL_IDS,0))&amp;"","Mapping error")))</f>
        <v/>
      </c>
    </row>
    <row r="146" ht="39.75" customHeight="1" s="19">
      <c r="A146" s="42" t="inlineStr">
        <is>
          <t>V6.6.2</t>
        </is>
      </c>
      <c r="B146" s="40" t="inlineStr">
        <is>
          <t>V6 - Authentication</t>
        </is>
      </c>
      <c r="C146" s="40" t="inlineStr">
        <is>
          <t>V6.6 - Out-of-Band authentication mechanisms</t>
        </is>
      </c>
      <c r="D146" s="42" t="n">
        <v>2</v>
      </c>
      <c r="E146" s="40" t="inlineStr">
        <is>
          <t>Verify that out-of-band authentication requests, codes, or tokens are bound to the original authentication request for which they were generated and are not usable for a previous or subsequent one.</t>
        </is>
      </c>
      <c r="F146" s="40" t="inlineStr">
        <is>
          <t>Always</t>
        </is>
      </c>
      <c r="G146" s="42" t="inlineStr">
        <is>
          <t>TRUE</t>
        </is>
      </c>
      <c r="H146" s="43">
        <f>IF(AND(TRUE(),D146&lt;=TARGET_LEVEL_NUM),"Applicable","N/A")</f>
        <v/>
      </c>
      <c r="I146" s="42" t="inlineStr">
        <is>
          <t>HB-AUTH-05</t>
        </is>
      </c>
      <c r="J146" s="42" t="n"/>
      <c r="K146" s="43">
        <f>IF($I146="Excluded","Excluded",IF(H146="N/A","N/A",IFERROR(INDEX(BL_COVERAGE,MATCH($I146,BL_IDS,0))&amp;"","Mapping error")))</f>
        <v/>
      </c>
    </row>
    <row r="147" ht="39.75" customHeight="1" s="19">
      <c r="A147" s="42" t="inlineStr">
        <is>
          <t>V6.6.3</t>
        </is>
      </c>
      <c r="B147" s="40" t="inlineStr">
        <is>
          <t>V6 - Authentication</t>
        </is>
      </c>
      <c r="C147" s="40" t="inlineStr">
        <is>
          <t>V6.6 - Out-of-Band authentication mechanisms</t>
        </is>
      </c>
      <c r="D147" s="42" t="n">
        <v>2</v>
      </c>
      <c r="E147" s="40" t="inlineStr">
        <is>
          <t>Verify that a code based out-of-band authentication mechanism is protected against brute force attacks by using rate limiting. Consider also using a code with at least 64 bits of entropy.</t>
        </is>
      </c>
      <c r="F147" s="40" t="inlineStr">
        <is>
          <t>Always</t>
        </is>
      </c>
      <c r="G147" s="42" t="inlineStr">
        <is>
          <t>TRUE</t>
        </is>
      </c>
      <c r="H147" s="43">
        <f>IF(AND(TRUE(),D147&lt;=TARGET_LEVEL_NUM),"Applicable","N/A")</f>
        <v/>
      </c>
      <c r="I147" s="42" t="inlineStr">
        <is>
          <t>HB-AUTH-05</t>
        </is>
      </c>
      <c r="J147" s="42" t="n"/>
      <c r="K147" s="43">
        <f>IF($I147="Excluded","Excluded",IF(H147="N/A","N/A",IFERROR(INDEX(BL_COVERAGE,MATCH($I147,BL_IDS,0))&amp;"","Mapping error")))</f>
        <v/>
      </c>
    </row>
    <row r="148" ht="39.75" customHeight="1" s="19">
      <c r="A148" s="42" t="inlineStr">
        <is>
          <t>V6.6.4</t>
        </is>
      </c>
      <c r="B148" s="40" t="inlineStr">
        <is>
          <t>V6 - Authentication</t>
        </is>
      </c>
      <c r="C148" s="40" t="inlineStr">
        <is>
          <t>V6.6 - Out-of-Band authentication mechanisms</t>
        </is>
      </c>
      <c r="D148" s="42" t="n">
        <v>3</v>
      </c>
      <c r="E148" s="40" t="inlineStr">
        <is>
          <t>Verify that, where push notifications are used for multi-factor authentication, rate limiting is used to prevent push bombing attacks. Number matching may also mitigate this risk.</t>
        </is>
      </c>
      <c r="F148" s="40" t="inlineStr">
        <is>
          <t>Always</t>
        </is>
      </c>
      <c r="G148" s="42" t="inlineStr">
        <is>
          <t>TRUE</t>
        </is>
      </c>
      <c r="H148" s="43">
        <f>IF(AND(TRUE(),D148&lt;=TARGET_LEVEL_NUM),"Applicable","N/A")</f>
        <v/>
      </c>
      <c r="I148" s="42" t="inlineStr">
        <is>
          <t>HB-AUTH-05</t>
        </is>
      </c>
      <c r="J148" s="42" t="n"/>
      <c r="K148" s="43">
        <f>IF($I148="Excluded","Excluded",IF(H148="N/A","N/A",IFERROR(INDEX(BL_COVERAGE,MATCH($I148,BL_IDS,0))&amp;"","Mapping error")))</f>
        <v/>
      </c>
    </row>
    <row r="149" ht="39.75" customHeight="1" s="19">
      <c r="A149" s="42" t="inlineStr">
        <is>
          <t>V6.7.1</t>
        </is>
      </c>
      <c r="B149" s="40" t="inlineStr">
        <is>
          <t>V6 - Authentication</t>
        </is>
      </c>
      <c r="C149" s="40" t="inlineStr">
        <is>
          <t>V6.7 - Cryptographic authentication mechanism</t>
        </is>
      </c>
      <c r="D149" s="42" t="n">
        <v>3</v>
      </c>
      <c r="E149" s="40" t="inlineStr">
        <is>
          <t>Verify that the certificates used to verify cryptographic authentication assertions are stored in a way protects them from modification.</t>
        </is>
      </c>
      <c r="F149" s="40" t="inlineStr">
        <is>
          <t>Always</t>
        </is>
      </c>
      <c r="G149" s="42" t="inlineStr">
        <is>
          <t>TRUE</t>
        </is>
      </c>
      <c r="H149" s="43">
        <f>IF(AND(TRUE(),D149&lt;=TARGET_LEVEL_NUM),"Applicable","N/A")</f>
        <v/>
      </c>
      <c r="I149" s="42" t="inlineStr">
        <is>
          <t>HB-AUTH-05</t>
        </is>
      </c>
      <c r="J149" s="42" t="n"/>
      <c r="K149" s="43">
        <f>IF($I149="Excluded","Excluded",IF(H149="N/A","N/A",IFERROR(INDEX(BL_COVERAGE,MATCH($I149,BL_IDS,0))&amp;"","Mapping error")))</f>
        <v/>
      </c>
    </row>
    <row r="150" ht="39.75" customHeight="1" s="19">
      <c r="A150" s="42" t="inlineStr">
        <is>
          <t>V6.7.2</t>
        </is>
      </c>
      <c r="B150" s="40" t="inlineStr">
        <is>
          <t>V6 - Authentication</t>
        </is>
      </c>
      <c r="C150" s="40" t="inlineStr">
        <is>
          <t>V6.7 - Cryptographic authentication mechanism</t>
        </is>
      </c>
      <c r="D150" s="42" t="n">
        <v>3</v>
      </c>
      <c r="E150" s="40" t="inlineStr">
        <is>
          <t>Verify that the challenge nonce is at least 64 bits in length, and statistically unique or unique over the lifetime of the cryptographic device.</t>
        </is>
      </c>
      <c r="F150" s="40" t="inlineStr">
        <is>
          <t>Always</t>
        </is>
      </c>
      <c r="G150" s="42" t="inlineStr">
        <is>
          <t>TRUE</t>
        </is>
      </c>
      <c r="H150" s="43">
        <f>IF(AND(TRUE(),D150&lt;=TARGET_LEVEL_NUM),"Applicable","N/A")</f>
        <v/>
      </c>
      <c r="I150" s="42" t="inlineStr">
        <is>
          <t>HB-AUTH-05</t>
        </is>
      </c>
      <c r="J150" s="42" t="n"/>
      <c r="K150" s="43">
        <f>IF($I150="Excluded","Excluded",IF(H150="N/A","N/A",IFERROR(INDEX(BL_COVERAGE,MATCH($I150,BL_IDS,0))&amp;"","Mapping error")))</f>
        <v/>
      </c>
    </row>
    <row r="151" ht="39.75" customHeight="1" s="19">
      <c r="A151" s="42" t="inlineStr">
        <is>
          <t>V6.8.1</t>
        </is>
      </c>
      <c r="B151" s="40" t="inlineStr">
        <is>
          <t>V6 - Authentication</t>
        </is>
      </c>
      <c r="C151" s="40" t="inlineStr">
        <is>
          <t>V6.8 - Authentication with an Identity Provider</t>
        </is>
      </c>
      <c r="D151" s="42" t="n">
        <v>2</v>
      </c>
      <c r="E151" s="40"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F151" s="40" t="inlineStr">
        <is>
          <t>Always</t>
        </is>
      </c>
      <c r="G151" s="42" t="inlineStr">
        <is>
          <t>TRUE</t>
        </is>
      </c>
      <c r="H151" s="43">
        <f>IF(AND(TRUE(),D151&lt;=TARGET_LEVEL_NUM),"Applicable","N/A")</f>
        <v/>
      </c>
      <c r="I151" s="42" t="inlineStr">
        <is>
          <t>HB-AUTH-06</t>
        </is>
      </c>
      <c r="J151" s="42" t="n"/>
      <c r="K151" s="43">
        <f>IF($I151="Excluded","Excluded",IF(H151="N/A","N/A",IFERROR(INDEX(BL_COVERAGE,MATCH($I151,BL_IDS,0))&amp;"","Mapping error")))</f>
        <v/>
      </c>
    </row>
    <row r="152" ht="39.75" customHeight="1" s="19">
      <c r="A152" s="42" t="inlineStr">
        <is>
          <t>V6.8.2</t>
        </is>
      </c>
      <c r="B152" s="40" t="inlineStr">
        <is>
          <t>V6 - Authentication</t>
        </is>
      </c>
      <c r="C152" s="40" t="inlineStr">
        <is>
          <t>V6.8 - Authentication with an Identity Provider</t>
        </is>
      </c>
      <c r="D152" s="42" t="n">
        <v>2</v>
      </c>
      <c r="E152" s="40" t="inlineStr">
        <is>
          <t>Verify that the presence and integrity of digital signatures on authentication assertions (for example on JWTs or SAML assertions) are always validated, rejecting any assertions that are unsigned or have invalid signatures.</t>
        </is>
      </c>
      <c r="F152" s="40" t="inlineStr">
        <is>
          <t>Always</t>
        </is>
      </c>
      <c r="G152" s="42" t="inlineStr">
        <is>
          <t>TRUE</t>
        </is>
      </c>
      <c r="H152" s="43">
        <f>IF(AND(TRUE(),D152&lt;=TARGET_LEVEL_NUM),"Applicable","N/A")</f>
        <v/>
      </c>
      <c r="I152" s="42" t="inlineStr">
        <is>
          <t>HB-AUTH-06</t>
        </is>
      </c>
      <c r="J152" s="42" t="n"/>
      <c r="K152" s="43">
        <f>IF($I152="Excluded","Excluded",IF(H152="N/A","N/A",IFERROR(INDEX(BL_COVERAGE,MATCH($I152,BL_IDS,0))&amp;"","Mapping error")))</f>
        <v/>
      </c>
    </row>
    <row r="153" ht="39.75" customHeight="1" s="19">
      <c r="A153" s="42" t="inlineStr">
        <is>
          <t>V6.8.3</t>
        </is>
      </c>
      <c r="B153" s="40" t="inlineStr">
        <is>
          <t>V6 - Authentication</t>
        </is>
      </c>
      <c r="C153" s="40" t="inlineStr">
        <is>
          <t>V6.8 - Authentication with an Identity Provider</t>
        </is>
      </c>
      <c r="D153" s="42" t="n">
        <v>2</v>
      </c>
      <c r="E153" s="40" t="inlineStr">
        <is>
          <t>Verify that SAML assertions are uniquely processed and used only once within the validity period to prevent replay attacks.</t>
        </is>
      </c>
      <c r="F153" s="40" t="inlineStr">
        <is>
          <t>Always</t>
        </is>
      </c>
      <c r="G153" s="42" t="inlineStr">
        <is>
          <t>TRUE</t>
        </is>
      </c>
      <c r="H153" s="43">
        <f>IF(AND(TRUE(),D153&lt;=TARGET_LEVEL_NUM),"Applicable","N/A")</f>
        <v/>
      </c>
      <c r="I153" s="42" t="inlineStr">
        <is>
          <t>HB-AUTH-06</t>
        </is>
      </c>
      <c r="J153" s="42" t="n"/>
      <c r="K153" s="43">
        <f>IF($I153="Excluded","Excluded",IF(H153="N/A","N/A",IFERROR(INDEX(BL_COVERAGE,MATCH($I153,BL_IDS,0))&amp;"","Mapping error")))</f>
        <v/>
      </c>
    </row>
    <row r="154" ht="39.75" customHeight="1" s="19">
      <c r="A154" s="42" t="inlineStr">
        <is>
          <t>V6.8.4</t>
        </is>
      </c>
      <c r="B154" s="40" t="inlineStr">
        <is>
          <t>V6 - Authentication</t>
        </is>
      </c>
      <c r="C154" s="40" t="inlineStr">
        <is>
          <t>V6.8 - Authentication with an Identity Provider</t>
        </is>
      </c>
      <c r="D154" s="42" t="n">
        <v>2</v>
      </c>
      <c r="E154" s="40"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F154" s="40" t="inlineStr">
        <is>
          <t>Always</t>
        </is>
      </c>
      <c r="G154" s="42" t="inlineStr">
        <is>
          <t>TRUE</t>
        </is>
      </c>
      <c r="H154" s="43">
        <f>IF(AND(TRUE(),D154&lt;=TARGET_LEVEL_NUM),"Applicable","N/A")</f>
        <v/>
      </c>
      <c r="I154" s="42" t="inlineStr">
        <is>
          <t>HB-AUTH-06</t>
        </is>
      </c>
      <c r="J154" s="42" t="n"/>
      <c r="K154" s="43">
        <f>IF($I154="Excluded","Excluded",IF(H154="N/A","N/A",IFERROR(INDEX(BL_COVERAGE,MATCH($I154,BL_IDS,0))&amp;"","Mapping error")))</f>
        <v/>
      </c>
    </row>
    <row r="155" ht="39.75" customHeight="1" s="19">
      <c r="A155" s="42" t="inlineStr">
        <is>
          <t>V7.1.1</t>
        </is>
      </c>
      <c r="B155" s="40" t="inlineStr">
        <is>
          <t>V7 - Session Management</t>
        </is>
      </c>
      <c r="C155" s="40" t="inlineStr">
        <is>
          <t>V7.1 - Session Management Documentation</t>
        </is>
      </c>
      <c r="D155" s="42" t="n">
        <v>2</v>
      </c>
      <c r="E155" s="40"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F155" s="40" t="inlineStr">
        <is>
          <t>If session is stateful</t>
        </is>
      </c>
      <c r="G155" s="42" t="inlineStr">
        <is>
          <t>SESSION_STATEFUL="Yes"</t>
        </is>
      </c>
      <c r="H155" s="43">
        <f>IF(AND(SESSION_STATEFUL="Yes",D155&lt;=TARGET_LEVEL_NUM),"Applicable","N/A")</f>
        <v/>
      </c>
      <c r="I155" s="42" t="inlineStr">
        <is>
          <t>HB-SESS-02</t>
        </is>
      </c>
      <c r="J155" s="42" t="n"/>
      <c r="K155" s="43">
        <f>IF($I155="Excluded","Excluded",IF(H155="N/A","N/A",IFERROR(INDEX(BL_COVERAGE,MATCH($I155,BL_IDS,0))&amp;"","Mapping error")))</f>
        <v/>
      </c>
    </row>
    <row r="156" ht="39.75" customHeight="1" s="19">
      <c r="A156" s="42" t="inlineStr">
        <is>
          <t>V7.1.2</t>
        </is>
      </c>
      <c r="B156" s="40" t="inlineStr">
        <is>
          <t>V7 - Session Management</t>
        </is>
      </c>
      <c r="C156" s="40" t="inlineStr">
        <is>
          <t>V7.1 - Session Management Documentation</t>
        </is>
      </c>
      <c r="D156" s="42" t="n">
        <v>2</v>
      </c>
      <c r="E156" s="40" t="inlineStr">
        <is>
          <t>Verify that the documentation defines how many concurrent (parallel) sessions are allowed for one account as well as the intended behaviors and actions to be taken when the maximum number of active sessions is reached.</t>
        </is>
      </c>
      <c r="F156" s="40" t="inlineStr">
        <is>
          <t>If session is stateful</t>
        </is>
      </c>
      <c r="G156" s="42" t="inlineStr">
        <is>
          <t>SESSION_STATEFUL="Yes"</t>
        </is>
      </c>
      <c r="H156" s="43">
        <f>IF(AND(SESSION_STATEFUL="Yes",D156&lt;=TARGET_LEVEL_NUM),"Applicable","N/A")</f>
        <v/>
      </c>
      <c r="I156" s="42" t="inlineStr">
        <is>
          <t>HB-SESS-03</t>
        </is>
      </c>
      <c r="J156" s="42" t="n"/>
      <c r="K156" s="43">
        <f>IF($I156="Excluded","Excluded",IF(H156="N/A","N/A",IFERROR(INDEX(BL_COVERAGE,MATCH($I156,BL_IDS,0))&amp;"","Mapping error")))</f>
        <v/>
      </c>
    </row>
    <row r="157" ht="39.75" customHeight="1" s="19">
      <c r="A157" s="42" t="inlineStr">
        <is>
          <t>V7.1.3</t>
        </is>
      </c>
      <c r="B157" s="40" t="inlineStr">
        <is>
          <t>V7 - Session Management</t>
        </is>
      </c>
      <c r="C157" s="40" t="inlineStr">
        <is>
          <t>V7.1 - Session Management Documentation</t>
        </is>
      </c>
      <c r="D157" s="42" t="n">
        <v>2</v>
      </c>
      <c r="E157" s="40"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F157" s="40" t="inlineStr">
        <is>
          <t>If session is stateful</t>
        </is>
      </c>
      <c r="G157" s="42" t="inlineStr">
        <is>
          <t>SESSION_STATEFUL="Yes"</t>
        </is>
      </c>
      <c r="H157" s="43">
        <f>IF(AND(SESSION_STATEFUL="Yes",D157&lt;=TARGET_LEVEL_NUM),"Applicable","N/A")</f>
        <v/>
      </c>
      <c r="I157" s="42" t="inlineStr">
        <is>
          <t>HB-SESS-02</t>
        </is>
      </c>
      <c r="J157" s="42" t="n"/>
      <c r="K157" s="43">
        <f>IF($I157="Excluded","Excluded",IF(H157="N/A","N/A",IFERROR(INDEX(BL_COVERAGE,MATCH($I157,BL_IDS,0))&amp;"","Mapping error")))</f>
        <v/>
      </c>
    </row>
    <row r="158" ht="39.75" customHeight="1" s="19">
      <c r="A158" s="42" t="inlineStr">
        <is>
          <t>V7.2.1</t>
        </is>
      </c>
      <c r="B158" s="40" t="inlineStr">
        <is>
          <t>V7 - Session Management</t>
        </is>
      </c>
      <c r="C158" s="40" t="inlineStr">
        <is>
          <t>V7.2 - Fundamental Session Management Security</t>
        </is>
      </c>
      <c r="D158" s="42" t="n">
        <v>1</v>
      </c>
      <c r="E158" s="40" t="inlineStr">
        <is>
          <t>Verify that the application performs all session token verification using a trusted, backend service.</t>
        </is>
      </c>
      <c r="F158" s="40" t="inlineStr">
        <is>
          <t>If session is stateful</t>
        </is>
      </c>
      <c r="G158" s="42" t="inlineStr">
        <is>
          <t>SESSION_STATEFUL="Yes"</t>
        </is>
      </c>
      <c r="H158" s="43">
        <f>IF(AND(SESSION_STATEFUL="Yes",D158&lt;=TARGET_LEVEL_NUM),"Applicable","N/A")</f>
        <v/>
      </c>
      <c r="I158" s="42" t="inlineStr">
        <is>
          <t>HB-SESS-01</t>
        </is>
      </c>
      <c r="J158" s="42" t="n"/>
      <c r="K158" s="43">
        <f>IF($I158="Excluded","Excluded",IF(H158="N/A","N/A",IFERROR(INDEX(BL_COVERAGE,MATCH($I158,BL_IDS,0))&amp;"","Mapping error")))</f>
        <v/>
      </c>
    </row>
    <row r="159" ht="39.75" customHeight="1" s="19">
      <c r="A159" s="42" t="inlineStr">
        <is>
          <t>V7.2.2</t>
        </is>
      </c>
      <c r="B159" s="40" t="inlineStr">
        <is>
          <t>V7 - Session Management</t>
        </is>
      </c>
      <c r="C159" s="40" t="inlineStr">
        <is>
          <t>V7.2 - Fundamental Session Management Security</t>
        </is>
      </c>
      <c r="D159" s="42" t="n">
        <v>1</v>
      </c>
      <c r="E159" s="40" t="inlineStr">
        <is>
          <t>Verify that the application uses either self-contained or reference tokens that are dynamically generated for session management, i.e. not using static API secrets and keys.</t>
        </is>
      </c>
      <c r="F159" s="40" t="inlineStr">
        <is>
          <t>If session is stateful</t>
        </is>
      </c>
      <c r="G159" s="42" t="inlineStr">
        <is>
          <t>SESSION_STATEFUL="Yes"</t>
        </is>
      </c>
      <c r="H159" s="43">
        <f>IF(AND(SESSION_STATEFUL="Yes",D159&lt;=TARGET_LEVEL_NUM),"Applicable","N/A")</f>
        <v/>
      </c>
      <c r="I159" s="42" t="inlineStr">
        <is>
          <t>HB-SESS-01</t>
        </is>
      </c>
      <c r="J159" s="42" t="n"/>
      <c r="K159" s="43">
        <f>IF($I159="Excluded","Excluded",IF(H159="N/A","N/A",IFERROR(INDEX(BL_COVERAGE,MATCH($I159,BL_IDS,0))&amp;"","Mapping error")))</f>
        <v/>
      </c>
    </row>
    <row r="160" ht="39.75" customHeight="1" s="19">
      <c r="A160" s="42" t="inlineStr">
        <is>
          <t>V7.2.3</t>
        </is>
      </c>
      <c r="B160" s="40" t="inlineStr">
        <is>
          <t>V7 - Session Management</t>
        </is>
      </c>
      <c r="C160" s="40" t="inlineStr">
        <is>
          <t>V7.2 - Fundamental Session Management Security</t>
        </is>
      </c>
      <c r="D160" s="42" t="n">
        <v>1</v>
      </c>
      <c r="E160" s="40" t="inlineStr">
        <is>
          <t>Verify that if reference tokens are used to represent user sessions, they are unique and generated using a cryptographically secure pseudo-random number generator (CSPRNG) and possess at least 128 bits of entropy.</t>
        </is>
      </c>
      <c r="F160" s="40" t="inlineStr">
        <is>
          <t>If session is stateful</t>
        </is>
      </c>
      <c r="G160" s="42" t="inlineStr">
        <is>
          <t>SESSION_STATEFUL="Yes"</t>
        </is>
      </c>
      <c r="H160" s="43">
        <f>IF(AND(SESSION_STATEFUL="Yes",D160&lt;=TARGET_LEVEL_NUM),"Applicable","N/A")</f>
        <v/>
      </c>
      <c r="I160" s="42" t="inlineStr">
        <is>
          <t>HB-SESS-01</t>
        </is>
      </c>
      <c r="J160" s="42" t="n"/>
      <c r="K160" s="43">
        <f>IF($I160="Excluded","Excluded",IF(H160="N/A","N/A",IFERROR(INDEX(BL_COVERAGE,MATCH($I160,BL_IDS,0))&amp;"","Mapping error")))</f>
        <v/>
      </c>
    </row>
    <row r="161" ht="39.75" customHeight="1" s="19">
      <c r="A161" s="42" t="inlineStr">
        <is>
          <t>V7.2.4</t>
        </is>
      </c>
      <c r="B161" s="40" t="inlineStr">
        <is>
          <t>V7 - Session Management</t>
        </is>
      </c>
      <c r="C161" s="40" t="inlineStr">
        <is>
          <t>V7.2 - Fundamental Session Management Security</t>
        </is>
      </c>
      <c r="D161" s="42" t="n">
        <v>1</v>
      </c>
      <c r="E161" s="40" t="inlineStr">
        <is>
          <t>Verify that the application generates a new session token on user authentication, including re-authentication, and terminates the current session token.</t>
        </is>
      </c>
      <c r="F161" s="40" t="inlineStr">
        <is>
          <t>If session is stateful</t>
        </is>
      </c>
      <c r="G161" s="42" t="inlineStr">
        <is>
          <t>SESSION_STATEFUL="Yes"</t>
        </is>
      </c>
      <c r="H161" s="43">
        <f>IF(AND(SESSION_STATEFUL="Yes",D161&lt;=TARGET_LEVEL_NUM),"Applicable","N/A")</f>
        <v/>
      </c>
      <c r="I161" s="42" t="inlineStr">
        <is>
          <t>HB-SESS-01</t>
        </is>
      </c>
      <c r="J161" s="42" t="n"/>
      <c r="K161" s="43">
        <f>IF($I161="Excluded","Excluded",IF(H161="N/A","N/A",IFERROR(INDEX(BL_COVERAGE,MATCH($I161,BL_IDS,0))&amp;"","Mapping error")))</f>
        <v/>
      </c>
    </row>
    <row r="162" ht="39.75" customHeight="1" s="19">
      <c r="A162" s="42" t="inlineStr">
        <is>
          <t>V7.3.1</t>
        </is>
      </c>
      <c r="B162" s="40" t="inlineStr">
        <is>
          <t>V7 - Session Management</t>
        </is>
      </c>
      <c r="C162" s="40" t="inlineStr">
        <is>
          <t>V7.3 - Session Timeout</t>
        </is>
      </c>
      <c r="D162" s="42" t="n">
        <v>2</v>
      </c>
      <c r="E162" s="40" t="inlineStr">
        <is>
          <t>Verify that there is an inactivity timeout such that re-authentication is enforced according to risk analysis and documented security decisions.</t>
        </is>
      </c>
      <c r="F162" s="40" t="inlineStr">
        <is>
          <t>If session is stateful</t>
        </is>
      </c>
      <c r="G162" s="42" t="inlineStr">
        <is>
          <t>SESSION_STATEFUL="Yes"</t>
        </is>
      </c>
      <c r="H162" s="43">
        <f>IF(AND(SESSION_STATEFUL="Yes",D162&lt;=TARGET_LEVEL_NUM),"Applicable","N/A")</f>
        <v/>
      </c>
      <c r="I162" s="42" t="inlineStr">
        <is>
          <t>HB-SESS-02</t>
        </is>
      </c>
      <c r="J162" s="42" t="n"/>
      <c r="K162" s="43">
        <f>IF($I162="Excluded","Excluded",IF(H162="N/A","N/A",IFERROR(INDEX(BL_COVERAGE,MATCH($I162,BL_IDS,0))&amp;"","Mapping error")))</f>
        <v/>
      </c>
    </row>
    <row r="163" ht="39.75" customHeight="1" s="19">
      <c r="A163" s="42" t="inlineStr">
        <is>
          <t>V7.3.2</t>
        </is>
      </c>
      <c r="B163" s="40" t="inlineStr">
        <is>
          <t>V7 - Session Management</t>
        </is>
      </c>
      <c r="C163" s="40" t="inlineStr">
        <is>
          <t>V7.3 - Session Timeout</t>
        </is>
      </c>
      <c r="D163" s="42" t="n">
        <v>2</v>
      </c>
      <c r="E163" s="40" t="inlineStr">
        <is>
          <t>Verify that there is an absolute maximum session lifetime such that re-authentication is enforced according to risk analysis and documented security decisions.</t>
        </is>
      </c>
      <c r="F163" s="40" t="inlineStr">
        <is>
          <t>If session is stateful</t>
        </is>
      </c>
      <c r="G163" s="42" t="inlineStr">
        <is>
          <t>SESSION_STATEFUL="Yes"</t>
        </is>
      </c>
      <c r="H163" s="43">
        <f>IF(AND(SESSION_STATEFUL="Yes",D163&lt;=TARGET_LEVEL_NUM),"Applicable","N/A")</f>
        <v/>
      </c>
      <c r="I163" s="42" t="inlineStr">
        <is>
          <t>HB-SESS-02</t>
        </is>
      </c>
      <c r="J163" s="42" t="n"/>
      <c r="K163" s="43">
        <f>IF($I163="Excluded","Excluded",IF(H163="N/A","N/A",IFERROR(INDEX(BL_COVERAGE,MATCH($I163,BL_IDS,0))&amp;"","Mapping error")))</f>
        <v/>
      </c>
    </row>
    <row r="164" ht="39.75" customHeight="1" s="19">
      <c r="A164" s="42" t="inlineStr">
        <is>
          <t>V7.4.1</t>
        </is>
      </c>
      <c r="B164" s="40" t="inlineStr">
        <is>
          <t>V7 - Session Management</t>
        </is>
      </c>
      <c r="C164" s="40" t="inlineStr">
        <is>
          <t>V7.4 - Session Termination</t>
        </is>
      </c>
      <c r="D164" s="42" t="n">
        <v>1</v>
      </c>
      <c r="E164" s="40"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F164" s="40" t="inlineStr">
        <is>
          <t>If session is stateful</t>
        </is>
      </c>
      <c r="G164" s="42" t="inlineStr">
        <is>
          <t>SESSION_STATEFUL="Yes"</t>
        </is>
      </c>
      <c r="H164" s="43">
        <f>IF(AND(SESSION_STATEFUL="Yes",D164&lt;=TARGET_LEVEL_NUM),"Applicable","N/A")</f>
        <v/>
      </c>
      <c r="I164" s="42" t="inlineStr">
        <is>
          <t>HB-SESS-03</t>
        </is>
      </c>
      <c r="J164" s="42" t="n"/>
      <c r="K164" s="43">
        <f>IF($I164="Excluded","Excluded",IF(H164="N/A","N/A",IFERROR(INDEX(BL_COVERAGE,MATCH($I164,BL_IDS,0))&amp;"","Mapping error")))</f>
        <v/>
      </c>
    </row>
    <row r="165" ht="39.75" customHeight="1" s="19">
      <c r="A165" s="42" t="inlineStr">
        <is>
          <t>V7.4.2</t>
        </is>
      </c>
      <c r="B165" s="40" t="inlineStr">
        <is>
          <t>V7 - Session Management</t>
        </is>
      </c>
      <c r="C165" s="40" t="inlineStr">
        <is>
          <t>V7.4 - Session Termination</t>
        </is>
      </c>
      <c r="D165" s="42" t="n">
        <v>1</v>
      </c>
      <c r="E165" s="40" t="inlineStr">
        <is>
          <t>Verify that the application terminates all active sessions when a user account is disabled or deleted (such as an employee leaving the company).</t>
        </is>
      </c>
      <c r="F165" s="40" t="inlineStr">
        <is>
          <t>If session is stateful</t>
        </is>
      </c>
      <c r="G165" s="42" t="inlineStr">
        <is>
          <t>SESSION_STATEFUL="Yes"</t>
        </is>
      </c>
      <c r="H165" s="43">
        <f>IF(AND(SESSION_STATEFUL="Yes",D165&lt;=TARGET_LEVEL_NUM),"Applicable","N/A")</f>
        <v/>
      </c>
      <c r="I165" s="42" t="inlineStr">
        <is>
          <t>HB-SESS-03</t>
        </is>
      </c>
      <c r="J165" s="42" t="n"/>
      <c r="K165" s="43">
        <f>IF($I165="Excluded","Excluded",IF(H165="N/A","N/A",IFERROR(INDEX(BL_COVERAGE,MATCH($I165,BL_IDS,0))&amp;"","Mapping error")))</f>
        <v/>
      </c>
    </row>
    <row r="166" ht="39.75" customHeight="1" s="19">
      <c r="A166" s="42" t="inlineStr">
        <is>
          <t>V7.4.3</t>
        </is>
      </c>
      <c r="B166" s="40" t="inlineStr">
        <is>
          <t>V7 - Session Management</t>
        </is>
      </c>
      <c r="C166" s="40" t="inlineStr">
        <is>
          <t>V7.4 - Session Termination</t>
        </is>
      </c>
      <c r="D166" s="42" t="n">
        <v>2</v>
      </c>
      <c r="E166" s="40" t="inlineStr">
        <is>
          <t>Verify that the application gives the option to terminate all other active sessions after a successful change or removal of any authentication factor (including password change via reset or recovery and, if present, an MFA settings update).</t>
        </is>
      </c>
      <c r="F166" s="40" t="inlineStr">
        <is>
          <t>If session is stateful</t>
        </is>
      </c>
      <c r="G166" s="42" t="inlineStr">
        <is>
          <t>SESSION_STATEFUL="Yes"</t>
        </is>
      </c>
      <c r="H166" s="43">
        <f>IF(AND(SESSION_STATEFUL="Yes",D166&lt;=TARGET_LEVEL_NUM),"Applicable","N/A")</f>
        <v/>
      </c>
      <c r="I166" s="42" t="inlineStr">
        <is>
          <t>HB-SESS-03</t>
        </is>
      </c>
      <c r="J166" s="42" t="n"/>
      <c r="K166" s="43">
        <f>IF($I166="Excluded","Excluded",IF(H166="N/A","N/A",IFERROR(INDEX(BL_COVERAGE,MATCH($I166,BL_IDS,0))&amp;"","Mapping error")))</f>
        <v/>
      </c>
    </row>
    <row r="167" ht="39.75" customHeight="1" s="19">
      <c r="A167" s="42" t="inlineStr">
        <is>
          <t>V7.4.4</t>
        </is>
      </c>
      <c r="B167" s="40" t="inlineStr">
        <is>
          <t>V7 - Session Management</t>
        </is>
      </c>
      <c r="C167" s="40" t="inlineStr">
        <is>
          <t>V7.4 - Session Termination</t>
        </is>
      </c>
      <c r="D167" s="42" t="n">
        <v>2</v>
      </c>
      <c r="E167" s="40" t="inlineStr">
        <is>
          <t>Verify that all pages that require authentication have easy and visible access to logout functionality.</t>
        </is>
      </c>
      <c r="F167" s="40" t="inlineStr">
        <is>
          <t>If session is stateful</t>
        </is>
      </c>
      <c r="G167" s="42" t="inlineStr">
        <is>
          <t>SESSION_STATEFUL="Yes"</t>
        </is>
      </c>
      <c r="H167" s="43">
        <f>IF(AND(SESSION_STATEFUL="Yes",D167&lt;=TARGET_LEVEL_NUM),"Applicable","N/A")</f>
        <v/>
      </c>
      <c r="I167" s="42" t="inlineStr">
        <is>
          <t>HB-SESS-03</t>
        </is>
      </c>
      <c r="J167" s="42" t="n"/>
      <c r="K167" s="43">
        <f>IF($I167="Excluded","Excluded",IF(H167="N/A","N/A",IFERROR(INDEX(BL_COVERAGE,MATCH($I167,BL_IDS,0))&amp;"","Mapping error")))</f>
        <v/>
      </c>
    </row>
    <row r="168" ht="39.75" customHeight="1" s="19">
      <c r="A168" s="42" t="inlineStr">
        <is>
          <t>V7.4.5</t>
        </is>
      </c>
      <c r="B168" s="40" t="inlineStr">
        <is>
          <t>V7 - Session Management</t>
        </is>
      </c>
      <c r="C168" s="40" t="inlineStr">
        <is>
          <t>V7.4 - Session Termination</t>
        </is>
      </c>
      <c r="D168" s="42" t="n">
        <v>2</v>
      </c>
      <c r="E168" s="40" t="inlineStr">
        <is>
          <t>Verify that application administrators are able to terminate active sessions for an individual user or for all users.</t>
        </is>
      </c>
      <c r="F168" s="40" t="inlineStr">
        <is>
          <t>If session is stateful</t>
        </is>
      </c>
      <c r="G168" s="42" t="inlineStr">
        <is>
          <t>SESSION_STATEFUL="Yes"</t>
        </is>
      </c>
      <c r="H168" s="43">
        <f>IF(AND(SESSION_STATEFUL="Yes",D168&lt;=TARGET_LEVEL_NUM),"Applicable","N/A")</f>
        <v/>
      </c>
      <c r="I168" s="42" t="inlineStr">
        <is>
          <t>HB-SESS-03</t>
        </is>
      </c>
      <c r="J168" s="42" t="n"/>
      <c r="K168" s="43">
        <f>IF($I168="Excluded","Excluded",IF(H168="N/A","N/A",IFERROR(INDEX(BL_COVERAGE,MATCH($I168,BL_IDS,0))&amp;"","Mapping error")))</f>
        <v/>
      </c>
    </row>
    <row r="169" ht="39.75" customHeight="1" s="19">
      <c r="A169" s="42" t="inlineStr">
        <is>
          <t>V7.5.1</t>
        </is>
      </c>
      <c r="B169" s="40" t="inlineStr">
        <is>
          <t>V7 - Session Management</t>
        </is>
      </c>
      <c r="C169" s="40" t="inlineStr">
        <is>
          <t>V7.5 - Defenses Against Session Abuse</t>
        </is>
      </c>
      <c r="D169" s="42" t="n">
        <v>2</v>
      </c>
      <c r="E169" s="40" t="inlineStr">
        <is>
          <t>Verify that the application requires full re-authentication before allowing modifications to sensitive account attributes which may affect authentication such as email address, phone number, MFA configuration, or other information used in account recovery.</t>
        </is>
      </c>
      <c r="F169" s="40" t="inlineStr">
        <is>
          <t>If session is stateful</t>
        </is>
      </c>
      <c r="G169" s="42" t="inlineStr">
        <is>
          <t>SESSION_STATEFUL="Yes"</t>
        </is>
      </c>
      <c r="H169" s="43">
        <f>IF(AND(SESSION_STATEFUL="Yes",D169&lt;=TARGET_LEVEL_NUM),"Applicable","N/A")</f>
        <v/>
      </c>
      <c r="I169" s="42" t="inlineStr">
        <is>
          <t>HB-AUTH-07</t>
        </is>
      </c>
      <c r="J169" s="42" t="n"/>
      <c r="K169" s="43">
        <f>IF($I169="Excluded","Excluded",IF(H169="N/A","N/A",IFERROR(INDEX(BL_COVERAGE,MATCH($I169,BL_IDS,0))&amp;"","Mapping error")))</f>
        <v/>
      </c>
    </row>
    <row r="170" ht="39.75" customHeight="1" s="19">
      <c r="A170" s="42" t="inlineStr">
        <is>
          <t>V7.5.2</t>
        </is>
      </c>
      <c r="B170" s="40" t="inlineStr">
        <is>
          <t>V7 - Session Management</t>
        </is>
      </c>
      <c r="C170" s="40" t="inlineStr">
        <is>
          <t>V7.5 - Defenses Against Session Abuse</t>
        </is>
      </c>
      <c r="D170" s="42" t="n">
        <v>2</v>
      </c>
      <c r="E170" s="40" t="inlineStr">
        <is>
          <t>Verify that users are able to view and (having authenticated again with at least one factor) terminate any or all currently active sessions.</t>
        </is>
      </c>
      <c r="F170" s="40" t="inlineStr">
        <is>
          <t>If session is stateful</t>
        </is>
      </c>
      <c r="G170" s="42" t="inlineStr">
        <is>
          <t>SESSION_STATEFUL="Yes"</t>
        </is>
      </c>
      <c r="H170" s="43">
        <f>IF(AND(SESSION_STATEFUL="Yes",D170&lt;=TARGET_LEVEL_NUM),"Applicable","N/A")</f>
        <v/>
      </c>
      <c r="I170" s="42" t="inlineStr">
        <is>
          <t>HB-SESS-03</t>
        </is>
      </c>
      <c r="J170" s="42" t="n"/>
      <c r="K170" s="43">
        <f>IF($I170="Excluded","Excluded",IF(H170="N/A","N/A",IFERROR(INDEX(BL_COVERAGE,MATCH($I170,BL_IDS,0))&amp;"","Mapping error")))</f>
        <v/>
      </c>
    </row>
    <row r="171" ht="39.75" customHeight="1" s="19">
      <c r="A171" s="42" t="inlineStr">
        <is>
          <t>V7.5.3</t>
        </is>
      </c>
      <c r="B171" s="40" t="inlineStr">
        <is>
          <t>V7 - Session Management</t>
        </is>
      </c>
      <c r="C171" s="40" t="inlineStr">
        <is>
          <t>V7.5 - Defenses Against Session Abuse</t>
        </is>
      </c>
      <c r="D171" s="42" t="n">
        <v>3</v>
      </c>
      <c r="E171" s="40" t="inlineStr">
        <is>
          <t>Verify that the application requires further authentication with at least one factor or secondary verification before performing highly sensitive transactions or operations.</t>
        </is>
      </c>
      <c r="F171" s="40" t="inlineStr">
        <is>
          <t>If session is stateful</t>
        </is>
      </c>
      <c r="G171" s="42" t="inlineStr">
        <is>
          <t>SESSION_STATEFUL="Yes"</t>
        </is>
      </c>
      <c r="H171" s="43">
        <f>IF(AND(SESSION_STATEFUL="Yes",D171&lt;=TARGET_LEVEL_NUM),"Applicable","N/A")</f>
        <v/>
      </c>
      <c r="I171" s="42" t="inlineStr">
        <is>
          <t>HB-BIZ-02</t>
        </is>
      </c>
      <c r="J171" s="42" t="n"/>
      <c r="K171" s="43">
        <f>IF($I171="Excluded","Excluded",IF(H171="N/A","N/A",IFERROR(INDEX(BL_COVERAGE,MATCH($I171,BL_IDS,0))&amp;"","Mapping error")))</f>
        <v/>
      </c>
    </row>
    <row r="172" ht="39.75" customHeight="1" s="19">
      <c r="A172" s="42" t="inlineStr">
        <is>
          <t>V7.6.1</t>
        </is>
      </c>
      <c r="B172" s="40" t="inlineStr">
        <is>
          <t>V7 - Session Management</t>
        </is>
      </c>
      <c r="C172" s="40" t="inlineStr">
        <is>
          <t>V7.6 - Federated Re-authentication</t>
        </is>
      </c>
      <c r="D172" s="42" t="n">
        <v>2</v>
      </c>
      <c r="E172" s="40" t="inlineStr">
        <is>
          <t>Verify that session lifetime and termination between Relying Parties (RPs) and Identity Providers (IdPs) behave as documented, requiring re-authentication as necessary such as when the maximum time between IdP authentication events is reached.</t>
        </is>
      </c>
      <c r="F172" s="40" t="inlineStr">
        <is>
          <t>If session is stateful</t>
        </is>
      </c>
      <c r="G172" s="42" t="inlineStr">
        <is>
          <t>SESSION_STATEFUL="Yes"</t>
        </is>
      </c>
      <c r="H172" s="43">
        <f>IF(AND(SESSION_STATEFUL="Yes",D172&lt;=TARGET_LEVEL_NUM),"Applicable","N/A")</f>
        <v/>
      </c>
      <c r="I172" s="42" t="inlineStr">
        <is>
          <t>HB-SESS-02</t>
        </is>
      </c>
      <c r="J172" s="42" t="n"/>
      <c r="K172" s="43">
        <f>IF($I172="Excluded","Excluded",IF(H172="N/A","N/A",IFERROR(INDEX(BL_COVERAGE,MATCH($I172,BL_IDS,0))&amp;"","Mapping error")))</f>
        <v/>
      </c>
    </row>
    <row r="173" ht="39.75" customHeight="1" s="19">
      <c r="A173" s="42" t="inlineStr">
        <is>
          <t>V7.6.2</t>
        </is>
      </c>
      <c r="B173" s="40" t="inlineStr">
        <is>
          <t>V7 - Session Management</t>
        </is>
      </c>
      <c r="C173" s="40" t="inlineStr">
        <is>
          <t>V7.6 - Federated Re-authentication</t>
        </is>
      </c>
      <c r="D173" s="42" t="n">
        <v>2</v>
      </c>
      <c r="E173" s="40" t="inlineStr">
        <is>
          <t>Verify that creation of a session requires either the user's consent or an explicit action, preventing the creation of new application sessions without user interaction.</t>
        </is>
      </c>
      <c r="F173" s="40" t="inlineStr">
        <is>
          <t>If session is stateful</t>
        </is>
      </c>
      <c r="G173" s="42" t="inlineStr">
        <is>
          <t>SESSION_STATEFUL="Yes"</t>
        </is>
      </c>
      <c r="H173" s="43">
        <f>IF(AND(SESSION_STATEFUL="Yes",D173&lt;=TARGET_LEVEL_NUM),"Applicable","N/A")</f>
        <v/>
      </c>
      <c r="I173" s="42" t="inlineStr">
        <is>
          <t>HB-SESS-02</t>
        </is>
      </c>
      <c r="J173" s="42" t="n"/>
      <c r="K173" s="43">
        <f>IF($I173="Excluded","Excluded",IF(H173="N/A","N/A",IFERROR(INDEX(BL_COVERAGE,MATCH($I173,BL_IDS,0))&amp;"","Mapping error")))</f>
        <v/>
      </c>
    </row>
    <row r="174" ht="39.75" customHeight="1" s="19">
      <c r="A174" s="42" t="inlineStr">
        <is>
          <t>V8.1.1</t>
        </is>
      </c>
      <c r="B174" s="40" t="inlineStr">
        <is>
          <t>V8 - Authorization</t>
        </is>
      </c>
      <c r="C174" s="40" t="inlineStr">
        <is>
          <t>V8.1 - Authorization Documentation</t>
        </is>
      </c>
      <c r="D174" s="42" t="n">
        <v>1</v>
      </c>
      <c r="E174" s="40" t="inlineStr">
        <is>
          <t>Verify that authorization documentation defines rules for restricting function-level and data-specific access based on consumer permissions and resource attributes.</t>
        </is>
      </c>
      <c r="F174" s="40" t="inlineStr">
        <is>
          <t>Always</t>
        </is>
      </c>
      <c r="G174" s="42" t="inlineStr">
        <is>
          <t>TRUE</t>
        </is>
      </c>
      <c r="H174" s="43">
        <f>IF(AND(TRUE(),D174&lt;=TARGET_LEVEL_NUM),"Applicable","N/A")</f>
        <v/>
      </c>
      <c r="I174" s="42" t="inlineStr">
        <is>
          <t>HB-AUTHZ-01</t>
        </is>
      </c>
      <c r="J174" s="42" t="n"/>
      <c r="K174" s="43">
        <f>IF($I174="Excluded","Excluded",IF(H174="N/A","N/A",IFERROR(INDEX(BL_COVERAGE,MATCH($I174,BL_IDS,0))&amp;"","Mapping error")))</f>
        <v/>
      </c>
    </row>
    <row r="175" ht="39.75" customHeight="1" s="19">
      <c r="A175" s="42" t="inlineStr">
        <is>
          <t>V8.1.2</t>
        </is>
      </c>
      <c r="B175" s="40" t="inlineStr">
        <is>
          <t>V8 - Authorization</t>
        </is>
      </c>
      <c r="C175" s="40" t="inlineStr">
        <is>
          <t>V8.1 - Authorization Documentation</t>
        </is>
      </c>
      <c r="D175" s="42" t="n">
        <v>2</v>
      </c>
      <c r="E175" s="40"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F175" s="40" t="inlineStr">
        <is>
          <t>Always</t>
        </is>
      </c>
      <c r="G175" s="42" t="inlineStr">
        <is>
          <t>TRUE</t>
        </is>
      </c>
      <c r="H175" s="43">
        <f>IF(AND(TRUE(),D175&lt;=TARGET_LEVEL_NUM),"Applicable","N/A")</f>
        <v/>
      </c>
      <c r="I175" s="42" t="inlineStr">
        <is>
          <t>HB-AUTHZ-02</t>
        </is>
      </c>
      <c r="J175" s="42" t="n"/>
      <c r="K175" s="43">
        <f>IF($I175="Excluded","Excluded",IF(H175="N/A","N/A",IFERROR(INDEX(BL_COVERAGE,MATCH($I175,BL_IDS,0))&amp;"","Mapping error")))</f>
        <v/>
      </c>
    </row>
    <row r="176" ht="39.75" customHeight="1" s="19">
      <c r="A176" s="42" t="inlineStr">
        <is>
          <t>V8.1.3</t>
        </is>
      </c>
      <c r="B176" s="40" t="inlineStr">
        <is>
          <t>V8 - Authorization</t>
        </is>
      </c>
      <c r="C176" s="40" t="inlineStr">
        <is>
          <t>V8.1 - Authorization Documentation</t>
        </is>
      </c>
      <c r="D176" s="42" t="n">
        <v>3</v>
      </c>
      <c r="E176" s="40"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F176" s="40" t="inlineStr">
        <is>
          <t>Always</t>
        </is>
      </c>
      <c r="G176" s="42" t="inlineStr">
        <is>
          <t>TRUE</t>
        </is>
      </c>
      <c r="H176" s="43">
        <f>IF(AND(TRUE(),D176&lt;=TARGET_LEVEL_NUM),"Applicable","N/A")</f>
        <v/>
      </c>
      <c r="I176" s="42" t="inlineStr">
        <is>
          <t>HB-AUTHZ-03</t>
        </is>
      </c>
      <c r="J176" s="42" t="n"/>
      <c r="K176" s="43">
        <f>IF($I176="Excluded","Excluded",IF(H176="N/A","N/A",IFERROR(INDEX(BL_COVERAGE,MATCH($I176,BL_IDS,0))&amp;"","Mapping error")))</f>
        <v/>
      </c>
    </row>
    <row r="177" ht="39.75" customHeight="1" s="19">
      <c r="A177" s="42" t="inlineStr">
        <is>
          <t>V8.1.4</t>
        </is>
      </c>
      <c r="B177" s="40" t="inlineStr">
        <is>
          <t>V8 - Authorization</t>
        </is>
      </c>
      <c r="C177" s="40" t="inlineStr">
        <is>
          <t>V8.1 - Authorization Documentation</t>
        </is>
      </c>
      <c r="D177" s="42" t="n">
        <v>3</v>
      </c>
      <c r="E177" s="40"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F177" s="40" t="inlineStr">
        <is>
          <t>Always</t>
        </is>
      </c>
      <c r="G177" s="42" t="inlineStr">
        <is>
          <t>TRUE</t>
        </is>
      </c>
      <c r="H177" s="43">
        <f>IF(AND(TRUE(),D177&lt;=TARGET_LEVEL_NUM),"Applicable","N/A")</f>
        <v/>
      </c>
      <c r="I177" s="42" t="inlineStr">
        <is>
          <t>HB-AUTHZ-03</t>
        </is>
      </c>
      <c r="J177" s="42" t="n"/>
      <c r="K177" s="43">
        <f>IF($I177="Excluded","Excluded",IF(H177="N/A","N/A",IFERROR(INDEX(BL_COVERAGE,MATCH($I177,BL_IDS,0))&amp;"","Mapping error")))</f>
        <v/>
      </c>
    </row>
    <row r="178" ht="39.75" customHeight="1" s="19">
      <c r="A178" s="42" t="inlineStr">
        <is>
          <t>V8.2.1</t>
        </is>
      </c>
      <c r="B178" s="40" t="inlineStr">
        <is>
          <t>V8 - Authorization</t>
        </is>
      </c>
      <c r="C178" s="40" t="inlineStr">
        <is>
          <t>V8.2 - General Authorization Design</t>
        </is>
      </c>
      <c r="D178" s="42" t="n">
        <v>1</v>
      </c>
      <c r="E178" s="40" t="inlineStr">
        <is>
          <t>Verify that the application ensures that function-level access is restricted to consumers with explicit permissions.</t>
        </is>
      </c>
      <c r="F178" s="40" t="inlineStr">
        <is>
          <t>Always</t>
        </is>
      </c>
      <c r="G178" s="42" t="inlineStr">
        <is>
          <t>TRUE</t>
        </is>
      </c>
      <c r="H178" s="43">
        <f>IF(AND(TRUE(),D178&lt;=TARGET_LEVEL_NUM),"Applicable","N/A")</f>
        <v/>
      </c>
      <c r="I178" s="42" t="inlineStr">
        <is>
          <t>HB-AUTHZ-01</t>
        </is>
      </c>
      <c r="J178" s="42" t="n"/>
      <c r="K178" s="43">
        <f>IF($I178="Excluded","Excluded",IF(H178="N/A","N/A",IFERROR(INDEX(BL_COVERAGE,MATCH($I178,BL_IDS,0))&amp;"","Mapping error")))</f>
        <v/>
      </c>
    </row>
    <row r="179" ht="39.75" customHeight="1" s="19">
      <c r="A179" s="42" t="inlineStr">
        <is>
          <t>V8.2.2</t>
        </is>
      </c>
      <c r="B179" s="40" t="inlineStr">
        <is>
          <t>V8 - Authorization</t>
        </is>
      </c>
      <c r="C179" s="40" t="inlineStr">
        <is>
          <t>V8.2 - General Authorization Design</t>
        </is>
      </c>
      <c r="D179" s="42" t="n">
        <v>1</v>
      </c>
      <c r="E179" s="40" t="inlineStr">
        <is>
          <t>Verify that the application ensures that data-specific access is restricted to consumers with explicit permissions to specific data items to mitigate insecure direct object reference (IDOR) and broken object level authorization (BOLA).</t>
        </is>
      </c>
      <c r="F179" s="40" t="inlineStr">
        <is>
          <t>Always</t>
        </is>
      </c>
      <c r="G179" s="42" t="inlineStr">
        <is>
          <t>TRUE</t>
        </is>
      </c>
      <c r="H179" s="43">
        <f>IF(AND(TRUE(),D179&lt;=TARGET_LEVEL_NUM),"Applicable","N/A")</f>
        <v/>
      </c>
      <c r="I179" s="42" t="inlineStr">
        <is>
          <t>HB-AUTHZ-01</t>
        </is>
      </c>
      <c r="J179" s="42" t="n"/>
      <c r="K179" s="43">
        <f>IF($I179="Excluded","Excluded",IF(H179="N/A","N/A",IFERROR(INDEX(BL_COVERAGE,MATCH($I179,BL_IDS,0))&amp;"","Mapping error")))</f>
        <v/>
      </c>
    </row>
    <row r="180" ht="39.75" customHeight="1" s="19">
      <c r="A180" s="42" t="inlineStr">
        <is>
          <t>V8.2.3</t>
        </is>
      </c>
      <c r="B180" s="40" t="inlineStr">
        <is>
          <t>V8 - Authorization</t>
        </is>
      </c>
      <c r="C180" s="40" t="inlineStr">
        <is>
          <t>V8.2 - General Authorization Design</t>
        </is>
      </c>
      <c r="D180" s="42" t="n">
        <v>2</v>
      </c>
      <c r="E180" s="40" t="inlineStr">
        <is>
          <t>Verify that the application ensures that field-level access is restricted to consumers with explicit permissions to specific fields to mitigate broken object property level authorization (BOPLA).</t>
        </is>
      </c>
      <c r="F180" s="40" t="inlineStr">
        <is>
          <t>Always</t>
        </is>
      </c>
      <c r="G180" s="42" t="inlineStr">
        <is>
          <t>TRUE</t>
        </is>
      </c>
      <c r="H180" s="43">
        <f>IF(AND(TRUE(),D180&lt;=TARGET_LEVEL_NUM),"Applicable","N/A")</f>
        <v/>
      </c>
      <c r="I180" s="42" t="inlineStr">
        <is>
          <t>HB-AUTHZ-02</t>
        </is>
      </c>
      <c r="J180" s="42" t="n"/>
      <c r="K180" s="43">
        <f>IF($I180="Excluded","Excluded",IF(H180="N/A","N/A",IFERROR(INDEX(BL_COVERAGE,MATCH($I180,BL_IDS,0))&amp;"","Mapping error")))</f>
        <v/>
      </c>
    </row>
    <row r="181" ht="39.75" customHeight="1" s="19">
      <c r="A181" s="42" t="inlineStr">
        <is>
          <t>V8.2.4</t>
        </is>
      </c>
      <c r="B181" s="40" t="inlineStr">
        <is>
          <t>V8 - Authorization</t>
        </is>
      </c>
      <c r="C181" s="40" t="inlineStr">
        <is>
          <t>V8.2 - General Authorization Design</t>
        </is>
      </c>
      <c r="D181" s="42" t="n">
        <v>3</v>
      </c>
      <c r="E181" s="40"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F181" s="40" t="inlineStr">
        <is>
          <t>Always</t>
        </is>
      </c>
      <c r="G181" s="42" t="inlineStr">
        <is>
          <t>TRUE</t>
        </is>
      </c>
      <c r="H181" s="43">
        <f>IF(AND(TRUE(),D181&lt;=TARGET_LEVEL_NUM),"Applicable","N/A")</f>
        <v/>
      </c>
      <c r="I181" s="42" t="inlineStr">
        <is>
          <t>HB-AUTHZ-03</t>
        </is>
      </c>
      <c r="J181" s="42" t="n"/>
      <c r="K181" s="43">
        <f>IF($I181="Excluded","Excluded",IF(H181="N/A","N/A",IFERROR(INDEX(BL_COVERAGE,MATCH($I181,BL_IDS,0))&amp;"","Mapping error")))</f>
        <v/>
      </c>
    </row>
    <row r="182" ht="39.75" customHeight="1" s="19">
      <c r="A182" s="42" t="inlineStr">
        <is>
          <t>V8.3.1</t>
        </is>
      </c>
      <c r="B182" s="40" t="inlineStr">
        <is>
          <t>V8 - Authorization</t>
        </is>
      </c>
      <c r="C182" s="40" t="inlineStr">
        <is>
          <t>V8.3 - Operation Level Authorization</t>
        </is>
      </c>
      <c r="D182" s="42" t="n">
        <v>1</v>
      </c>
      <c r="E182" s="40" t="inlineStr">
        <is>
          <t>Verify that the application enforces authorization rules at a trusted service layer and doesn't rely on controls that an untrusted consumer could manipulate, such as client-side JavaScript.</t>
        </is>
      </c>
      <c r="F182" s="40" t="inlineStr">
        <is>
          <t>Always</t>
        </is>
      </c>
      <c r="G182" s="42" t="inlineStr">
        <is>
          <t>TRUE</t>
        </is>
      </c>
      <c r="H182" s="43">
        <f>IF(AND(TRUE(),D182&lt;=TARGET_LEVEL_NUM),"Applicable","N/A")</f>
        <v/>
      </c>
      <c r="I182" s="42" t="inlineStr">
        <is>
          <t>HB-AUTHZ-01</t>
        </is>
      </c>
      <c r="J182" s="42" t="n"/>
      <c r="K182" s="43">
        <f>IF($I182="Excluded","Excluded",IF(H182="N/A","N/A",IFERROR(INDEX(BL_COVERAGE,MATCH($I182,BL_IDS,0))&amp;"","Mapping error")))</f>
        <v/>
      </c>
    </row>
    <row r="183" ht="39.75" customHeight="1" s="19">
      <c r="A183" s="42" t="inlineStr">
        <is>
          <t>V8.3.2</t>
        </is>
      </c>
      <c r="B183" s="40" t="inlineStr">
        <is>
          <t>V8 - Authorization</t>
        </is>
      </c>
      <c r="C183" s="40" t="inlineStr">
        <is>
          <t>V8.3 - Operation Level Authorization</t>
        </is>
      </c>
      <c r="D183" s="42" t="n">
        <v>3</v>
      </c>
      <c r="E183" s="40"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F183" s="40" t="inlineStr">
        <is>
          <t>Always</t>
        </is>
      </c>
      <c r="G183" s="42" t="inlineStr">
        <is>
          <t>TRUE</t>
        </is>
      </c>
      <c r="H183" s="43">
        <f>IF(AND(TRUE(),D183&lt;=TARGET_LEVEL_NUM),"Applicable","N/A")</f>
        <v/>
      </c>
      <c r="I183" s="42" t="inlineStr">
        <is>
          <t>HB-AUTHZ-03</t>
        </is>
      </c>
      <c r="J183" s="42" t="n"/>
      <c r="K183" s="43">
        <f>IF($I183="Excluded","Excluded",IF(H183="N/A","N/A",IFERROR(INDEX(BL_COVERAGE,MATCH($I183,BL_IDS,0))&amp;"","Mapping error")))</f>
        <v/>
      </c>
    </row>
    <row r="184" ht="39.75" customHeight="1" s="19">
      <c r="A184" s="42" t="inlineStr">
        <is>
          <t>V8.3.3</t>
        </is>
      </c>
      <c r="B184" s="40" t="inlineStr">
        <is>
          <t>V8 - Authorization</t>
        </is>
      </c>
      <c r="C184" s="40" t="inlineStr">
        <is>
          <t>V8.3 - Operation Level Authorization</t>
        </is>
      </c>
      <c r="D184" s="42" t="n">
        <v>3</v>
      </c>
      <c r="E184" s="40"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F184" s="40" t="inlineStr">
        <is>
          <t>Always</t>
        </is>
      </c>
      <c r="G184" s="42" t="inlineStr">
        <is>
          <t>TRUE</t>
        </is>
      </c>
      <c r="H184" s="43">
        <f>IF(AND(TRUE(),D184&lt;=TARGET_LEVEL_NUM),"Applicable","N/A")</f>
        <v/>
      </c>
      <c r="I184" s="42" t="inlineStr">
        <is>
          <t>HB-AUTHZ-03</t>
        </is>
      </c>
      <c r="J184" s="42" t="n"/>
      <c r="K184" s="43">
        <f>IF($I184="Excluded","Excluded",IF(H184="N/A","N/A",IFERROR(INDEX(BL_COVERAGE,MATCH($I184,BL_IDS,0))&amp;"","Mapping error")))</f>
        <v/>
      </c>
    </row>
    <row r="185" ht="39.75" customHeight="1" s="19">
      <c r="A185" s="42" t="inlineStr">
        <is>
          <t>V8.4.1</t>
        </is>
      </c>
      <c r="B185" s="40" t="inlineStr">
        <is>
          <t>V8 - Authorization</t>
        </is>
      </c>
      <c r="C185" s="40" t="inlineStr">
        <is>
          <t>V8.4 - Other Authorization Considerations</t>
        </is>
      </c>
      <c r="D185" s="42" t="n">
        <v>2</v>
      </c>
      <c r="E185" s="40" t="inlineStr">
        <is>
          <t>Verify that multi-tenant applications use cross-tenant controls to ensure consumer operations will never affect tenants with which they do not have permissions to interact.</t>
        </is>
      </c>
      <c r="F185" s="40" t="inlineStr">
        <is>
          <t>Always</t>
        </is>
      </c>
      <c r="G185" s="42" t="inlineStr">
        <is>
          <t>TRUE</t>
        </is>
      </c>
      <c r="H185" s="43">
        <f>IF(AND(TRUE(),D185&lt;=TARGET_LEVEL_NUM),"Applicable","N/A")</f>
        <v/>
      </c>
      <c r="I185" s="42" t="inlineStr">
        <is>
          <t>HB-AUTHZ-04</t>
        </is>
      </c>
      <c r="J185" s="42" t="n"/>
      <c r="K185" s="43">
        <f>IF($I185="Excluded","Excluded",IF(H185="N/A","N/A",IFERROR(INDEX(BL_COVERAGE,MATCH($I185,BL_IDS,0))&amp;"","Mapping error")))</f>
        <v/>
      </c>
    </row>
    <row r="186" ht="39.75" customHeight="1" s="19">
      <c r="A186" s="42" t="inlineStr">
        <is>
          <t>V8.4.2</t>
        </is>
      </c>
      <c r="B186" s="40" t="inlineStr">
        <is>
          <t>V8 - Authorization</t>
        </is>
      </c>
      <c r="C186" s="40" t="inlineStr">
        <is>
          <t>V8.4 - Other Authorization Considerations</t>
        </is>
      </c>
      <c r="D186" s="42" t="n">
        <v>3</v>
      </c>
      <c r="E186" s="40"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F186" s="40" t="inlineStr">
        <is>
          <t>Always</t>
        </is>
      </c>
      <c r="G186" s="42" t="inlineStr">
        <is>
          <t>TRUE</t>
        </is>
      </c>
      <c r="H186" s="43">
        <f>IF(AND(TRUE(),D186&lt;=TARGET_LEVEL_NUM),"Applicable","N/A")</f>
        <v/>
      </c>
      <c r="I186" s="42" t="inlineStr">
        <is>
          <t>HB-AUTHZ-05</t>
        </is>
      </c>
      <c r="J186" s="42" t="n"/>
      <c r="K186" s="43">
        <f>IF($I186="Excluded","Excluded",IF(H186="N/A","N/A",IFERROR(INDEX(BL_COVERAGE,MATCH($I186,BL_IDS,0))&amp;"","Mapping error")))</f>
        <v/>
      </c>
    </row>
    <row r="187" ht="39.75" customHeight="1" s="19">
      <c r="A187" s="42" t="inlineStr">
        <is>
          <t>V9.1.1</t>
        </is>
      </c>
      <c r="B187" s="40" t="inlineStr">
        <is>
          <t>V9 - Self-contained Tokens</t>
        </is>
      </c>
      <c r="C187" s="40" t="inlineStr">
        <is>
          <t>V9.1 - Token source and integrity</t>
        </is>
      </c>
      <c r="D187" s="42" t="n">
        <v>1</v>
      </c>
      <c r="E187" s="40" t="inlineStr">
        <is>
          <t>Verify that self-contained tokens are validated using their digital signature or MAC to protect against tampering before accepting the token's contents.</t>
        </is>
      </c>
      <c r="F187" s="40" t="inlineStr">
        <is>
          <t>If session is stateless (tokens)</t>
        </is>
      </c>
      <c r="G187" s="42" t="inlineStr">
        <is>
          <t>SESSION_STATEFUL="No"</t>
        </is>
      </c>
      <c r="H187" s="43">
        <f>IF(AND(SESSION_STATEFUL="No",D187&lt;=TARGET_LEVEL_NUM),"Applicable","N/A")</f>
        <v/>
      </c>
      <c r="I187" s="42" t="inlineStr">
        <is>
          <t>HB-TOKEN-01</t>
        </is>
      </c>
      <c r="J187" s="42" t="n"/>
      <c r="K187" s="43">
        <f>IF($I187="Excluded","Excluded",IF(H187="N/A","N/A",IFERROR(INDEX(BL_COVERAGE,MATCH($I187,BL_IDS,0))&amp;"","Mapping error")))</f>
        <v/>
      </c>
    </row>
    <row r="188" ht="39.75" customHeight="1" s="19">
      <c r="A188" s="42" t="inlineStr">
        <is>
          <t>V9.1.2</t>
        </is>
      </c>
      <c r="B188" s="40" t="inlineStr">
        <is>
          <t>V9 - Self-contained Tokens</t>
        </is>
      </c>
      <c r="C188" s="40" t="inlineStr">
        <is>
          <t>V9.1 - Token source and integrity</t>
        </is>
      </c>
      <c r="D188" s="42" t="n">
        <v>1</v>
      </c>
      <c r="E188" s="40"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F188" s="40" t="inlineStr">
        <is>
          <t>If session is stateless (tokens)</t>
        </is>
      </c>
      <c r="G188" s="42" t="inlineStr">
        <is>
          <t>SESSION_STATEFUL="No"</t>
        </is>
      </c>
      <c r="H188" s="43">
        <f>IF(AND(SESSION_STATEFUL="No",D188&lt;=TARGET_LEVEL_NUM),"Applicable","N/A")</f>
        <v/>
      </c>
      <c r="I188" s="42" t="inlineStr">
        <is>
          <t>HB-TOKEN-01</t>
        </is>
      </c>
      <c r="J188" s="42" t="n"/>
      <c r="K188" s="43">
        <f>IF($I188="Excluded","Excluded",IF(H188="N/A","N/A",IFERROR(INDEX(BL_COVERAGE,MATCH($I188,BL_IDS,0))&amp;"","Mapping error")))</f>
        <v/>
      </c>
    </row>
    <row r="189" ht="39.75" customHeight="1" s="19">
      <c r="A189" s="42" t="inlineStr">
        <is>
          <t>V9.1.3</t>
        </is>
      </c>
      <c r="B189" s="40" t="inlineStr">
        <is>
          <t>V9 - Self-contained Tokens</t>
        </is>
      </c>
      <c r="C189" s="40" t="inlineStr">
        <is>
          <t>V9.1 - Token source and integrity</t>
        </is>
      </c>
      <c r="D189" s="42" t="n">
        <v>1</v>
      </c>
      <c r="E189" s="40"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F189" s="40" t="inlineStr">
        <is>
          <t>If session is stateless (tokens)</t>
        </is>
      </c>
      <c r="G189" s="42" t="inlineStr">
        <is>
          <t>SESSION_STATEFUL="No"</t>
        </is>
      </c>
      <c r="H189" s="43">
        <f>IF(AND(SESSION_STATEFUL="No",D189&lt;=TARGET_LEVEL_NUM),"Applicable","N/A")</f>
        <v/>
      </c>
      <c r="I189" s="42" t="inlineStr">
        <is>
          <t>HB-TOKEN-01</t>
        </is>
      </c>
      <c r="J189" s="42" t="n"/>
      <c r="K189" s="43">
        <f>IF($I189="Excluded","Excluded",IF(H189="N/A","N/A",IFERROR(INDEX(BL_COVERAGE,MATCH($I189,BL_IDS,0))&amp;"","Mapping error")))</f>
        <v/>
      </c>
    </row>
    <row r="190" ht="39.75" customHeight="1" s="19">
      <c r="A190" s="42" t="inlineStr">
        <is>
          <t>V9.2.1</t>
        </is>
      </c>
      <c r="B190" s="40" t="inlineStr">
        <is>
          <t>V9 - Self-contained Tokens</t>
        </is>
      </c>
      <c r="C190" s="40" t="inlineStr">
        <is>
          <t>V9.2 - Token content</t>
        </is>
      </c>
      <c r="D190" s="42" t="n">
        <v>1</v>
      </c>
      <c r="E190" s="40" t="inlineStr">
        <is>
          <t>Verify that, if a validity time span is present in the token data, the token and its content are accepted only if the verification time is within this validity time span. For example, for JWTs, the claims 'nbf' and 'exp' must be verified.</t>
        </is>
      </c>
      <c r="F190" s="40" t="inlineStr">
        <is>
          <t>If session is stateless (tokens)</t>
        </is>
      </c>
      <c r="G190" s="42" t="inlineStr">
        <is>
          <t>SESSION_STATEFUL="No"</t>
        </is>
      </c>
      <c r="H190" s="43">
        <f>IF(AND(SESSION_STATEFUL="No",D190&lt;=TARGET_LEVEL_NUM),"Applicable","N/A")</f>
        <v/>
      </c>
      <c r="I190" s="42" t="inlineStr">
        <is>
          <t>HB-TOKEN-01</t>
        </is>
      </c>
      <c r="J190" s="42" t="n"/>
      <c r="K190" s="43">
        <f>IF($I190="Excluded","Excluded",IF(H190="N/A","N/A",IFERROR(INDEX(BL_COVERAGE,MATCH($I190,BL_IDS,0))&amp;"","Mapping error")))</f>
        <v/>
      </c>
    </row>
    <row r="191" ht="39.75" customHeight="1" s="19">
      <c r="A191" s="42" t="inlineStr">
        <is>
          <t>V9.2.2</t>
        </is>
      </c>
      <c r="B191" s="40" t="inlineStr">
        <is>
          <t>V9 - Self-contained Tokens</t>
        </is>
      </c>
      <c r="C191" s="40" t="inlineStr">
        <is>
          <t>V9.2 - Token content</t>
        </is>
      </c>
      <c r="D191" s="42" t="n">
        <v>2</v>
      </c>
      <c r="E191" s="40"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F191" s="40" t="inlineStr">
        <is>
          <t>If session is stateless (tokens)</t>
        </is>
      </c>
      <c r="G191" s="42" t="inlineStr">
        <is>
          <t>SESSION_STATEFUL="No"</t>
        </is>
      </c>
      <c r="H191" s="43">
        <f>IF(AND(SESSION_STATEFUL="No",D191&lt;=TARGET_LEVEL_NUM),"Applicable","N/A")</f>
        <v/>
      </c>
      <c r="I191" s="42" t="inlineStr">
        <is>
          <t>HB-TOKEN-01</t>
        </is>
      </c>
      <c r="J191" s="42" t="n"/>
      <c r="K191" s="43">
        <f>IF($I191="Excluded","Excluded",IF(H191="N/A","N/A",IFERROR(INDEX(BL_COVERAGE,MATCH($I191,BL_IDS,0))&amp;"","Mapping error")))</f>
        <v/>
      </c>
    </row>
    <row r="192" ht="39.75" customHeight="1" s="19">
      <c r="A192" s="42" t="inlineStr">
        <is>
          <t>V9.2.3</t>
        </is>
      </c>
      <c r="B192" s="40" t="inlineStr">
        <is>
          <t>V9 - Self-contained Tokens</t>
        </is>
      </c>
      <c r="C192" s="40" t="inlineStr">
        <is>
          <t>V9.2 - Token content</t>
        </is>
      </c>
      <c r="D192" s="42" t="n">
        <v>2</v>
      </c>
      <c r="E192" s="40" t="inlineStr">
        <is>
          <t>Verify that the service only accepts tokens which are intended for use with that service (audience). For JWTs, this can be achieved by validating the 'aud' claim against an allowlist defined in the service.</t>
        </is>
      </c>
      <c r="F192" s="40" t="inlineStr">
        <is>
          <t>If session is stateless (tokens)</t>
        </is>
      </c>
      <c r="G192" s="42" t="inlineStr">
        <is>
          <t>SESSION_STATEFUL="No"</t>
        </is>
      </c>
      <c r="H192" s="43">
        <f>IF(AND(SESSION_STATEFUL="No",D192&lt;=TARGET_LEVEL_NUM),"Applicable","N/A")</f>
        <v/>
      </c>
      <c r="I192" s="42" t="inlineStr">
        <is>
          <t>HB-TOKEN-01</t>
        </is>
      </c>
      <c r="J192" s="42" t="n"/>
      <c r="K192" s="43">
        <f>IF($I192="Excluded","Excluded",IF(H192="N/A","N/A",IFERROR(INDEX(BL_COVERAGE,MATCH($I192,BL_IDS,0))&amp;"","Mapping error")))</f>
        <v/>
      </c>
    </row>
    <row r="193" ht="39.75" customHeight="1" s="19">
      <c r="A193" s="42" t="inlineStr">
        <is>
          <t>V9.2.4</t>
        </is>
      </c>
      <c r="B193" s="40" t="inlineStr">
        <is>
          <t>V9 - Self-contained Tokens</t>
        </is>
      </c>
      <c r="C193" s="40" t="inlineStr">
        <is>
          <t>V9.2 - Token content</t>
        </is>
      </c>
      <c r="D193" s="42" t="n">
        <v>2</v>
      </c>
      <c r="E193" s="40"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F193" s="40" t="inlineStr">
        <is>
          <t>If session is stateless (tokens)</t>
        </is>
      </c>
      <c r="G193" s="42" t="inlineStr">
        <is>
          <t>SESSION_STATEFUL="No"</t>
        </is>
      </c>
      <c r="H193" s="43">
        <f>IF(AND(SESSION_STATEFUL="No",D193&lt;=TARGET_LEVEL_NUM),"Applicable","N/A")</f>
        <v/>
      </c>
      <c r="I193" s="42" t="inlineStr">
        <is>
          <t>HB-TOKEN-01</t>
        </is>
      </c>
      <c r="J193" s="42" t="n"/>
      <c r="K193" s="43">
        <f>IF($I193="Excluded","Excluded",IF(H193="N/A","N/A",IFERROR(INDEX(BL_COVERAGE,MATCH($I193,BL_IDS,0))&amp;"","Mapping error")))</f>
        <v/>
      </c>
    </row>
    <row r="194" ht="39.75" customHeight="1" s="19">
      <c r="A194" s="42" t="inlineStr">
        <is>
          <t>V10.1.1</t>
        </is>
      </c>
      <c r="B194" s="40" t="inlineStr">
        <is>
          <t>V10 - OAuth and OIDC</t>
        </is>
      </c>
      <c r="C194" s="40" t="inlineStr">
        <is>
          <t>V10.1 - Generic OAuth and OIDC Security</t>
        </is>
      </c>
      <c r="D194" s="42" t="n">
        <v>2</v>
      </c>
      <c r="E194" s="40" t="inlineStr">
        <is>
          <t>Verify that tokens are only sent to components that strictly need them. For example, when using a backend-for-frontend pattern for browser-based JavaScript applications, access and refresh tokens shall only be accessible for the backend.</t>
        </is>
      </c>
      <c r="F194" s="40" t="inlineStr">
        <is>
          <t>If uses OAuth/OIDC</t>
        </is>
      </c>
      <c r="G194" s="42" t="inlineStr">
        <is>
          <t>OAUTH_OIDC_USED="Yes"</t>
        </is>
      </c>
      <c r="H194" s="43">
        <f>IF(AND(OAUTH_OIDC_USED="Yes",D194&lt;=TARGET_LEVEL_NUM),"Applicable","N/A")</f>
        <v/>
      </c>
      <c r="I194" s="42" t="inlineStr">
        <is>
          <t>HB-OAUTH-01</t>
        </is>
      </c>
      <c r="J194" s="42" t="n"/>
      <c r="K194" s="43">
        <f>IF($I194="Excluded","Excluded",IF(H194="N/A","N/A",IFERROR(INDEX(BL_COVERAGE,MATCH($I194,BL_IDS,0))&amp;"","Mapping error")))</f>
        <v/>
      </c>
    </row>
    <row r="195" ht="39.75" customHeight="1" s="19">
      <c r="A195" s="42" t="inlineStr">
        <is>
          <t>V10.1.2</t>
        </is>
      </c>
      <c r="B195" s="40" t="inlineStr">
        <is>
          <t>V10 - OAuth and OIDC</t>
        </is>
      </c>
      <c r="C195" s="40" t="inlineStr">
        <is>
          <t>V10.1 - Generic OAuth and OIDC Security</t>
        </is>
      </c>
      <c r="D195" s="42" t="n">
        <v>2</v>
      </c>
      <c r="E195" s="40"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F195" s="40" t="inlineStr">
        <is>
          <t>If uses OAuth/OIDC</t>
        </is>
      </c>
      <c r="G195" s="42" t="inlineStr">
        <is>
          <t>OAUTH_OIDC_USED="Yes"</t>
        </is>
      </c>
      <c r="H195" s="43">
        <f>IF(AND(OAUTH_OIDC_USED="Yes",D195&lt;=TARGET_LEVEL_NUM),"Applicable","N/A")</f>
        <v/>
      </c>
      <c r="I195" s="42" t="inlineStr">
        <is>
          <t>HB-OAUTH-01</t>
        </is>
      </c>
      <c r="J195" s="42" t="n"/>
      <c r="K195" s="43">
        <f>IF($I195="Excluded","Excluded",IF(H195="N/A","N/A",IFERROR(INDEX(BL_COVERAGE,MATCH($I195,BL_IDS,0))&amp;"","Mapping error")))</f>
        <v/>
      </c>
    </row>
    <row r="196" ht="39.75" customHeight="1" s="19">
      <c r="A196" s="42" t="inlineStr">
        <is>
          <t>V10.2.1</t>
        </is>
      </c>
      <c r="B196" s="40" t="inlineStr">
        <is>
          <t>V10 - OAuth and OIDC</t>
        </is>
      </c>
      <c r="C196" s="40" t="inlineStr">
        <is>
          <t>V10.2 - OAuth Client</t>
        </is>
      </c>
      <c r="D196" s="42" t="n">
        <v>2</v>
      </c>
      <c r="E196" s="40"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F196" s="40" t="inlineStr">
        <is>
          <t>If uses OAuth/OIDC</t>
        </is>
      </c>
      <c r="G196" s="42" t="inlineStr">
        <is>
          <t>OAUTH_OIDC_USED="Yes"</t>
        </is>
      </c>
      <c r="H196" s="43">
        <f>IF(AND(OAUTH_OIDC_USED="Yes",D196&lt;=TARGET_LEVEL_NUM),"Applicable","N/A")</f>
        <v/>
      </c>
      <c r="I196" s="42" t="inlineStr">
        <is>
          <t>HB-OAUTH-01</t>
        </is>
      </c>
      <c r="J196" s="42" t="n"/>
      <c r="K196" s="43">
        <f>IF($I196="Excluded","Excluded",IF(H196="N/A","N/A",IFERROR(INDEX(BL_COVERAGE,MATCH($I196,BL_IDS,0))&amp;"","Mapping error")))</f>
        <v/>
      </c>
    </row>
    <row r="197" ht="39.75" customHeight="1" s="19">
      <c r="A197" s="42" t="inlineStr">
        <is>
          <t>V10.2.2</t>
        </is>
      </c>
      <c r="B197" s="40" t="inlineStr">
        <is>
          <t>V10 - OAuth and OIDC</t>
        </is>
      </c>
      <c r="C197" s="40" t="inlineStr">
        <is>
          <t>V10.2 - OAuth Client</t>
        </is>
      </c>
      <c r="D197" s="42" t="n">
        <v>2</v>
      </c>
      <c r="E197" s="40"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F197" s="40" t="inlineStr">
        <is>
          <t>If uses OAuth/OIDC</t>
        </is>
      </c>
      <c r="G197" s="42" t="inlineStr">
        <is>
          <t>OAUTH_OIDC_USED="Yes"</t>
        </is>
      </c>
      <c r="H197" s="43">
        <f>IF(AND(OAUTH_OIDC_USED="Yes",D197&lt;=TARGET_LEVEL_NUM),"Applicable","N/A")</f>
        <v/>
      </c>
      <c r="I197" s="42" t="inlineStr">
        <is>
          <t>HB-OAUTH-01</t>
        </is>
      </c>
      <c r="J197" s="42" t="n"/>
      <c r="K197" s="43">
        <f>IF($I197="Excluded","Excluded",IF(H197="N/A","N/A",IFERROR(INDEX(BL_COVERAGE,MATCH($I197,BL_IDS,0))&amp;"","Mapping error")))</f>
        <v/>
      </c>
    </row>
    <row r="198" ht="39.75" customHeight="1" s="19">
      <c r="A198" s="42" t="inlineStr">
        <is>
          <t>V10.2.3</t>
        </is>
      </c>
      <c r="B198" s="40" t="inlineStr">
        <is>
          <t>V10 - OAuth and OIDC</t>
        </is>
      </c>
      <c r="C198" s="40" t="inlineStr">
        <is>
          <t>V10.2 - OAuth Client</t>
        </is>
      </c>
      <c r="D198" s="42" t="n">
        <v>3</v>
      </c>
      <c r="E198" s="40" t="inlineStr">
        <is>
          <t>Verify that the OAuth client only requests the required scopes (or other authorization parameters) in requests to the authorization server.</t>
        </is>
      </c>
      <c r="F198" s="40" t="inlineStr">
        <is>
          <t>If uses OAuth/OIDC</t>
        </is>
      </c>
      <c r="G198" s="42" t="inlineStr">
        <is>
          <t>OAUTH_OIDC_USED="Yes"</t>
        </is>
      </c>
      <c r="H198" s="43">
        <f>IF(AND(OAUTH_OIDC_USED="Yes",D198&lt;=TARGET_LEVEL_NUM),"Applicable","N/A")</f>
        <v/>
      </c>
      <c r="I198" s="42" t="inlineStr">
        <is>
          <t>HB-OAUTH-01</t>
        </is>
      </c>
      <c r="J198" s="42" t="n"/>
      <c r="K198" s="43">
        <f>IF($I198="Excluded","Excluded",IF(H198="N/A","N/A",IFERROR(INDEX(BL_COVERAGE,MATCH($I198,BL_IDS,0))&amp;"","Mapping error")))</f>
        <v/>
      </c>
    </row>
    <row r="199" ht="39.75" customHeight="1" s="19">
      <c r="A199" s="42" t="inlineStr">
        <is>
          <t>V10.3.1</t>
        </is>
      </c>
      <c r="B199" s="40" t="inlineStr">
        <is>
          <t>V10 - OAuth and OIDC</t>
        </is>
      </c>
      <c r="C199" s="40" t="inlineStr">
        <is>
          <t>V10.3 - OAuth Resource Server</t>
        </is>
      </c>
      <c r="D199" s="42" t="n">
        <v>2</v>
      </c>
      <c r="E199" s="40"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F199" s="40" t="inlineStr">
        <is>
          <t>If uses OAuth/OIDC</t>
        </is>
      </c>
      <c r="G199" s="42" t="inlineStr">
        <is>
          <t>OAUTH_OIDC_USED="Yes"</t>
        </is>
      </c>
      <c r="H199" s="43">
        <f>IF(AND(OAUTH_OIDC_USED="Yes",D199&lt;=TARGET_LEVEL_NUM),"Applicable","N/A")</f>
        <v/>
      </c>
      <c r="I199" s="42" t="inlineStr">
        <is>
          <t>HB-OAUTH-02</t>
        </is>
      </c>
      <c r="J199" s="42" t="n"/>
      <c r="K199" s="43">
        <f>IF($I199="Excluded","Excluded",IF(H199="N/A","N/A",IFERROR(INDEX(BL_COVERAGE,MATCH($I199,BL_IDS,0))&amp;"","Mapping error")))</f>
        <v/>
      </c>
    </row>
    <row r="200" ht="39.75" customHeight="1" s="19">
      <c r="A200" s="42" t="inlineStr">
        <is>
          <t>V10.3.2</t>
        </is>
      </c>
      <c r="B200" s="40" t="inlineStr">
        <is>
          <t>V10 - OAuth and OIDC</t>
        </is>
      </c>
      <c r="C200" s="40" t="inlineStr">
        <is>
          <t>V10.3 - OAuth Resource Server</t>
        </is>
      </c>
      <c r="D200" s="42" t="n">
        <v>2</v>
      </c>
      <c r="E200" s="40" t="inlineStr">
        <is>
          <t>Verify that the resource server enforces authorization decisions based on claims from the access token that define delegated authorization. If claims such as 'sub', 'scope', and 'authorization_details' are present, they must be part of the decision.</t>
        </is>
      </c>
      <c r="F200" s="40" t="inlineStr">
        <is>
          <t>If uses OAuth/OIDC</t>
        </is>
      </c>
      <c r="G200" s="42" t="inlineStr">
        <is>
          <t>OAUTH_OIDC_USED="Yes"</t>
        </is>
      </c>
      <c r="H200" s="43">
        <f>IF(AND(OAUTH_OIDC_USED="Yes",D200&lt;=TARGET_LEVEL_NUM),"Applicable","N/A")</f>
        <v/>
      </c>
      <c r="I200" s="42" t="inlineStr">
        <is>
          <t>HB-OAUTH-02</t>
        </is>
      </c>
      <c r="J200" s="42" t="n"/>
      <c r="K200" s="43">
        <f>IF($I200="Excluded","Excluded",IF(H200="N/A","N/A",IFERROR(INDEX(BL_COVERAGE,MATCH($I200,BL_IDS,0))&amp;"","Mapping error")))</f>
        <v/>
      </c>
    </row>
    <row r="201" ht="39.75" customHeight="1" s="19">
      <c r="A201" s="42" t="inlineStr">
        <is>
          <t>V10.3.3</t>
        </is>
      </c>
      <c r="B201" s="40" t="inlineStr">
        <is>
          <t>V10 - OAuth and OIDC</t>
        </is>
      </c>
      <c r="C201" s="40" t="inlineStr">
        <is>
          <t>V10.3 - OAuth Resource Server</t>
        </is>
      </c>
      <c r="D201" s="42" t="n">
        <v>2</v>
      </c>
      <c r="E201" s="40"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F201" s="40" t="inlineStr">
        <is>
          <t>If uses OAuth/OIDC</t>
        </is>
      </c>
      <c r="G201" s="42" t="inlineStr">
        <is>
          <t>OAUTH_OIDC_USED="Yes"</t>
        </is>
      </c>
      <c r="H201" s="43">
        <f>IF(AND(OAUTH_OIDC_USED="Yes",D201&lt;=TARGET_LEVEL_NUM),"Applicable","N/A")</f>
        <v/>
      </c>
      <c r="I201" s="42" t="inlineStr">
        <is>
          <t>HB-OAUTH-02</t>
        </is>
      </c>
      <c r="J201" s="42" t="n"/>
      <c r="K201" s="43">
        <f>IF($I201="Excluded","Excluded",IF(H201="N/A","N/A",IFERROR(INDEX(BL_COVERAGE,MATCH($I201,BL_IDS,0))&amp;"","Mapping error")))</f>
        <v/>
      </c>
    </row>
    <row r="202" ht="39.75" customHeight="1" s="19">
      <c r="A202" s="42" t="inlineStr">
        <is>
          <t>V10.3.4</t>
        </is>
      </c>
      <c r="B202" s="40" t="inlineStr">
        <is>
          <t>V10 - OAuth and OIDC</t>
        </is>
      </c>
      <c r="C202" s="40" t="inlineStr">
        <is>
          <t>V10.3 - OAuth Resource Server</t>
        </is>
      </c>
      <c r="D202" s="42" t="n">
        <v>2</v>
      </c>
      <c r="E202" s="40" t="inlineStr">
        <is>
          <t>Verify that, if the resource server requires specific authentication strength, methods, or recentness, it verifies that the presented access token satisfies these constraints. For example, if present, using the OIDC 'acr', 'amr' and 'auth_time' claims respectively.</t>
        </is>
      </c>
      <c r="F202" s="40" t="inlineStr">
        <is>
          <t>If uses OAuth/OIDC</t>
        </is>
      </c>
      <c r="G202" s="42" t="inlineStr">
        <is>
          <t>OAUTH_OIDC_USED="Yes"</t>
        </is>
      </c>
      <c r="H202" s="43">
        <f>IF(AND(OAUTH_OIDC_USED="Yes",D202&lt;=TARGET_LEVEL_NUM),"Applicable","N/A")</f>
        <v/>
      </c>
      <c r="I202" s="42" t="inlineStr">
        <is>
          <t>HB-OAUTH-02</t>
        </is>
      </c>
      <c r="J202" s="42" t="n"/>
      <c r="K202" s="43">
        <f>IF($I202="Excluded","Excluded",IF(H202="N/A","N/A",IFERROR(INDEX(BL_COVERAGE,MATCH($I202,BL_IDS,0))&amp;"","Mapping error")))</f>
        <v/>
      </c>
    </row>
    <row r="203" ht="39.75" customHeight="1" s="19">
      <c r="A203" s="42" t="inlineStr">
        <is>
          <t>V10.3.5</t>
        </is>
      </c>
      <c r="B203" s="40" t="inlineStr">
        <is>
          <t>V10 - OAuth and OIDC</t>
        </is>
      </c>
      <c r="C203" s="40" t="inlineStr">
        <is>
          <t>V10.3 - OAuth Resource Server</t>
        </is>
      </c>
      <c r="D203" s="42" t="n">
        <v>3</v>
      </c>
      <c r="E203" s="40" t="inlineStr">
        <is>
          <t>Verify that the resource server prevents the use of stolen access tokens or replay of access tokens (from unauthorized parties) by requiring sender-constrained access tokens, either Mutual TLS for OAuth 2 or OAuth 2 Demonstration of Proof of Possession (DPoP).</t>
        </is>
      </c>
      <c r="F203" s="40" t="inlineStr">
        <is>
          <t>If uses OAuth/OIDC</t>
        </is>
      </c>
      <c r="G203" s="42" t="inlineStr">
        <is>
          <t>OAUTH_OIDC_USED="Yes"</t>
        </is>
      </c>
      <c r="H203" s="43">
        <f>IF(AND(OAUTH_OIDC_USED="Yes",D203&lt;=TARGET_LEVEL_NUM),"Applicable","N/A")</f>
        <v/>
      </c>
      <c r="I203" s="42" t="inlineStr">
        <is>
          <t>HB-OAUTH-02</t>
        </is>
      </c>
      <c r="J203" s="42" t="n"/>
      <c r="K203" s="43">
        <f>IF($I203="Excluded","Excluded",IF(H203="N/A","N/A",IFERROR(INDEX(BL_COVERAGE,MATCH($I203,BL_IDS,0))&amp;"","Mapping error")))</f>
        <v/>
      </c>
    </row>
    <row r="204" ht="39.75" customHeight="1" s="19">
      <c r="A204" s="42" t="inlineStr">
        <is>
          <t>V10.4.1</t>
        </is>
      </c>
      <c r="B204" s="40" t="inlineStr">
        <is>
          <t>V10 - OAuth and OIDC</t>
        </is>
      </c>
      <c r="C204" s="40" t="inlineStr">
        <is>
          <t>V10.4 - OAuth Authorization Server</t>
        </is>
      </c>
      <c r="D204" s="42" t="n">
        <v>1</v>
      </c>
      <c r="E204" s="40" t="inlineStr">
        <is>
          <t>Verify that the authorization server validates redirect URIs based on a client-specific allowlist of pre-registered URIs using exact string comparison.</t>
        </is>
      </c>
      <c r="F204" s="40" t="inlineStr">
        <is>
          <t>If uses OAuth/OIDC</t>
        </is>
      </c>
      <c r="G204" s="42" t="inlineStr">
        <is>
          <t>OAUTH_OIDC_USED="Yes"</t>
        </is>
      </c>
      <c r="H204" s="43">
        <f>IF(AND(OAUTH_OIDC_USED="Yes",D204&lt;=TARGET_LEVEL_NUM),"Applicable","N/A")</f>
        <v/>
      </c>
      <c r="I204" s="42" t="inlineStr">
        <is>
          <t>HB-OAUTH-03</t>
        </is>
      </c>
      <c r="J204" s="42" t="n"/>
      <c r="K204" s="43">
        <f>IF($I204="Excluded","Excluded",IF(H204="N/A","N/A",IFERROR(INDEX(BL_COVERAGE,MATCH($I204,BL_IDS,0))&amp;"","Mapping error")))</f>
        <v/>
      </c>
    </row>
    <row r="205" ht="39.75" customHeight="1" s="19">
      <c r="A205" s="42" t="inlineStr">
        <is>
          <t>V10.4.2</t>
        </is>
      </c>
      <c r="B205" s="40" t="inlineStr">
        <is>
          <t>V10 - OAuth and OIDC</t>
        </is>
      </c>
      <c r="C205" s="40" t="inlineStr">
        <is>
          <t>V10.4 - OAuth Authorization Server</t>
        </is>
      </c>
      <c r="D205" s="42" t="n">
        <v>1</v>
      </c>
      <c r="E205" s="40"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F205" s="40" t="inlineStr">
        <is>
          <t>If uses OAuth/OIDC</t>
        </is>
      </c>
      <c r="G205" s="42" t="inlineStr">
        <is>
          <t>OAUTH_OIDC_USED="Yes"</t>
        </is>
      </c>
      <c r="H205" s="43">
        <f>IF(AND(OAUTH_OIDC_USED="Yes",D205&lt;=TARGET_LEVEL_NUM),"Applicable","N/A")</f>
        <v/>
      </c>
      <c r="I205" s="42" t="inlineStr">
        <is>
          <t>HB-OAUTH-03</t>
        </is>
      </c>
      <c r="J205" s="42" t="n"/>
      <c r="K205" s="43">
        <f>IF($I205="Excluded","Excluded",IF(H205="N/A","N/A",IFERROR(INDEX(BL_COVERAGE,MATCH($I205,BL_IDS,0))&amp;"","Mapping error")))</f>
        <v/>
      </c>
    </row>
    <row r="206" ht="39.75" customHeight="1" s="19">
      <c r="A206" s="42" t="inlineStr">
        <is>
          <t>V10.4.3</t>
        </is>
      </c>
      <c r="B206" s="40" t="inlineStr">
        <is>
          <t>V10 - OAuth and OIDC</t>
        </is>
      </c>
      <c r="C206" s="40" t="inlineStr">
        <is>
          <t>V10.4 - OAuth Authorization Server</t>
        </is>
      </c>
      <c r="D206" s="42" t="n">
        <v>1</v>
      </c>
      <c r="E206" s="40" t="inlineStr">
        <is>
          <t>Verify that the authorization code is short-lived. The maximum lifetime can be up to 10 minutes for L1 and L2 applications and up to 1 minute for L3 applications.</t>
        </is>
      </c>
      <c r="F206" s="40" t="inlineStr">
        <is>
          <t>If uses OAuth/OIDC</t>
        </is>
      </c>
      <c r="G206" s="42" t="inlineStr">
        <is>
          <t>OAUTH_OIDC_USED="Yes"</t>
        </is>
      </c>
      <c r="H206" s="43">
        <f>IF(AND(OAUTH_OIDC_USED="Yes",D206&lt;=TARGET_LEVEL_NUM),"Applicable","N/A")</f>
        <v/>
      </c>
      <c r="I206" s="42" t="inlineStr">
        <is>
          <t>HB-OAUTH-03</t>
        </is>
      </c>
      <c r="J206" s="42" t="n"/>
      <c r="K206" s="43">
        <f>IF($I206="Excluded","Excluded",IF(H206="N/A","N/A",IFERROR(INDEX(BL_COVERAGE,MATCH($I206,BL_IDS,0))&amp;"","Mapping error")))</f>
        <v/>
      </c>
    </row>
    <row r="207" ht="39.75" customHeight="1" s="19">
      <c r="A207" s="42" t="inlineStr">
        <is>
          <t>V10.4.4</t>
        </is>
      </c>
      <c r="B207" s="40" t="inlineStr">
        <is>
          <t>V10 - OAuth and OIDC</t>
        </is>
      </c>
      <c r="C207" s="40" t="inlineStr">
        <is>
          <t>V10.4 - OAuth Authorization Server</t>
        </is>
      </c>
      <c r="D207" s="42" t="n">
        <v>1</v>
      </c>
      <c r="E207" s="40" t="inlineStr">
        <is>
          <t>Verify that for a given client, the authorization server only allows the usage of grants that this client needs to use. Note that the grants 'token' (Implicit flow) and 'password' (Resource Owner Password Credentials flow) must no longer be used.</t>
        </is>
      </c>
      <c r="F207" s="40" t="inlineStr">
        <is>
          <t>If uses OAuth/OIDC</t>
        </is>
      </c>
      <c r="G207" s="42" t="inlineStr">
        <is>
          <t>OAUTH_OIDC_USED="Yes"</t>
        </is>
      </c>
      <c r="H207" s="43">
        <f>IF(AND(OAUTH_OIDC_USED="Yes",D207&lt;=TARGET_LEVEL_NUM),"Applicable","N/A")</f>
        <v/>
      </c>
      <c r="I207" s="42" t="inlineStr">
        <is>
          <t>HB-OAUTH-03</t>
        </is>
      </c>
      <c r="J207" s="42" t="n"/>
      <c r="K207" s="43">
        <f>IF($I207="Excluded","Excluded",IF(H207="N/A","N/A",IFERROR(INDEX(BL_COVERAGE,MATCH($I207,BL_IDS,0))&amp;"","Mapping error")))</f>
        <v/>
      </c>
    </row>
    <row r="208" ht="39.75" customHeight="1" s="19">
      <c r="A208" s="42" t="inlineStr">
        <is>
          <t>V10.4.5</t>
        </is>
      </c>
      <c r="B208" s="40" t="inlineStr">
        <is>
          <t>V10 - OAuth and OIDC</t>
        </is>
      </c>
      <c r="C208" s="40" t="inlineStr">
        <is>
          <t>V10.4 - OAuth Authorization Server</t>
        </is>
      </c>
      <c r="D208" s="42" t="n">
        <v>1</v>
      </c>
      <c r="E208" s="40"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F208" s="40" t="inlineStr">
        <is>
          <t>If uses OAuth/OIDC</t>
        </is>
      </c>
      <c r="G208" s="42" t="inlineStr">
        <is>
          <t>OAUTH_OIDC_USED="Yes"</t>
        </is>
      </c>
      <c r="H208" s="43">
        <f>IF(AND(OAUTH_OIDC_USED="Yes",D208&lt;=TARGET_LEVEL_NUM),"Applicable","N/A")</f>
        <v/>
      </c>
      <c r="I208" s="42" t="inlineStr">
        <is>
          <t>HB-OAUTH-03</t>
        </is>
      </c>
      <c r="J208" s="42" t="n"/>
      <c r="K208" s="43">
        <f>IF($I208="Excluded","Excluded",IF(H208="N/A","N/A",IFERROR(INDEX(BL_COVERAGE,MATCH($I208,BL_IDS,0))&amp;"","Mapping error")))</f>
        <v/>
      </c>
    </row>
    <row r="209" ht="39.75" customHeight="1" s="19">
      <c r="A209" s="42" t="inlineStr">
        <is>
          <t>V10.4.6</t>
        </is>
      </c>
      <c r="B209" s="40" t="inlineStr">
        <is>
          <t>V10 - OAuth and OIDC</t>
        </is>
      </c>
      <c r="C209" s="40" t="inlineStr">
        <is>
          <t>V10.4 - OAuth Authorization Server</t>
        </is>
      </c>
      <c r="D209" s="42" t="n">
        <v>2</v>
      </c>
      <c r="E209" s="40"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F209" s="40" t="inlineStr">
        <is>
          <t>If uses OAuth/OIDC</t>
        </is>
      </c>
      <c r="G209" s="42" t="inlineStr">
        <is>
          <t>OAUTH_OIDC_USED="Yes"</t>
        </is>
      </c>
      <c r="H209" s="43">
        <f>IF(AND(OAUTH_OIDC_USED="Yes",D209&lt;=TARGET_LEVEL_NUM),"Applicable","N/A")</f>
        <v/>
      </c>
      <c r="I209" s="42" t="inlineStr">
        <is>
          <t>HB-OAUTH-03</t>
        </is>
      </c>
      <c r="J209" s="42" t="n"/>
      <c r="K209" s="43">
        <f>IF($I209="Excluded","Excluded",IF(H209="N/A","N/A",IFERROR(INDEX(BL_COVERAGE,MATCH($I209,BL_IDS,0))&amp;"","Mapping error")))</f>
        <v/>
      </c>
    </row>
    <row r="210" ht="39.75" customHeight="1" s="19">
      <c r="A210" s="42" t="inlineStr">
        <is>
          <t>V10.4.7</t>
        </is>
      </c>
      <c r="B210" s="40" t="inlineStr">
        <is>
          <t>V10 - OAuth and OIDC</t>
        </is>
      </c>
      <c r="C210" s="40" t="inlineStr">
        <is>
          <t>V10.4 - OAuth Authorization Server</t>
        </is>
      </c>
      <c r="D210" s="42" t="n">
        <v>2</v>
      </c>
      <c r="E210" s="40"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F210" s="40" t="inlineStr">
        <is>
          <t>If uses OAuth/OIDC</t>
        </is>
      </c>
      <c r="G210" s="42" t="inlineStr">
        <is>
          <t>OAUTH_OIDC_USED="Yes"</t>
        </is>
      </c>
      <c r="H210" s="43">
        <f>IF(AND(OAUTH_OIDC_USED="Yes",D210&lt;=TARGET_LEVEL_NUM),"Applicable","N/A")</f>
        <v/>
      </c>
      <c r="I210" s="42" t="inlineStr">
        <is>
          <t>HB-OAUTH-03</t>
        </is>
      </c>
      <c r="J210" s="42" t="n"/>
      <c r="K210" s="43">
        <f>IF($I210="Excluded","Excluded",IF(H210="N/A","N/A",IFERROR(INDEX(BL_COVERAGE,MATCH($I210,BL_IDS,0))&amp;"","Mapping error")))</f>
        <v/>
      </c>
    </row>
    <row r="211" ht="39.75" customHeight="1" s="19">
      <c r="A211" s="42" t="inlineStr">
        <is>
          <t>V10.4.8</t>
        </is>
      </c>
      <c r="B211" s="40" t="inlineStr">
        <is>
          <t>V10 - OAuth and OIDC</t>
        </is>
      </c>
      <c r="C211" s="40" t="inlineStr">
        <is>
          <t>V10.4 - OAuth Authorization Server</t>
        </is>
      </c>
      <c r="D211" s="42" t="n">
        <v>2</v>
      </c>
      <c r="E211" s="40" t="inlineStr">
        <is>
          <t>Verify that refresh tokens have an absolute expiration, including if sliding refresh token expiration is applied.</t>
        </is>
      </c>
      <c r="F211" s="40" t="inlineStr">
        <is>
          <t>If uses OAuth/OIDC</t>
        </is>
      </c>
      <c r="G211" s="42" t="inlineStr">
        <is>
          <t>OAUTH_OIDC_USED="Yes"</t>
        </is>
      </c>
      <c r="H211" s="43">
        <f>IF(AND(OAUTH_OIDC_USED="Yes",D211&lt;=TARGET_LEVEL_NUM),"Applicable","N/A")</f>
        <v/>
      </c>
      <c r="I211" s="42" t="inlineStr">
        <is>
          <t>HB-OAUTH-03</t>
        </is>
      </c>
      <c r="J211" s="42" t="n"/>
      <c r="K211" s="43">
        <f>IF($I211="Excluded","Excluded",IF(H211="N/A","N/A",IFERROR(INDEX(BL_COVERAGE,MATCH($I211,BL_IDS,0))&amp;"","Mapping error")))</f>
        <v/>
      </c>
    </row>
    <row r="212" ht="39.75" customHeight="1" s="19">
      <c r="A212" s="42" t="inlineStr">
        <is>
          <t>V10.4.9</t>
        </is>
      </c>
      <c r="B212" s="40" t="inlineStr">
        <is>
          <t>V10 - OAuth and OIDC</t>
        </is>
      </c>
      <c r="C212" s="40" t="inlineStr">
        <is>
          <t>V10.4 - OAuth Authorization Server</t>
        </is>
      </c>
      <c r="D212" s="42" t="n">
        <v>2</v>
      </c>
      <c r="E212" s="40" t="inlineStr">
        <is>
          <t>Verify that refresh tokens and reference access tokens can be revoked by an authorized user using the authorization server user interface, to mitigate the risk of malicious clients or stolen tokens.</t>
        </is>
      </c>
      <c r="F212" s="40" t="inlineStr">
        <is>
          <t>If uses OAuth/OIDC</t>
        </is>
      </c>
      <c r="G212" s="42" t="inlineStr">
        <is>
          <t>OAUTH_OIDC_USED="Yes"</t>
        </is>
      </c>
      <c r="H212" s="43">
        <f>IF(AND(OAUTH_OIDC_USED="Yes",D212&lt;=TARGET_LEVEL_NUM),"Applicable","N/A")</f>
        <v/>
      </c>
      <c r="I212" s="42" t="inlineStr">
        <is>
          <t>HB-OAUTH-03</t>
        </is>
      </c>
      <c r="J212" s="42" t="n"/>
      <c r="K212" s="43">
        <f>IF($I212="Excluded","Excluded",IF(H212="N/A","N/A",IFERROR(INDEX(BL_COVERAGE,MATCH($I212,BL_IDS,0))&amp;"","Mapping error")))</f>
        <v/>
      </c>
    </row>
    <row r="213" ht="39.75" customHeight="1" s="19">
      <c r="A213" s="42" t="inlineStr">
        <is>
          <t>V10.4.10</t>
        </is>
      </c>
      <c r="B213" s="40" t="inlineStr">
        <is>
          <t>V10 - OAuth and OIDC</t>
        </is>
      </c>
      <c r="C213" s="40" t="inlineStr">
        <is>
          <t>V10.4 - OAuth Authorization Server</t>
        </is>
      </c>
      <c r="D213" s="42" t="n">
        <v>2</v>
      </c>
      <c r="E213" s="40" t="inlineStr">
        <is>
          <t>Verify that confidential client is authenticated for client-to-authorized server backchannel requests such as token requests, pushed authorization requests (PAR), and token revocation requests.</t>
        </is>
      </c>
      <c r="F213" s="40" t="inlineStr">
        <is>
          <t>If uses OAuth/OIDC</t>
        </is>
      </c>
      <c r="G213" s="42" t="inlineStr">
        <is>
          <t>OAUTH_OIDC_USED="Yes"</t>
        </is>
      </c>
      <c r="H213" s="43">
        <f>IF(AND(OAUTH_OIDC_USED="Yes",D213&lt;=TARGET_LEVEL_NUM),"Applicable","N/A")</f>
        <v/>
      </c>
      <c r="I213" s="42" t="inlineStr">
        <is>
          <t>HB-OAUTH-03</t>
        </is>
      </c>
      <c r="J213" s="42" t="n"/>
      <c r="K213" s="43">
        <f>IF($I213="Excluded","Excluded",IF(H213="N/A","N/A",IFERROR(INDEX(BL_COVERAGE,MATCH($I213,BL_IDS,0))&amp;"","Mapping error")))</f>
        <v/>
      </c>
    </row>
    <row r="214" ht="39.75" customHeight="1" s="19">
      <c r="A214" s="42" t="inlineStr">
        <is>
          <t>V10.4.11</t>
        </is>
      </c>
      <c r="B214" s="40" t="inlineStr">
        <is>
          <t>V10 - OAuth and OIDC</t>
        </is>
      </c>
      <c r="C214" s="40" t="inlineStr">
        <is>
          <t>V10.4 - OAuth Authorization Server</t>
        </is>
      </c>
      <c r="D214" s="42" t="n">
        <v>2</v>
      </c>
      <c r="E214" s="40" t="inlineStr">
        <is>
          <t>Verify that the authorization server configuration only assigns the required scopes to the OAuth client.</t>
        </is>
      </c>
      <c r="F214" s="40" t="inlineStr">
        <is>
          <t>If uses OAuth/OIDC</t>
        </is>
      </c>
      <c r="G214" s="42" t="inlineStr">
        <is>
          <t>OAUTH_OIDC_USED="Yes"</t>
        </is>
      </c>
      <c r="H214" s="43">
        <f>IF(AND(OAUTH_OIDC_USED="Yes",D214&lt;=TARGET_LEVEL_NUM),"Applicable","N/A")</f>
        <v/>
      </c>
      <c r="I214" s="42" t="inlineStr">
        <is>
          <t>HB-OAUTH-03</t>
        </is>
      </c>
      <c r="J214" s="42" t="n"/>
      <c r="K214" s="43">
        <f>IF($I214="Excluded","Excluded",IF(H214="N/A","N/A",IFERROR(INDEX(BL_COVERAGE,MATCH($I214,BL_IDS,0))&amp;"","Mapping error")))</f>
        <v/>
      </c>
    </row>
    <row r="215" ht="39.75" customHeight="1" s="19">
      <c r="A215" s="42" t="inlineStr">
        <is>
          <t>V10.4.12</t>
        </is>
      </c>
      <c r="B215" s="40" t="inlineStr">
        <is>
          <t>V10 - OAuth and OIDC</t>
        </is>
      </c>
      <c r="C215" s="40" t="inlineStr">
        <is>
          <t>V10.4 - OAuth Authorization Server</t>
        </is>
      </c>
      <c r="D215" s="42" t="n">
        <v>3</v>
      </c>
      <c r="E215" s="40"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F215" s="40" t="inlineStr">
        <is>
          <t>If uses OAuth/OIDC</t>
        </is>
      </c>
      <c r="G215" s="42" t="inlineStr">
        <is>
          <t>OAUTH_OIDC_USED="Yes"</t>
        </is>
      </c>
      <c r="H215" s="43">
        <f>IF(AND(OAUTH_OIDC_USED="Yes",D215&lt;=TARGET_LEVEL_NUM),"Applicable","N/A")</f>
        <v/>
      </c>
      <c r="I215" s="42" t="inlineStr">
        <is>
          <t>HB-OAUTH-03</t>
        </is>
      </c>
      <c r="J215" s="42" t="n"/>
      <c r="K215" s="43">
        <f>IF($I215="Excluded","Excluded",IF(H215="N/A","N/A",IFERROR(INDEX(BL_COVERAGE,MATCH($I215,BL_IDS,0))&amp;"","Mapping error")))</f>
        <v/>
      </c>
    </row>
    <row r="216" ht="39.75" customHeight="1" s="19">
      <c r="A216" s="42" t="inlineStr">
        <is>
          <t>V10.4.13</t>
        </is>
      </c>
      <c r="B216" s="40" t="inlineStr">
        <is>
          <t>V10 - OAuth and OIDC</t>
        </is>
      </c>
      <c r="C216" s="40" t="inlineStr">
        <is>
          <t>V10.4 - OAuth Authorization Server</t>
        </is>
      </c>
      <c r="D216" s="42" t="n">
        <v>3</v>
      </c>
      <c r="E216" s="40" t="inlineStr">
        <is>
          <t>Verify that grant type 'code' is always used together with pushed authorization requests (PAR).</t>
        </is>
      </c>
      <c r="F216" s="40" t="inlineStr">
        <is>
          <t>If uses OAuth/OIDC</t>
        </is>
      </c>
      <c r="G216" s="42" t="inlineStr">
        <is>
          <t>OAUTH_OIDC_USED="Yes"</t>
        </is>
      </c>
      <c r="H216" s="43">
        <f>IF(AND(OAUTH_OIDC_USED="Yes",D216&lt;=TARGET_LEVEL_NUM),"Applicable","N/A")</f>
        <v/>
      </c>
      <c r="I216" s="42" t="inlineStr">
        <is>
          <t>HB-OAUTH-03</t>
        </is>
      </c>
      <c r="J216" s="42" t="n"/>
      <c r="K216" s="43">
        <f>IF($I216="Excluded","Excluded",IF(H216="N/A","N/A",IFERROR(INDEX(BL_COVERAGE,MATCH($I216,BL_IDS,0))&amp;"","Mapping error")))</f>
        <v/>
      </c>
    </row>
    <row r="217" ht="39.75" customHeight="1" s="19">
      <c r="A217" s="42" t="inlineStr">
        <is>
          <t>V10.4.14</t>
        </is>
      </c>
      <c r="B217" s="40" t="inlineStr">
        <is>
          <t>V10 - OAuth and OIDC</t>
        </is>
      </c>
      <c r="C217" s="40" t="inlineStr">
        <is>
          <t>V10.4 - OAuth Authorization Server</t>
        </is>
      </c>
      <c r="D217" s="42" t="n">
        <v>3</v>
      </c>
      <c r="E217" s="40" t="inlineStr">
        <is>
          <t>Verify that the authorization server issues only sender-constrained (Proof-of-Possession) access tokens, either with certificate-bound access tokens using mutual TLS (mTLS) or DPoP-bound access tokens (Demonstration of Proof of Possession).</t>
        </is>
      </c>
      <c r="F217" s="40" t="inlineStr">
        <is>
          <t>If uses OAuth/OIDC</t>
        </is>
      </c>
      <c r="G217" s="42" t="inlineStr">
        <is>
          <t>OAUTH_OIDC_USED="Yes"</t>
        </is>
      </c>
      <c r="H217" s="43">
        <f>IF(AND(OAUTH_OIDC_USED="Yes",D217&lt;=TARGET_LEVEL_NUM),"Applicable","N/A")</f>
        <v/>
      </c>
      <c r="I217" s="42" t="inlineStr">
        <is>
          <t>HB-OAUTH-03</t>
        </is>
      </c>
      <c r="J217" s="42" t="n"/>
      <c r="K217" s="43">
        <f>IF($I217="Excluded","Excluded",IF(H217="N/A","N/A",IFERROR(INDEX(BL_COVERAGE,MATCH($I217,BL_IDS,0))&amp;"","Mapping error")))</f>
        <v/>
      </c>
    </row>
    <row r="218" ht="39.75" customHeight="1" s="19">
      <c r="A218" s="42" t="inlineStr">
        <is>
          <t>V10.4.15</t>
        </is>
      </c>
      <c r="B218" s="40" t="inlineStr">
        <is>
          <t>V10 - OAuth and OIDC</t>
        </is>
      </c>
      <c r="C218" s="40" t="inlineStr">
        <is>
          <t>V10.4 - OAuth Authorization Server</t>
        </is>
      </c>
      <c r="D218" s="42" t="n">
        <v>3</v>
      </c>
      <c r="E218" s="40"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F218" s="40" t="inlineStr">
        <is>
          <t>If uses OAuth/OIDC</t>
        </is>
      </c>
      <c r="G218" s="42" t="inlineStr">
        <is>
          <t>OAUTH_OIDC_USED="Yes"</t>
        </is>
      </c>
      <c r="H218" s="43">
        <f>IF(AND(OAUTH_OIDC_USED="Yes",D218&lt;=TARGET_LEVEL_NUM),"Applicable","N/A")</f>
        <v/>
      </c>
      <c r="I218" s="42" t="inlineStr">
        <is>
          <t>HB-OAUTH-03</t>
        </is>
      </c>
      <c r="J218" s="42" t="n"/>
      <c r="K218" s="43">
        <f>IF($I218="Excluded","Excluded",IF(H218="N/A","N/A",IFERROR(INDEX(BL_COVERAGE,MATCH($I218,BL_IDS,0))&amp;"","Mapping error")))</f>
        <v/>
      </c>
    </row>
    <row r="219" ht="39.75" customHeight="1" s="19">
      <c r="A219" s="42" t="inlineStr">
        <is>
          <t>V10.4.16</t>
        </is>
      </c>
      <c r="B219" s="40" t="inlineStr">
        <is>
          <t>V10 - OAuth and OIDC</t>
        </is>
      </c>
      <c r="C219" s="40" t="inlineStr">
        <is>
          <t>V10.4 - OAuth Authorization Server</t>
        </is>
      </c>
      <c r="D219" s="42" t="n">
        <v>3</v>
      </c>
      <c r="E219" s="40"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F219" s="40" t="inlineStr">
        <is>
          <t>If uses OAuth/OIDC</t>
        </is>
      </c>
      <c r="G219" s="42" t="inlineStr">
        <is>
          <t>OAUTH_OIDC_USED="Yes"</t>
        </is>
      </c>
      <c r="H219" s="43">
        <f>IF(AND(OAUTH_OIDC_USED="Yes",D219&lt;=TARGET_LEVEL_NUM),"Applicable","N/A")</f>
        <v/>
      </c>
      <c r="I219" s="42" t="inlineStr">
        <is>
          <t>HB-OAUTH-03</t>
        </is>
      </c>
      <c r="J219" s="42" t="n"/>
      <c r="K219" s="43">
        <f>IF($I219="Excluded","Excluded",IF(H219="N/A","N/A",IFERROR(INDEX(BL_COVERAGE,MATCH($I219,BL_IDS,0))&amp;"","Mapping error")))</f>
        <v/>
      </c>
    </row>
    <row r="220" ht="39.75" customHeight="1" s="19">
      <c r="A220" s="42" t="inlineStr">
        <is>
          <t>V10.5.1</t>
        </is>
      </c>
      <c r="B220" s="40" t="inlineStr">
        <is>
          <t>V10 - OAuth and OIDC</t>
        </is>
      </c>
      <c r="C220" s="40" t="inlineStr">
        <is>
          <t>V10.5 - OIDC Client</t>
        </is>
      </c>
      <c r="D220" s="42" t="n">
        <v>2</v>
      </c>
      <c r="E220" s="40"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F220" s="40" t="inlineStr">
        <is>
          <t>If uses OAuth/OIDC</t>
        </is>
      </c>
      <c r="G220" s="42" t="inlineStr">
        <is>
          <t>OAUTH_OIDC_USED="Yes"</t>
        </is>
      </c>
      <c r="H220" s="43">
        <f>IF(AND(OAUTH_OIDC_USED="Yes",D220&lt;=TARGET_LEVEL_NUM),"Applicable","N/A")</f>
        <v/>
      </c>
      <c r="I220" s="42" t="inlineStr">
        <is>
          <t>HB-OAUTH-01</t>
        </is>
      </c>
      <c r="J220" s="42" t="n"/>
      <c r="K220" s="43">
        <f>IF($I220="Excluded","Excluded",IF(H220="N/A","N/A",IFERROR(INDEX(BL_COVERAGE,MATCH($I220,BL_IDS,0))&amp;"","Mapping error")))</f>
        <v/>
      </c>
    </row>
    <row r="221" ht="39.75" customHeight="1" s="19">
      <c r="A221" s="42" t="inlineStr">
        <is>
          <t>V10.5.2</t>
        </is>
      </c>
      <c r="B221" s="40" t="inlineStr">
        <is>
          <t>V10 - OAuth and OIDC</t>
        </is>
      </c>
      <c r="C221" s="40" t="inlineStr">
        <is>
          <t>V10.5 - OIDC Client</t>
        </is>
      </c>
      <c r="D221" s="42" t="n">
        <v>2</v>
      </c>
      <c r="E221" s="40" t="inlineStr">
        <is>
          <t>Verify that the client uniquely identifies the user from ID Token claims, usually the 'sub' claim, which cannot be reassigned to other users (for the scope of an identity provider).</t>
        </is>
      </c>
      <c r="F221" s="40" t="inlineStr">
        <is>
          <t>If uses OAuth/OIDC</t>
        </is>
      </c>
      <c r="G221" s="42" t="inlineStr">
        <is>
          <t>OAUTH_OIDC_USED="Yes"</t>
        </is>
      </c>
      <c r="H221" s="43">
        <f>IF(AND(OAUTH_OIDC_USED="Yes",D221&lt;=TARGET_LEVEL_NUM),"Applicable","N/A")</f>
        <v/>
      </c>
      <c r="I221" s="42" t="inlineStr">
        <is>
          <t>HB-OAUTH-01</t>
        </is>
      </c>
      <c r="J221" s="42" t="n"/>
      <c r="K221" s="43">
        <f>IF($I221="Excluded","Excluded",IF(H221="N/A","N/A",IFERROR(INDEX(BL_COVERAGE,MATCH($I221,BL_IDS,0))&amp;"","Mapping error")))</f>
        <v/>
      </c>
    </row>
    <row r="222" ht="39.75" customHeight="1" s="19">
      <c r="A222" s="42" t="inlineStr">
        <is>
          <t>V10.5.3</t>
        </is>
      </c>
      <c r="B222" s="40" t="inlineStr">
        <is>
          <t>V10 - OAuth and OIDC</t>
        </is>
      </c>
      <c r="C222" s="40" t="inlineStr">
        <is>
          <t>V10.5 - OIDC Client</t>
        </is>
      </c>
      <c r="D222" s="42" t="n">
        <v>2</v>
      </c>
      <c r="E222" s="40"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F222" s="40" t="inlineStr">
        <is>
          <t>If uses OAuth/OIDC</t>
        </is>
      </c>
      <c r="G222" s="42" t="inlineStr">
        <is>
          <t>OAUTH_OIDC_USED="Yes"</t>
        </is>
      </c>
      <c r="H222" s="43">
        <f>IF(AND(OAUTH_OIDC_USED="Yes",D222&lt;=TARGET_LEVEL_NUM),"Applicable","N/A")</f>
        <v/>
      </c>
      <c r="I222" s="42" t="inlineStr">
        <is>
          <t>HB-OAUTH-01</t>
        </is>
      </c>
      <c r="J222" s="42" t="n"/>
      <c r="K222" s="43">
        <f>IF($I222="Excluded","Excluded",IF(H222="N/A","N/A",IFERROR(INDEX(BL_COVERAGE,MATCH($I222,BL_IDS,0))&amp;"","Mapping error")))</f>
        <v/>
      </c>
    </row>
    <row r="223" ht="39.75" customHeight="1" s="19">
      <c r="A223" s="42" t="inlineStr">
        <is>
          <t>V10.5.4</t>
        </is>
      </c>
      <c r="B223" s="40" t="inlineStr">
        <is>
          <t>V10 - OAuth and OIDC</t>
        </is>
      </c>
      <c r="C223" s="40" t="inlineStr">
        <is>
          <t>V10.5 - OIDC Client</t>
        </is>
      </c>
      <c r="D223" s="42" t="n">
        <v>2</v>
      </c>
      <c r="E223" s="40" t="inlineStr">
        <is>
          <t>Verify that the client validates that the ID Token is intended to be used for that client (audience) by checking that the 'aud' claim from the token is equal to the 'client_id' value for the client.</t>
        </is>
      </c>
      <c r="F223" s="40" t="inlineStr">
        <is>
          <t>If uses OAuth/OIDC</t>
        </is>
      </c>
      <c r="G223" s="42" t="inlineStr">
        <is>
          <t>OAUTH_OIDC_USED="Yes"</t>
        </is>
      </c>
      <c r="H223" s="43">
        <f>IF(AND(OAUTH_OIDC_USED="Yes",D223&lt;=TARGET_LEVEL_NUM),"Applicable","N/A")</f>
        <v/>
      </c>
      <c r="I223" s="42" t="inlineStr">
        <is>
          <t>HB-OAUTH-01</t>
        </is>
      </c>
      <c r="J223" s="42" t="n"/>
      <c r="K223" s="43">
        <f>IF($I223="Excluded","Excluded",IF(H223="N/A","N/A",IFERROR(INDEX(BL_COVERAGE,MATCH($I223,BL_IDS,0))&amp;"","Mapping error")))</f>
        <v/>
      </c>
    </row>
    <row r="224" ht="39.75" customHeight="1" s="19">
      <c r="A224" s="42" t="inlineStr">
        <is>
          <t>V10.5.5</t>
        </is>
      </c>
      <c r="B224" s="40" t="inlineStr">
        <is>
          <t>V10 - OAuth and OIDC</t>
        </is>
      </c>
      <c r="C224" s="40" t="inlineStr">
        <is>
          <t>V10.5 - OIDC Client</t>
        </is>
      </c>
      <c r="D224" s="42" t="n">
        <v>2</v>
      </c>
      <c r="E224" s="40"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F224" s="40" t="inlineStr">
        <is>
          <t>If uses OAuth/OIDC</t>
        </is>
      </c>
      <c r="G224" s="42" t="inlineStr">
        <is>
          <t>OAUTH_OIDC_USED="Yes"</t>
        </is>
      </c>
      <c r="H224" s="43">
        <f>IF(AND(OAUTH_OIDC_USED="Yes",D224&lt;=TARGET_LEVEL_NUM),"Applicable","N/A")</f>
        <v/>
      </c>
      <c r="I224" s="42" t="inlineStr">
        <is>
          <t>HB-OAUTH-01</t>
        </is>
      </c>
      <c r="J224" s="42" t="n"/>
      <c r="K224" s="43">
        <f>IF($I224="Excluded","Excluded",IF(H224="N/A","N/A",IFERROR(INDEX(BL_COVERAGE,MATCH($I224,BL_IDS,0))&amp;"","Mapping error")))</f>
        <v/>
      </c>
    </row>
    <row r="225" ht="39.75" customHeight="1" s="19">
      <c r="A225" s="42" t="inlineStr">
        <is>
          <t>V10.6.1</t>
        </is>
      </c>
      <c r="B225" s="40" t="inlineStr">
        <is>
          <t>V10 - OAuth and OIDC</t>
        </is>
      </c>
      <c r="C225" s="40" t="inlineStr">
        <is>
          <t>V10.6 - OpenID Provider</t>
        </is>
      </c>
      <c r="D225" s="42" t="n">
        <v>2</v>
      </c>
      <c r="E225" s="40" t="inlineStr">
        <is>
          <t>Verify that the OpenID Provider only allows values 'code', 'ciba', 'id_token', or 'id_token code' for response mode. Note that 'code' is preferred over 'id_token code' (the OIDC Hybrid flow), and 'token' (any Implicit flow) must not be used.</t>
        </is>
      </c>
      <c r="F225" s="40" t="inlineStr">
        <is>
          <t>If uses OAuth/OIDC</t>
        </is>
      </c>
      <c r="G225" s="42" t="inlineStr">
        <is>
          <t>OAUTH_OIDC_USED="Yes"</t>
        </is>
      </c>
      <c r="H225" s="43">
        <f>IF(AND(OAUTH_OIDC_USED="Yes",D225&lt;=TARGET_LEVEL_NUM),"Applicable","N/A")</f>
        <v/>
      </c>
      <c r="I225" s="42" t="inlineStr">
        <is>
          <t>HB-OAUTH-03</t>
        </is>
      </c>
      <c r="J225" s="42" t="n"/>
      <c r="K225" s="43">
        <f>IF($I225="Excluded","Excluded",IF(H225="N/A","N/A",IFERROR(INDEX(BL_COVERAGE,MATCH($I225,BL_IDS,0))&amp;"","Mapping error")))</f>
        <v/>
      </c>
    </row>
    <row r="226" ht="39.75" customHeight="1" s="19">
      <c r="A226" s="42" t="inlineStr">
        <is>
          <t>V10.6.2</t>
        </is>
      </c>
      <c r="B226" s="40" t="inlineStr">
        <is>
          <t>V10 - OAuth and OIDC</t>
        </is>
      </c>
      <c r="C226" s="40" t="inlineStr">
        <is>
          <t>V10.6 - OpenID Provider</t>
        </is>
      </c>
      <c r="D226" s="42" t="n">
        <v>2</v>
      </c>
      <c r="E226" s="40" t="inlineStr">
        <is>
          <t>Verify that the OpenID Provider mitigates denial of service through forced logout. By obtaining explicit confirmation from the end-user or, if present, validating parameters in the logout request (initiated by the relying party), such as the 'id_token_hint'.</t>
        </is>
      </c>
      <c r="F226" s="40" t="inlineStr">
        <is>
          <t>If uses OAuth/OIDC</t>
        </is>
      </c>
      <c r="G226" s="42" t="inlineStr">
        <is>
          <t>OAUTH_OIDC_USED="Yes"</t>
        </is>
      </c>
      <c r="H226" s="43">
        <f>IF(AND(OAUTH_OIDC_USED="Yes",D226&lt;=TARGET_LEVEL_NUM),"Applicable","N/A")</f>
        <v/>
      </c>
      <c r="I226" s="42" t="inlineStr">
        <is>
          <t>HB-OAUTH-03</t>
        </is>
      </c>
      <c r="J226" s="42" t="n"/>
      <c r="K226" s="43">
        <f>IF($I226="Excluded","Excluded",IF(H226="N/A","N/A",IFERROR(INDEX(BL_COVERAGE,MATCH($I226,BL_IDS,0))&amp;"","Mapping error")))</f>
        <v/>
      </c>
    </row>
    <row r="227" ht="39.75" customHeight="1" s="19">
      <c r="A227" s="42" t="inlineStr">
        <is>
          <t>V10.7.1</t>
        </is>
      </c>
      <c r="B227" s="40" t="inlineStr">
        <is>
          <t>V10 - OAuth and OIDC</t>
        </is>
      </c>
      <c r="C227" s="40" t="inlineStr">
        <is>
          <t>V10.7 - Consent Management</t>
        </is>
      </c>
      <c r="D227" s="42" t="n">
        <v>2</v>
      </c>
      <c r="E227" s="40" t="inlineStr">
        <is>
          <t>Verify that the authorization server ensures that the user consents to each authorization request. If the identity of the client cannot be assured, the authorization server must always explicitly prompt the user for consent.</t>
        </is>
      </c>
      <c r="F227" s="40" t="inlineStr">
        <is>
          <t>If uses OAuth/OIDC</t>
        </is>
      </c>
      <c r="G227" s="42" t="inlineStr">
        <is>
          <t>OAUTH_OIDC_USED="Yes"</t>
        </is>
      </c>
      <c r="H227" s="43">
        <f>IF(AND(OAUTH_OIDC_USED="Yes",D227&lt;=TARGET_LEVEL_NUM),"Applicable","N/A")</f>
        <v/>
      </c>
      <c r="I227" s="42" t="inlineStr">
        <is>
          <t>HB-OAUTH-03</t>
        </is>
      </c>
      <c r="J227" s="42" t="n"/>
      <c r="K227" s="43">
        <f>IF($I227="Excluded","Excluded",IF(H227="N/A","N/A",IFERROR(INDEX(BL_COVERAGE,MATCH($I227,BL_IDS,0))&amp;"","Mapping error")))</f>
        <v/>
      </c>
    </row>
    <row r="228" ht="39.75" customHeight="1" s="19">
      <c r="A228" s="42" t="inlineStr">
        <is>
          <t>V10.7.2</t>
        </is>
      </c>
      <c r="B228" s="40" t="inlineStr">
        <is>
          <t>V10 - OAuth and OIDC</t>
        </is>
      </c>
      <c r="C228" s="40" t="inlineStr">
        <is>
          <t>V10.7 - Consent Management</t>
        </is>
      </c>
      <c r="D228" s="42" t="n">
        <v>2</v>
      </c>
      <c r="E228" s="40"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F228" s="40" t="inlineStr">
        <is>
          <t>If uses OAuth/OIDC</t>
        </is>
      </c>
      <c r="G228" s="42" t="inlineStr">
        <is>
          <t>OAUTH_OIDC_USED="Yes"</t>
        </is>
      </c>
      <c r="H228" s="43">
        <f>IF(AND(OAUTH_OIDC_USED="Yes",D228&lt;=TARGET_LEVEL_NUM),"Applicable","N/A")</f>
        <v/>
      </c>
      <c r="I228" s="42" t="inlineStr">
        <is>
          <t>HB-OAUTH-03</t>
        </is>
      </c>
      <c r="J228" s="42" t="n"/>
      <c r="K228" s="43">
        <f>IF($I228="Excluded","Excluded",IF(H228="N/A","N/A",IFERROR(INDEX(BL_COVERAGE,MATCH($I228,BL_IDS,0))&amp;"","Mapping error")))</f>
        <v/>
      </c>
    </row>
    <row r="229" ht="39.75" customHeight="1" s="19">
      <c r="A229" s="42" t="inlineStr">
        <is>
          <t>V10.7.3</t>
        </is>
      </c>
      <c r="B229" s="40" t="inlineStr">
        <is>
          <t>V10 - OAuth and OIDC</t>
        </is>
      </c>
      <c r="C229" s="40" t="inlineStr">
        <is>
          <t>V10.7 - Consent Management</t>
        </is>
      </c>
      <c r="D229" s="42" t="n">
        <v>2</v>
      </c>
      <c r="E229" s="40" t="inlineStr">
        <is>
          <t>Verify that the user can review, modify, and revoke consents which the user has granted through the authorization server.</t>
        </is>
      </c>
      <c r="F229" s="40" t="inlineStr">
        <is>
          <t>If uses OAuth/OIDC</t>
        </is>
      </c>
      <c r="G229" s="42" t="inlineStr">
        <is>
          <t>OAUTH_OIDC_USED="Yes"</t>
        </is>
      </c>
      <c r="H229" s="43">
        <f>IF(AND(OAUTH_OIDC_USED="Yes",D229&lt;=TARGET_LEVEL_NUM),"Applicable","N/A")</f>
        <v/>
      </c>
      <c r="I229" s="42" t="inlineStr">
        <is>
          <t>HB-OAUTH-03</t>
        </is>
      </c>
      <c r="J229" s="42" t="n"/>
      <c r="K229" s="43">
        <f>IF($I229="Excluded","Excluded",IF(H229="N/A","N/A",IFERROR(INDEX(BL_COVERAGE,MATCH($I229,BL_IDS,0))&amp;"","Mapping error")))</f>
        <v/>
      </c>
    </row>
    <row r="230" ht="39.75" customHeight="1" s="19">
      <c r="A230" s="42" t="inlineStr">
        <is>
          <t>V11.1.1</t>
        </is>
      </c>
      <c r="B230" s="40" t="inlineStr">
        <is>
          <t>V11 - Cryptography</t>
        </is>
      </c>
      <c r="C230" s="40" t="inlineStr">
        <is>
          <t>V11.1 - Cryptographic Inventory and Documentation</t>
        </is>
      </c>
      <c r="D230" s="42" t="n">
        <v>2</v>
      </c>
      <c r="E230" s="40"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F230" s="40" t="inlineStr">
        <is>
          <t>Always</t>
        </is>
      </c>
      <c r="G230" s="42" t="inlineStr">
        <is>
          <t>TRUE</t>
        </is>
      </c>
      <c r="H230" s="43">
        <f>IF(AND(TRUE(),D230&lt;=TARGET_LEVEL_NUM),"Applicable","N/A")</f>
        <v/>
      </c>
      <c r="I230" s="42" t="inlineStr">
        <is>
          <t>HB-CRYPTO-01</t>
        </is>
      </c>
      <c r="J230" s="42" t="n"/>
      <c r="K230" s="43">
        <f>IF($I230="Excluded","Excluded",IF(H230="N/A","N/A",IFERROR(INDEX(BL_COVERAGE,MATCH($I230,BL_IDS,0))&amp;"","Mapping error")))</f>
        <v/>
      </c>
    </row>
    <row r="231" ht="39.75" customHeight="1" s="19">
      <c r="A231" s="42" t="inlineStr">
        <is>
          <t>V11.1.2</t>
        </is>
      </c>
      <c r="B231" s="40" t="inlineStr">
        <is>
          <t>V11 - Cryptography</t>
        </is>
      </c>
      <c r="C231" s="40" t="inlineStr">
        <is>
          <t>V11.1 - Cryptographic Inventory and Documentation</t>
        </is>
      </c>
      <c r="D231" s="42" t="n">
        <v>2</v>
      </c>
      <c r="E231" s="40"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F231" s="40" t="inlineStr">
        <is>
          <t>Always</t>
        </is>
      </c>
      <c r="G231" s="42" t="inlineStr">
        <is>
          <t>TRUE</t>
        </is>
      </c>
      <c r="H231" s="43">
        <f>IF(AND(TRUE(),D231&lt;=TARGET_LEVEL_NUM),"Applicable","N/A")</f>
        <v/>
      </c>
      <c r="I231" s="42" t="inlineStr">
        <is>
          <t>HB-CRYPTO-01</t>
        </is>
      </c>
      <c r="J231" s="42" t="n"/>
      <c r="K231" s="43">
        <f>IF($I231="Excluded","Excluded",IF(H231="N/A","N/A",IFERROR(INDEX(BL_COVERAGE,MATCH($I231,BL_IDS,0))&amp;"","Mapping error")))</f>
        <v/>
      </c>
    </row>
    <row r="232" ht="39.75" customHeight="1" s="19">
      <c r="A232" s="42" t="inlineStr">
        <is>
          <t>V11.1.3</t>
        </is>
      </c>
      <c r="B232" s="40" t="inlineStr">
        <is>
          <t>V11 - Cryptography</t>
        </is>
      </c>
      <c r="C232" s="40" t="inlineStr">
        <is>
          <t>V11.1 - Cryptographic Inventory and Documentation</t>
        </is>
      </c>
      <c r="D232" s="42" t="n">
        <v>3</v>
      </c>
      <c r="E232" s="40" t="inlineStr">
        <is>
          <t>Verify that cryptographic discovery mechanisms are employed to identify all instances of cryptography in the system, including encryption, hashing, and signing operations.</t>
        </is>
      </c>
      <c r="F232" s="40" t="inlineStr">
        <is>
          <t>Always</t>
        </is>
      </c>
      <c r="G232" s="42" t="inlineStr">
        <is>
          <t>TRUE</t>
        </is>
      </c>
      <c r="H232" s="43">
        <f>IF(AND(TRUE(),D232&lt;=TARGET_LEVEL_NUM),"Applicable","N/A")</f>
        <v/>
      </c>
      <c r="I232" s="42" t="inlineStr">
        <is>
          <t>HB-CRYPTO-01</t>
        </is>
      </c>
      <c r="J232" s="42" t="n"/>
      <c r="K232" s="43">
        <f>IF($I232="Excluded","Excluded",IF(H232="N/A","N/A",IFERROR(INDEX(BL_COVERAGE,MATCH($I232,BL_IDS,0))&amp;"","Mapping error")))</f>
        <v/>
      </c>
    </row>
    <row r="233" ht="39.75" customHeight="1" s="19">
      <c r="A233" s="42" t="inlineStr">
        <is>
          <t>V11.1.4</t>
        </is>
      </c>
      <c r="B233" s="40" t="inlineStr">
        <is>
          <t>V11 - Cryptography</t>
        </is>
      </c>
      <c r="C233" s="40" t="inlineStr">
        <is>
          <t>V11.1 - Cryptographic Inventory and Documentation</t>
        </is>
      </c>
      <c r="D233" s="42" t="n">
        <v>3</v>
      </c>
      <c r="E233" s="40" t="inlineStr">
        <is>
          <t>Verify that a cryptographic inventory is maintained. This must include a documented plan that outlines the migration path to new cryptographic standards, such as post-quantum cryptography, in order to react to future threats.</t>
        </is>
      </c>
      <c r="F233" s="40" t="inlineStr">
        <is>
          <t>Always</t>
        </is>
      </c>
      <c r="G233" s="42" t="inlineStr">
        <is>
          <t>TRUE</t>
        </is>
      </c>
      <c r="H233" s="43">
        <f>IF(AND(TRUE(),D233&lt;=TARGET_LEVEL_NUM),"Applicable","N/A")</f>
        <v/>
      </c>
      <c r="I233" s="42" t="inlineStr">
        <is>
          <t>HB-CRYPTO-01</t>
        </is>
      </c>
      <c r="J233" s="42" t="n"/>
      <c r="K233" s="43">
        <f>IF($I233="Excluded","Excluded",IF(H233="N/A","N/A",IFERROR(INDEX(BL_COVERAGE,MATCH($I233,BL_IDS,0))&amp;"","Mapping error")))</f>
        <v/>
      </c>
    </row>
    <row r="234" ht="39.75" customHeight="1" s="19">
      <c r="A234" s="42" t="inlineStr">
        <is>
          <t>V11.2.1</t>
        </is>
      </c>
      <c r="B234" s="40" t="inlineStr">
        <is>
          <t>V11 - Cryptography</t>
        </is>
      </c>
      <c r="C234" s="40" t="inlineStr">
        <is>
          <t>V11.2 - Secure Cryptography Implementation</t>
        </is>
      </c>
      <c r="D234" s="42" t="n">
        <v>2</v>
      </c>
      <c r="E234" s="40" t="inlineStr">
        <is>
          <t>Verify that industry-validated implementations (including libraries and hardware-accelerated implementations) are used for cryptographic operations.</t>
        </is>
      </c>
      <c r="F234" s="40" t="inlineStr">
        <is>
          <t>Always</t>
        </is>
      </c>
      <c r="G234" s="42" t="inlineStr">
        <is>
          <t>TRUE</t>
        </is>
      </c>
      <c r="H234" s="43">
        <f>IF(AND(TRUE(),D234&lt;=TARGET_LEVEL_NUM),"Applicable","N/A")</f>
        <v/>
      </c>
      <c r="I234" s="42" t="inlineStr">
        <is>
          <t>HB-CRYPTO-02</t>
        </is>
      </c>
      <c r="J234" s="42" t="n"/>
      <c r="K234" s="43">
        <f>IF($I234="Excluded","Excluded",IF(H234="N/A","N/A",IFERROR(INDEX(BL_COVERAGE,MATCH($I234,BL_IDS,0))&amp;"","Mapping error")))</f>
        <v/>
      </c>
    </row>
    <row r="235" ht="39.75" customHeight="1" s="19">
      <c r="A235" s="42" t="inlineStr">
        <is>
          <t>V11.2.2</t>
        </is>
      </c>
      <c r="B235" s="40" t="inlineStr">
        <is>
          <t>V11 - Cryptography</t>
        </is>
      </c>
      <c r="C235" s="40" t="inlineStr">
        <is>
          <t>V11.2 - Secure Cryptography Implementation</t>
        </is>
      </c>
      <c r="D235" s="42" t="n">
        <v>2</v>
      </c>
      <c r="E235" s="40"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F235" s="40" t="inlineStr">
        <is>
          <t>Always</t>
        </is>
      </c>
      <c r="G235" s="42" t="inlineStr">
        <is>
          <t>TRUE</t>
        </is>
      </c>
      <c r="H235" s="43">
        <f>IF(AND(TRUE(),D235&lt;=TARGET_LEVEL_NUM),"Applicable","N/A")</f>
        <v/>
      </c>
      <c r="I235" s="42" t="inlineStr">
        <is>
          <t>HB-CRYPTO-01</t>
        </is>
      </c>
      <c r="J235" s="42" t="n"/>
      <c r="K235" s="43">
        <f>IF($I235="Excluded","Excluded",IF(H235="N/A","N/A",IFERROR(INDEX(BL_COVERAGE,MATCH($I235,BL_IDS,0))&amp;"","Mapping error")))</f>
        <v/>
      </c>
    </row>
    <row r="236" ht="39.75" customHeight="1" s="19">
      <c r="A236" s="42" t="inlineStr">
        <is>
          <t>V11.2.3</t>
        </is>
      </c>
      <c r="B236" s="40" t="inlineStr">
        <is>
          <t>V11 - Cryptography</t>
        </is>
      </c>
      <c r="C236" s="40" t="inlineStr">
        <is>
          <t>V11.2 - Secure Cryptography Implementation</t>
        </is>
      </c>
      <c r="D236" s="42" t="n">
        <v>2</v>
      </c>
      <c r="E236" s="40"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F236" s="40" t="inlineStr">
        <is>
          <t>Always</t>
        </is>
      </c>
      <c r="G236" s="42" t="inlineStr">
        <is>
          <t>TRUE</t>
        </is>
      </c>
      <c r="H236" s="43">
        <f>IF(AND(TRUE(),D236&lt;=TARGET_LEVEL_NUM),"Applicable","N/A")</f>
        <v/>
      </c>
      <c r="I236" s="42" t="inlineStr">
        <is>
          <t>HB-CRYPTO-02</t>
        </is>
      </c>
      <c r="J236" s="42" t="n"/>
      <c r="K236" s="43">
        <f>IF($I236="Excluded","Excluded",IF(H236="N/A","N/A",IFERROR(INDEX(BL_COVERAGE,MATCH($I236,BL_IDS,0))&amp;"","Mapping error")))</f>
        <v/>
      </c>
    </row>
    <row r="237" ht="39.75" customHeight="1" s="19">
      <c r="A237" s="42" t="inlineStr">
        <is>
          <t>V11.2.4</t>
        </is>
      </c>
      <c r="B237" s="40" t="inlineStr">
        <is>
          <t>V11 - Cryptography</t>
        </is>
      </c>
      <c r="C237" s="40" t="inlineStr">
        <is>
          <t>V11.2 - Secure Cryptography Implementation</t>
        </is>
      </c>
      <c r="D237" s="42" t="n">
        <v>3</v>
      </c>
      <c r="E237" s="40" t="inlineStr">
        <is>
          <t>Verify that all cryptographic operations are constant-time, with no 'short-circuit' operations in comparisons, calculations, or returns, to avoid leaking information.</t>
        </is>
      </c>
      <c r="F237" s="40" t="inlineStr">
        <is>
          <t>Always</t>
        </is>
      </c>
      <c r="G237" s="42" t="inlineStr">
        <is>
          <t>TRUE</t>
        </is>
      </c>
      <c r="H237" s="43">
        <f>IF(AND(TRUE(),D237&lt;=TARGET_LEVEL_NUM),"Applicable","N/A")</f>
        <v/>
      </c>
      <c r="I237" s="42" t="inlineStr">
        <is>
          <t>HB-CRYPTO-02</t>
        </is>
      </c>
      <c r="J237" s="42" t="n"/>
      <c r="K237" s="43">
        <f>IF($I237="Excluded","Excluded",IF(H237="N/A","N/A",IFERROR(INDEX(BL_COVERAGE,MATCH($I237,BL_IDS,0))&amp;"","Mapping error")))</f>
        <v/>
      </c>
    </row>
    <row r="238" ht="39.75" customHeight="1" s="19">
      <c r="A238" s="42" t="inlineStr">
        <is>
          <t>V11.2.5</t>
        </is>
      </c>
      <c r="B238" s="40" t="inlineStr">
        <is>
          <t>V11 - Cryptography</t>
        </is>
      </c>
      <c r="C238" s="40" t="inlineStr">
        <is>
          <t>V11.2 - Secure Cryptography Implementation</t>
        </is>
      </c>
      <c r="D238" s="42" t="n">
        <v>3</v>
      </c>
      <c r="E238" s="40" t="inlineStr">
        <is>
          <t>Verify that all cryptographic modules fail securely, and errors are handled in a way that does not enable vulnerabilities, such as Padding Oracle attacks.</t>
        </is>
      </c>
      <c r="F238" s="40" t="inlineStr">
        <is>
          <t>Always</t>
        </is>
      </c>
      <c r="G238" s="42" t="inlineStr">
        <is>
          <t>TRUE</t>
        </is>
      </c>
      <c r="H238" s="43">
        <f>IF(AND(TRUE(),D238&lt;=TARGET_LEVEL_NUM),"Applicable","N/A")</f>
        <v/>
      </c>
      <c r="I238" s="42" t="inlineStr">
        <is>
          <t>HB-CRYPTO-02</t>
        </is>
      </c>
      <c r="J238" s="42" t="n"/>
      <c r="K238" s="43">
        <f>IF($I238="Excluded","Excluded",IF(H238="N/A","N/A",IFERROR(INDEX(BL_COVERAGE,MATCH($I238,BL_IDS,0))&amp;"","Mapping error")))</f>
        <v/>
      </c>
    </row>
    <row r="239" ht="39.75" customHeight="1" s="19">
      <c r="A239" s="42" t="inlineStr">
        <is>
          <t>V11.3.1</t>
        </is>
      </c>
      <c r="B239" s="40" t="inlineStr">
        <is>
          <t>V11 - Cryptography</t>
        </is>
      </c>
      <c r="C239" s="40" t="inlineStr">
        <is>
          <t>V11.3 - Encryption Algorithms</t>
        </is>
      </c>
      <c r="D239" s="42" t="n">
        <v>1</v>
      </c>
      <c r="E239" s="40" t="inlineStr">
        <is>
          <t>Verify that insecure block modes (e.g., ECB) and weak padding schemes (e.g., PKCS#1 v1.5) are not used.</t>
        </is>
      </c>
      <c r="F239" s="40" t="inlineStr">
        <is>
          <t>Always</t>
        </is>
      </c>
      <c r="G239" s="42" t="inlineStr">
        <is>
          <t>TRUE</t>
        </is>
      </c>
      <c r="H239" s="43">
        <f>IF(AND(TRUE(),D239&lt;=TARGET_LEVEL_NUM),"Applicable","N/A")</f>
        <v/>
      </c>
      <c r="I239" s="42" t="inlineStr">
        <is>
          <t>HB-CRYPTO-02</t>
        </is>
      </c>
      <c r="J239" s="42" t="n"/>
      <c r="K239" s="43">
        <f>IF($I239="Excluded","Excluded",IF(H239="N/A","N/A",IFERROR(INDEX(BL_COVERAGE,MATCH($I239,BL_IDS,0))&amp;"","Mapping error")))</f>
        <v/>
      </c>
    </row>
    <row r="240" ht="39.75" customHeight="1" s="19">
      <c r="A240" s="42" t="inlineStr">
        <is>
          <t>V11.3.2</t>
        </is>
      </c>
      <c r="B240" s="40" t="inlineStr">
        <is>
          <t>V11 - Cryptography</t>
        </is>
      </c>
      <c r="C240" s="40" t="inlineStr">
        <is>
          <t>V11.3 - Encryption Algorithms</t>
        </is>
      </c>
      <c r="D240" s="42" t="n">
        <v>1</v>
      </c>
      <c r="E240" s="40" t="inlineStr">
        <is>
          <t>Verify that only approved ciphers and modes such as AES with GCM are used.</t>
        </is>
      </c>
      <c r="F240" s="40" t="inlineStr">
        <is>
          <t>Always</t>
        </is>
      </c>
      <c r="G240" s="42" t="inlineStr">
        <is>
          <t>TRUE</t>
        </is>
      </c>
      <c r="H240" s="43">
        <f>IF(AND(TRUE(),D240&lt;=TARGET_LEVEL_NUM),"Applicable","N/A")</f>
        <v/>
      </c>
      <c r="I240" s="42" t="inlineStr">
        <is>
          <t>HB-CRYPTO-02</t>
        </is>
      </c>
      <c r="J240" s="42" t="n"/>
      <c r="K240" s="43">
        <f>IF($I240="Excluded","Excluded",IF(H240="N/A","N/A",IFERROR(INDEX(BL_COVERAGE,MATCH($I240,BL_IDS,0))&amp;"","Mapping error")))</f>
        <v/>
      </c>
    </row>
    <row r="241" ht="39.75" customHeight="1" s="19">
      <c r="A241" s="42" t="inlineStr">
        <is>
          <t>V11.3.3</t>
        </is>
      </c>
      <c r="B241" s="40" t="inlineStr">
        <is>
          <t>V11 - Cryptography</t>
        </is>
      </c>
      <c r="C241" s="40" t="inlineStr">
        <is>
          <t>V11.3 - Encryption Algorithms</t>
        </is>
      </c>
      <c r="D241" s="42" t="n">
        <v>2</v>
      </c>
      <c r="E241" s="40" t="inlineStr">
        <is>
          <t>Verify that encrypted data is protected against unauthorized modification preferably by using an approved authenticated encryption method or by combining an approved encryption method with an approved MAC algorithm.</t>
        </is>
      </c>
      <c r="F241" s="40" t="inlineStr">
        <is>
          <t>Always</t>
        </is>
      </c>
      <c r="G241" s="42" t="inlineStr">
        <is>
          <t>TRUE</t>
        </is>
      </c>
      <c r="H241" s="43">
        <f>IF(AND(TRUE(),D241&lt;=TARGET_LEVEL_NUM),"Applicable","N/A")</f>
        <v/>
      </c>
      <c r="I241" s="42" t="inlineStr">
        <is>
          <t>HB-CRYPTO-02</t>
        </is>
      </c>
      <c r="J241" s="42" t="n"/>
      <c r="K241" s="43">
        <f>IF($I241="Excluded","Excluded",IF(H241="N/A","N/A",IFERROR(INDEX(BL_COVERAGE,MATCH($I241,BL_IDS,0))&amp;"","Mapping error")))</f>
        <v/>
      </c>
    </row>
    <row r="242" ht="39.75" customHeight="1" s="19">
      <c r="A242" s="42" t="inlineStr">
        <is>
          <t>V11.3.4</t>
        </is>
      </c>
      <c r="B242" s="40" t="inlineStr">
        <is>
          <t>V11 - Cryptography</t>
        </is>
      </c>
      <c r="C242" s="40" t="inlineStr">
        <is>
          <t>V11.3 - Encryption Algorithms</t>
        </is>
      </c>
      <c r="D242" s="42" t="n">
        <v>3</v>
      </c>
      <c r="E242" s="40" t="inlineStr">
        <is>
          <t>Verify that nonces, initialization vectors, and other single-use numbers are not used for more than one encryption key and data-element pair. The method of generation must be appropriate for the algorithm being used.</t>
        </is>
      </c>
      <c r="F242" s="40" t="inlineStr">
        <is>
          <t>Always</t>
        </is>
      </c>
      <c r="G242" s="42" t="inlineStr">
        <is>
          <t>TRUE</t>
        </is>
      </c>
      <c r="H242" s="43">
        <f>IF(AND(TRUE(),D242&lt;=TARGET_LEVEL_NUM),"Applicable","N/A")</f>
        <v/>
      </c>
      <c r="I242" s="42" t="inlineStr">
        <is>
          <t>HB-CRYPTO-02</t>
        </is>
      </c>
      <c r="J242" s="42" t="n"/>
      <c r="K242" s="43">
        <f>IF($I242="Excluded","Excluded",IF(H242="N/A","N/A",IFERROR(INDEX(BL_COVERAGE,MATCH($I242,BL_IDS,0))&amp;"","Mapping error")))</f>
        <v/>
      </c>
    </row>
    <row r="243" ht="39.75" customHeight="1" s="19">
      <c r="A243" s="42" t="inlineStr">
        <is>
          <t>V11.3.5</t>
        </is>
      </c>
      <c r="B243" s="40" t="inlineStr">
        <is>
          <t>V11 - Cryptography</t>
        </is>
      </c>
      <c r="C243" s="40" t="inlineStr">
        <is>
          <t>V11.3 - Encryption Algorithms</t>
        </is>
      </c>
      <c r="D243" s="42" t="n">
        <v>3</v>
      </c>
      <c r="E243" s="40" t="inlineStr">
        <is>
          <t>Verify that any combination of an encryption algorithm and a MAC algorithm is operating in encrypt-then-MAC mode.</t>
        </is>
      </c>
      <c r="F243" s="40" t="inlineStr">
        <is>
          <t>Always</t>
        </is>
      </c>
      <c r="G243" s="42" t="inlineStr">
        <is>
          <t>TRUE</t>
        </is>
      </c>
      <c r="H243" s="43">
        <f>IF(AND(TRUE(),D243&lt;=TARGET_LEVEL_NUM),"Applicable","N/A")</f>
        <v/>
      </c>
      <c r="I243" s="42" t="inlineStr">
        <is>
          <t>HB-CRYPTO-02</t>
        </is>
      </c>
      <c r="J243" s="42" t="n"/>
      <c r="K243" s="43">
        <f>IF($I243="Excluded","Excluded",IF(H243="N/A","N/A",IFERROR(INDEX(BL_COVERAGE,MATCH($I243,BL_IDS,0))&amp;"","Mapping error")))</f>
        <v/>
      </c>
    </row>
    <row r="244" ht="39.75" customHeight="1" s="19">
      <c r="A244" s="42" t="inlineStr">
        <is>
          <t>V11.4.1</t>
        </is>
      </c>
      <c r="B244" s="40" t="inlineStr">
        <is>
          <t>V11 - Cryptography</t>
        </is>
      </c>
      <c r="C244" s="40" t="inlineStr">
        <is>
          <t>V11.4 - Hashing and Hash-based Functions</t>
        </is>
      </c>
      <c r="D244" s="42" t="n">
        <v>1</v>
      </c>
      <c r="E244" s="40" t="inlineStr">
        <is>
          <t>Verify that only approved hash functions are used for general cryptographic use cases, including digital signatures, HMAC, KDF, and random bit generation. Disallowed hash functions, such as MD5, must not be used for any cryptographic purpose.</t>
        </is>
      </c>
      <c r="F244" s="40" t="inlineStr">
        <is>
          <t>Always</t>
        </is>
      </c>
      <c r="G244" s="42" t="inlineStr">
        <is>
          <t>TRUE</t>
        </is>
      </c>
      <c r="H244" s="43">
        <f>IF(AND(TRUE(),D244&lt;=TARGET_LEVEL_NUM),"Applicable","N/A")</f>
        <v/>
      </c>
      <c r="I244" s="42" t="inlineStr">
        <is>
          <t>HB-CRYPTO-02</t>
        </is>
      </c>
      <c r="J244" s="42" t="n"/>
      <c r="K244" s="43">
        <f>IF($I244="Excluded","Excluded",IF(H244="N/A","N/A",IFERROR(INDEX(BL_COVERAGE,MATCH($I244,BL_IDS,0))&amp;"","Mapping error")))</f>
        <v/>
      </c>
    </row>
    <row r="245" ht="39.75" customHeight="1" s="19">
      <c r="A245" s="42" t="inlineStr">
        <is>
          <t>V11.4.2</t>
        </is>
      </c>
      <c r="B245" s="40" t="inlineStr">
        <is>
          <t>V11 - Cryptography</t>
        </is>
      </c>
      <c r="C245" s="40" t="inlineStr">
        <is>
          <t>V11.4 - Hashing and Hash-based Functions</t>
        </is>
      </c>
      <c r="D245" s="42" t="n">
        <v>2</v>
      </c>
      <c r="E245" s="40"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F245" s="40" t="inlineStr">
        <is>
          <t>Always</t>
        </is>
      </c>
      <c r="G245" s="42" t="inlineStr">
        <is>
          <t>TRUE</t>
        </is>
      </c>
      <c r="H245" s="43">
        <f>IF(AND(TRUE(),D245&lt;=TARGET_LEVEL_NUM),"Applicable","N/A")</f>
        <v/>
      </c>
      <c r="I245" s="42" t="inlineStr">
        <is>
          <t>HB-AUTH-08</t>
        </is>
      </c>
      <c r="J245" s="42" t="n"/>
      <c r="K245" s="43">
        <f>IF($I245="Excluded","Excluded",IF(H245="N/A","N/A",IFERROR(INDEX(BL_COVERAGE,MATCH($I245,BL_IDS,0))&amp;"","Mapping error")))</f>
        <v/>
      </c>
    </row>
    <row r="246" ht="39.75" customHeight="1" s="19">
      <c r="A246" s="42" t="inlineStr">
        <is>
          <t>V11.4.3</t>
        </is>
      </c>
      <c r="B246" s="40" t="inlineStr">
        <is>
          <t>V11 - Cryptography</t>
        </is>
      </c>
      <c r="C246" s="40" t="inlineStr">
        <is>
          <t>V11.4 - Hashing and Hash-based Functions</t>
        </is>
      </c>
      <c r="D246" s="42" t="n">
        <v>2</v>
      </c>
      <c r="E246" s="40"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F246" s="40" t="inlineStr">
        <is>
          <t>Always</t>
        </is>
      </c>
      <c r="G246" s="42" t="inlineStr">
        <is>
          <t>TRUE</t>
        </is>
      </c>
      <c r="H246" s="43">
        <f>IF(AND(TRUE(),D246&lt;=TARGET_LEVEL_NUM),"Applicable","N/A")</f>
        <v/>
      </c>
      <c r="I246" s="42" t="inlineStr">
        <is>
          <t>HB-CRYPTO-02</t>
        </is>
      </c>
      <c r="J246" s="42" t="n"/>
      <c r="K246" s="43">
        <f>IF($I246="Excluded","Excluded",IF(H246="N/A","N/A",IFERROR(INDEX(BL_COVERAGE,MATCH($I246,BL_IDS,0))&amp;"","Mapping error")))</f>
        <v/>
      </c>
    </row>
    <row r="247" ht="39.75" customHeight="1" s="19">
      <c r="A247" s="42" t="inlineStr">
        <is>
          <t>V11.4.4</t>
        </is>
      </c>
      <c r="B247" s="40" t="inlineStr">
        <is>
          <t>V11 - Cryptography</t>
        </is>
      </c>
      <c r="C247" s="40" t="inlineStr">
        <is>
          <t>V11.4 - Hashing and Hash-based Functions</t>
        </is>
      </c>
      <c r="D247" s="42" t="n">
        <v>2</v>
      </c>
      <c r="E247" s="40"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F247" s="40" t="inlineStr">
        <is>
          <t>Always</t>
        </is>
      </c>
      <c r="G247" s="42" t="inlineStr">
        <is>
          <t>TRUE</t>
        </is>
      </c>
      <c r="H247" s="43">
        <f>IF(AND(TRUE(),D247&lt;=TARGET_LEVEL_NUM),"Applicable","N/A")</f>
        <v/>
      </c>
      <c r="I247" s="42" t="inlineStr">
        <is>
          <t>HB-AUTH-08</t>
        </is>
      </c>
      <c r="J247" s="42" t="n"/>
      <c r="K247" s="43">
        <f>IF($I247="Excluded","Excluded",IF(H247="N/A","N/A",IFERROR(INDEX(BL_COVERAGE,MATCH($I247,BL_IDS,0))&amp;"","Mapping error")))</f>
        <v/>
      </c>
    </row>
    <row r="248" ht="39.75" customHeight="1" s="19">
      <c r="A248" s="42" t="inlineStr">
        <is>
          <t>V11.5.1</t>
        </is>
      </c>
      <c r="B248" s="40" t="inlineStr">
        <is>
          <t>V11 - Cryptography</t>
        </is>
      </c>
      <c r="C248" s="40" t="inlineStr">
        <is>
          <t>V11.5 - Random Values</t>
        </is>
      </c>
      <c r="D248" s="42" t="n">
        <v>2</v>
      </c>
      <c r="E248" s="40" t="inlineStr">
        <is>
          <t>Verify that all random numbers and strings which are intended to be non-guessable must be generated using a cryptographically secure pseudo-random number generator (CSPRNG) and have at least 128 bits of entropy. Note that UUIDs do not respect this condition.</t>
        </is>
      </c>
      <c r="F248" s="40" t="inlineStr">
        <is>
          <t>Always</t>
        </is>
      </c>
      <c r="G248" s="42" t="inlineStr">
        <is>
          <t>TRUE</t>
        </is>
      </c>
      <c r="H248" s="43">
        <f>IF(AND(TRUE(),D248&lt;=TARGET_LEVEL_NUM),"Applicable","N/A")</f>
        <v/>
      </c>
      <c r="I248" s="42" t="inlineStr">
        <is>
          <t>HB-CRYPTO-02</t>
        </is>
      </c>
      <c r="J248" s="42" t="n"/>
      <c r="K248" s="43">
        <f>IF($I248="Excluded","Excluded",IF(H248="N/A","N/A",IFERROR(INDEX(BL_COVERAGE,MATCH($I248,BL_IDS,0))&amp;"","Mapping error")))</f>
        <v/>
      </c>
    </row>
    <row r="249" ht="39.75" customHeight="1" s="19">
      <c r="A249" s="42" t="inlineStr">
        <is>
          <t>V11.5.2</t>
        </is>
      </c>
      <c r="B249" s="40" t="inlineStr">
        <is>
          <t>V11 - Cryptography</t>
        </is>
      </c>
      <c r="C249" s="40" t="inlineStr">
        <is>
          <t>V11.5 - Random Values</t>
        </is>
      </c>
      <c r="D249" s="42" t="n">
        <v>3</v>
      </c>
      <c r="E249" s="40" t="inlineStr">
        <is>
          <t>Verify that the random number generation mechanism in use is designed to work securely, even under heavy demand.</t>
        </is>
      </c>
      <c r="F249" s="40" t="inlineStr">
        <is>
          <t>Always</t>
        </is>
      </c>
      <c r="G249" s="42" t="inlineStr">
        <is>
          <t>TRUE</t>
        </is>
      </c>
      <c r="H249" s="43">
        <f>IF(AND(TRUE(),D249&lt;=TARGET_LEVEL_NUM),"Applicable","N/A")</f>
        <v/>
      </c>
      <c r="I249" s="42" t="inlineStr">
        <is>
          <t>HB-CRYPTO-02</t>
        </is>
      </c>
      <c r="J249" s="42" t="n"/>
      <c r="K249" s="43">
        <f>IF($I249="Excluded","Excluded",IF(H249="N/A","N/A",IFERROR(INDEX(BL_COVERAGE,MATCH($I249,BL_IDS,0))&amp;"","Mapping error")))</f>
        <v/>
      </c>
    </row>
    <row r="250" ht="39.75" customHeight="1" s="19">
      <c r="A250" s="42" t="inlineStr">
        <is>
          <t>V11.6.1</t>
        </is>
      </c>
      <c r="B250" s="40" t="inlineStr">
        <is>
          <t>V11 - Cryptography</t>
        </is>
      </c>
      <c r="C250" s="40" t="inlineStr">
        <is>
          <t>V11.6 - Public Key Cryptography</t>
        </is>
      </c>
      <c r="D250" s="42" t="n">
        <v>2</v>
      </c>
      <c r="E250" s="40"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F250" s="40" t="inlineStr">
        <is>
          <t>Always</t>
        </is>
      </c>
      <c r="G250" s="42" t="inlineStr">
        <is>
          <t>TRUE</t>
        </is>
      </c>
      <c r="H250" s="43">
        <f>IF(AND(TRUE(),D250&lt;=TARGET_LEVEL_NUM),"Applicable","N/A")</f>
        <v/>
      </c>
      <c r="I250" s="42" t="inlineStr">
        <is>
          <t>HB-CRYPTO-02</t>
        </is>
      </c>
      <c r="J250" s="42" t="n"/>
      <c r="K250" s="43">
        <f>IF($I250="Excluded","Excluded",IF(H250="N/A","N/A",IFERROR(INDEX(BL_COVERAGE,MATCH($I250,BL_IDS,0))&amp;"","Mapping error")))</f>
        <v/>
      </c>
    </row>
    <row r="251" ht="39.75" customHeight="1" s="19">
      <c r="A251" s="42" t="inlineStr">
        <is>
          <t>V11.6.2</t>
        </is>
      </c>
      <c r="B251" s="40" t="inlineStr">
        <is>
          <t>V11 - Cryptography</t>
        </is>
      </c>
      <c r="C251" s="40" t="inlineStr">
        <is>
          <t>V11.6 - Public Key Cryptography</t>
        </is>
      </c>
      <c r="D251" s="42" t="n">
        <v>3</v>
      </c>
      <c r="E251" s="40"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F251" s="40" t="inlineStr">
        <is>
          <t>Always</t>
        </is>
      </c>
      <c r="G251" s="42" t="inlineStr">
        <is>
          <t>TRUE</t>
        </is>
      </c>
      <c r="H251" s="43">
        <f>IF(AND(TRUE(),D251&lt;=TARGET_LEVEL_NUM),"Applicable","N/A")</f>
        <v/>
      </c>
      <c r="I251" s="42" t="inlineStr">
        <is>
          <t>HB-CRYPTO-02</t>
        </is>
      </c>
      <c r="J251" s="42" t="n"/>
      <c r="K251" s="43">
        <f>IF($I251="Excluded","Excluded",IF(H251="N/A","N/A",IFERROR(INDEX(BL_COVERAGE,MATCH($I251,BL_IDS,0))&amp;"","Mapping error")))</f>
        <v/>
      </c>
    </row>
    <row r="252" ht="39.75" customHeight="1" s="19">
      <c r="A252" s="42" t="inlineStr">
        <is>
          <t>V11.7.1</t>
        </is>
      </c>
      <c r="B252" s="40" t="inlineStr">
        <is>
          <t>V11 - Cryptography</t>
        </is>
      </c>
      <c r="C252" s="40" t="inlineStr">
        <is>
          <t>V11.7 - In-Use Data Cryptography</t>
        </is>
      </c>
      <c r="D252" s="42" t="n">
        <v>3</v>
      </c>
      <c r="E252" s="40" t="inlineStr">
        <is>
          <t>Verify that full memory encryption is in use that protects sensitive data while it is in use, preventing access by unauthorized users or processes.</t>
        </is>
      </c>
      <c r="F252" s="40" t="inlineStr">
        <is>
          <t>Always</t>
        </is>
      </c>
      <c r="G252" s="42" t="inlineStr">
        <is>
          <t>TRUE</t>
        </is>
      </c>
      <c r="H252" s="43">
        <f>IF(AND(TRUE(),D252&lt;=TARGET_LEVEL_NUM),"Applicable","N/A")</f>
        <v/>
      </c>
      <c r="I252" s="42" t="inlineStr">
        <is>
          <t>Excluded</t>
        </is>
      </c>
      <c r="J252" s="42" t="inlineStr">
        <is>
          <t>Full memory encryption (confidential computing) is a platform capability, not an application control. Bring it to the Security review when the application requires it.</t>
        </is>
      </c>
      <c r="K252" s="43">
        <f>IF($I252="Excluded","Excluded",IF(H252="N/A","N/A",IFERROR(INDEX(BL_COVERAGE,MATCH($I252,BL_IDS,0))&amp;"","Mapping error")))</f>
        <v/>
      </c>
    </row>
    <row r="253" ht="39.75" customHeight="1" s="19">
      <c r="A253" s="42" t="inlineStr">
        <is>
          <t>V11.7.2</t>
        </is>
      </c>
      <c r="B253" s="40" t="inlineStr">
        <is>
          <t>V11 - Cryptography</t>
        </is>
      </c>
      <c r="C253" s="40" t="inlineStr">
        <is>
          <t>V11.7 - In-Use Data Cryptography</t>
        </is>
      </c>
      <c r="D253" s="42" t="n">
        <v>3</v>
      </c>
      <c r="E253" s="40" t="inlineStr">
        <is>
          <t>Verify that data minimization ensures the minimal amount of data is exposed during processing, and ensure that data is encrypted immediately after use or as soon as feasible.</t>
        </is>
      </c>
      <c r="F253" s="40" t="inlineStr">
        <is>
          <t>Always</t>
        </is>
      </c>
      <c r="G253" s="42" t="inlineStr">
        <is>
          <t>TRUE</t>
        </is>
      </c>
      <c r="H253" s="43">
        <f>IF(AND(TRUE(),D253&lt;=TARGET_LEVEL_NUM),"Applicable","N/A")</f>
        <v/>
      </c>
      <c r="I253" s="42" t="inlineStr">
        <is>
          <t>HB-DATA-02</t>
        </is>
      </c>
      <c r="J253" s="42" t="n"/>
      <c r="K253" s="43">
        <f>IF($I253="Excluded","Excluded",IF(H253="N/A","N/A",IFERROR(INDEX(BL_COVERAGE,MATCH($I253,BL_IDS,0))&amp;"","Mapping error")))</f>
        <v/>
      </c>
    </row>
    <row r="254" ht="39.75" customHeight="1" s="19">
      <c r="A254" s="42" t="inlineStr">
        <is>
          <t>V12.1.1</t>
        </is>
      </c>
      <c r="B254" s="40" t="inlineStr">
        <is>
          <t>V12 - Secure Communication</t>
        </is>
      </c>
      <c r="C254" s="40" t="inlineStr">
        <is>
          <t>V12.1 - General TLS Security Guidance</t>
        </is>
      </c>
      <c r="D254" s="42" t="n">
        <v>1</v>
      </c>
      <c r="E254" s="40" t="inlineStr">
        <is>
          <t>Verify that only the latest recommended versions of the TLS protocol are enabled, such as TLS 1.2 and TLS 1.3. The latest version of the TLS protocol must be the preferred option.</t>
        </is>
      </c>
      <c r="F254" s="40" t="inlineStr">
        <is>
          <t>Always</t>
        </is>
      </c>
      <c r="G254" s="42" t="inlineStr">
        <is>
          <t>TRUE</t>
        </is>
      </c>
      <c r="H254" s="43">
        <f>IF(AND(TRUE(),D254&lt;=TARGET_LEVEL_NUM),"Applicable","N/A")</f>
        <v/>
      </c>
      <c r="I254" s="42" t="inlineStr">
        <is>
          <t>HB-TLS-01</t>
        </is>
      </c>
      <c r="J254" s="42" t="n"/>
      <c r="K254" s="43">
        <f>IF($I254="Excluded","Excluded",IF(H254="N/A","N/A",IFERROR(INDEX(BL_COVERAGE,MATCH($I254,BL_IDS,0))&amp;"","Mapping error")))</f>
        <v/>
      </c>
    </row>
    <row r="255" ht="39.75" customHeight="1" s="19">
      <c r="A255" s="42" t="inlineStr">
        <is>
          <t>V12.1.2</t>
        </is>
      </c>
      <c r="B255" s="40" t="inlineStr">
        <is>
          <t>V12 - Secure Communication</t>
        </is>
      </c>
      <c r="C255" s="40" t="inlineStr">
        <is>
          <t>V12.1 - General TLS Security Guidance</t>
        </is>
      </c>
      <c r="D255" s="42" t="n">
        <v>2</v>
      </c>
      <c r="E255" s="40" t="inlineStr">
        <is>
          <t>Verify that only recommended cipher suites are enabled, with the strongest cipher suites set as preferred. L3 applications must only support cipher suites which provide forward secrecy.</t>
        </is>
      </c>
      <c r="F255" s="40" t="inlineStr">
        <is>
          <t>Always</t>
        </is>
      </c>
      <c r="G255" s="42" t="inlineStr">
        <is>
          <t>TRUE</t>
        </is>
      </c>
      <c r="H255" s="43">
        <f>IF(AND(TRUE(),D255&lt;=TARGET_LEVEL_NUM),"Applicable","N/A")</f>
        <v/>
      </c>
      <c r="I255" s="42" t="inlineStr">
        <is>
          <t>HB-TLS-01</t>
        </is>
      </c>
      <c r="J255" s="42" t="n"/>
      <c r="K255" s="43">
        <f>IF($I255="Excluded","Excluded",IF(H255="N/A","N/A",IFERROR(INDEX(BL_COVERAGE,MATCH($I255,BL_IDS,0))&amp;"","Mapping error")))</f>
        <v/>
      </c>
    </row>
    <row r="256" ht="39.75" customHeight="1" s="19">
      <c r="A256" s="42" t="inlineStr">
        <is>
          <t>V12.1.3</t>
        </is>
      </c>
      <c r="B256" s="40" t="inlineStr">
        <is>
          <t>V12 - Secure Communication</t>
        </is>
      </c>
      <c r="C256" s="40" t="inlineStr">
        <is>
          <t>V12.1 - General TLS Security Guidance</t>
        </is>
      </c>
      <c r="D256" s="42" t="n">
        <v>2</v>
      </c>
      <c r="E256" s="40" t="inlineStr">
        <is>
          <t>Verify that the application validates that mTLS client certificates are trusted before using the certificate identity for authentication or authorization.</t>
        </is>
      </c>
      <c r="F256" s="40" t="inlineStr">
        <is>
          <t>Always</t>
        </is>
      </c>
      <c r="G256" s="42" t="inlineStr">
        <is>
          <t>TRUE</t>
        </is>
      </c>
      <c r="H256" s="43">
        <f>IF(AND(TRUE(),D256&lt;=TARGET_LEVEL_NUM),"Applicable","N/A")</f>
        <v/>
      </c>
      <c r="I256" s="42" t="inlineStr">
        <is>
          <t>HB-TLS-02</t>
        </is>
      </c>
      <c r="J256" s="42" t="n"/>
      <c r="K256" s="43">
        <f>IF($I256="Excluded","Excluded",IF(H256="N/A","N/A",IFERROR(INDEX(BL_COVERAGE,MATCH($I256,BL_IDS,0))&amp;"","Mapping error")))</f>
        <v/>
      </c>
    </row>
    <row r="257" ht="39.75" customHeight="1" s="19">
      <c r="A257" s="42" t="inlineStr">
        <is>
          <t>V12.1.4</t>
        </is>
      </c>
      <c r="B257" s="40" t="inlineStr">
        <is>
          <t>V12 - Secure Communication</t>
        </is>
      </c>
      <c r="C257" s="40" t="inlineStr">
        <is>
          <t>V12.1 - General TLS Security Guidance</t>
        </is>
      </c>
      <c r="D257" s="42" t="n">
        <v>3</v>
      </c>
      <c r="E257" s="40" t="inlineStr">
        <is>
          <t>Verify that proper certification revocation, such as Online Certificate Status Protocol (OCSP) Stapling, is enabled and configured.</t>
        </is>
      </c>
      <c r="F257" s="40" t="inlineStr">
        <is>
          <t>Always</t>
        </is>
      </c>
      <c r="G257" s="42" t="inlineStr">
        <is>
          <t>TRUE</t>
        </is>
      </c>
      <c r="H257" s="43">
        <f>IF(AND(TRUE(),D257&lt;=TARGET_LEVEL_NUM),"Applicable","N/A")</f>
        <v/>
      </c>
      <c r="I257" s="42" t="inlineStr">
        <is>
          <t>HB-TLS-01</t>
        </is>
      </c>
      <c r="J257" s="42" t="n"/>
      <c r="K257" s="43">
        <f>IF($I257="Excluded","Excluded",IF(H257="N/A","N/A",IFERROR(INDEX(BL_COVERAGE,MATCH($I257,BL_IDS,0))&amp;"","Mapping error")))</f>
        <v/>
      </c>
    </row>
    <row r="258" ht="39.75" customHeight="1" s="19">
      <c r="A258" s="42" t="inlineStr">
        <is>
          <t>V12.1.5</t>
        </is>
      </c>
      <c r="B258" s="40" t="inlineStr">
        <is>
          <t>V12 - Secure Communication</t>
        </is>
      </c>
      <c r="C258" s="40" t="inlineStr">
        <is>
          <t>V12.1 - General TLS Security Guidance</t>
        </is>
      </c>
      <c r="D258" s="42" t="n">
        <v>3</v>
      </c>
      <c r="E258" s="40" t="inlineStr">
        <is>
          <t>Verify that Encrypted Client Hello (ECH) is enabled in the application's TLS settings to prevent exposure of sensitive metadata, such as the Server Name Indication (SNI), during TLS handshake processes.</t>
        </is>
      </c>
      <c r="F258" s="40" t="inlineStr">
        <is>
          <t>Always</t>
        </is>
      </c>
      <c r="G258" s="42" t="inlineStr">
        <is>
          <t>TRUE</t>
        </is>
      </c>
      <c r="H258" s="43">
        <f>IF(AND(TRUE(),D258&lt;=TARGET_LEVEL_NUM),"Applicable","N/A")</f>
        <v/>
      </c>
      <c r="I258" s="42" t="inlineStr">
        <is>
          <t>Excluded</t>
        </is>
      </c>
      <c r="J258" s="42" t="inlineStr">
        <is>
          <t>Encrypted Client Hello still lacks broad server/CDN support; not mandatory in this baseline. Reconsider at the next ASVS refresh.</t>
        </is>
      </c>
      <c r="K258" s="43">
        <f>IF($I258="Excluded","Excluded",IF(H258="N/A","N/A",IFERROR(INDEX(BL_COVERAGE,MATCH($I258,BL_IDS,0))&amp;"","Mapping error")))</f>
        <v/>
      </c>
    </row>
    <row r="259" ht="39.75" customHeight="1" s="19">
      <c r="A259" s="42" t="inlineStr">
        <is>
          <t>V12.2.1</t>
        </is>
      </c>
      <c r="B259" s="40" t="inlineStr">
        <is>
          <t>V12 - Secure Communication</t>
        </is>
      </c>
      <c r="C259" s="40" t="inlineStr">
        <is>
          <t>V12.2 - HTTPS Communication with External Facing Services</t>
        </is>
      </c>
      <c r="D259" s="42" t="n">
        <v>1</v>
      </c>
      <c r="E259" s="40" t="inlineStr">
        <is>
          <t>Verify that TLS is used for all connectivity between a client and external facing, HTTP-based services, and does not fall back to insecure or unencrypted communications.</t>
        </is>
      </c>
      <c r="F259" s="40" t="inlineStr">
        <is>
          <t>Always</t>
        </is>
      </c>
      <c r="G259" s="42" t="inlineStr">
        <is>
          <t>TRUE</t>
        </is>
      </c>
      <c r="H259" s="43">
        <f>IF(AND(TRUE(),D259&lt;=TARGET_LEVEL_NUM),"Applicable","N/A")</f>
        <v/>
      </c>
      <c r="I259" s="42" t="inlineStr">
        <is>
          <t>HB-TLS-01</t>
        </is>
      </c>
      <c r="J259" s="42" t="n"/>
      <c r="K259" s="43">
        <f>IF($I259="Excluded","Excluded",IF(H259="N/A","N/A",IFERROR(INDEX(BL_COVERAGE,MATCH($I259,BL_IDS,0))&amp;"","Mapping error")))</f>
        <v/>
      </c>
    </row>
    <row r="260" ht="39.75" customHeight="1" s="19">
      <c r="A260" s="42" t="inlineStr">
        <is>
          <t>V12.2.2</t>
        </is>
      </c>
      <c r="B260" s="40" t="inlineStr">
        <is>
          <t>V12 - Secure Communication</t>
        </is>
      </c>
      <c r="C260" s="40" t="inlineStr">
        <is>
          <t>V12.2 - HTTPS Communication with External Facing Services</t>
        </is>
      </c>
      <c r="D260" s="42" t="n">
        <v>1</v>
      </c>
      <c r="E260" s="40" t="inlineStr">
        <is>
          <t>Verify that external facing services use publicly trusted TLS certificates.</t>
        </is>
      </c>
      <c r="F260" s="40" t="inlineStr">
        <is>
          <t>Always</t>
        </is>
      </c>
      <c r="G260" s="42" t="inlineStr">
        <is>
          <t>TRUE</t>
        </is>
      </c>
      <c r="H260" s="43">
        <f>IF(AND(TRUE(),D260&lt;=TARGET_LEVEL_NUM),"Applicable","N/A")</f>
        <v/>
      </c>
      <c r="I260" s="42" t="inlineStr">
        <is>
          <t>HB-TLS-01</t>
        </is>
      </c>
      <c r="J260" s="42" t="n"/>
      <c r="K260" s="43">
        <f>IF($I260="Excluded","Excluded",IF(H260="N/A","N/A",IFERROR(INDEX(BL_COVERAGE,MATCH($I260,BL_IDS,0))&amp;"","Mapping error")))</f>
        <v/>
      </c>
    </row>
    <row r="261" ht="39.75" customHeight="1" s="19">
      <c r="A261" s="42" t="inlineStr">
        <is>
          <t>V12.3.1</t>
        </is>
      </c>
      <c r="B261" s="40" t="inlineStr">
        <is>
          <t>V12 - Secure Communication</t>
        </is>
      </c>
      <c r="C261" s="40" t="inlineStr">
        <is>
          <t>V12.3 - General Service to Service Communication Security</t>
        </is>
      </c>
      <c r="D261" s="42" t="n">
        <v>2</v>
      </c>
      <c r="E261" s="40"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F261" s="40" t="inlineStr">
        <is>
          <t>Always</t>
        </is>
      </c>
      <c r="G261" s="42" t="inlineStr">
        <is>
          <t>TRUE</t>
        </is>
      </c>
      <c r="H261" s="43">
        <f>IF(AND(TRUE(),D261&lt;=TARGET_LEVEL_NUM),"Applicable","N/A")</f>
        <v/>
      </c>
      <c r="I261" s="42" t="inlineStr">
        <is>
          <t>HB-TLS-02</t>
        </is>
      </c>
      <c r="J261" s="42" t="n"/>
      <c r="K261" s="43">
        <f>IF($I261="Excluded","Excluded",IF(H261="N/A","N/A",IFERROR(INDEX(BL_COVERAGE,MATCH($I261,BL_IDS,0))&amp;"","Mapping error")))</f>
        <v/>
      </c>
    </row>
    <row r="262" ht="39.75" customHeight="1" s="19">
      <c r="A262" s="42" t="inlineStr">
        <is>
          <t>V12.3.2</t>
        </is>
      </c>
      <c r="B262" s="40" t="inlineStr">
        <is>
          <t>V12 - Secure Communication</t>
        </is>
      </c>
      <c r="C262" s="40" t="inlineStr">
        <is>
          <t>V12.3 - General Service to Service Communication Security</t>
        </is>
      </c>
      <c r="D262" s="42" t="n">
        <v>2</v>
      </c>
      <c r="E262" s="40" t="inlineStr">
        <is>
          <t>Verify that TLS clients validate certificates received before communicating with a TLS server.</t>
        </is>
      </c>
      <c r="F262" s="40" t="inlineStr">
        <is>
          <t>Always</t>
        </is>
      </c>
      <c r="G262" s="42" t="inlineStr">
        <is>
          <t>TRUE</t>
        </is>
      </c>
      <c r="H262" s="43">
        <f>IF(AND(TRUE(),D262&lt;=TARGET_LEVEL_NUM),"Applicable","N/A")</f>
        <v/>
      </c>
      <c r="I262" s="42" t="inlineStr">
        <is>
          <t>HB-TLS-02</t>
        </is>
      </c>
      <c r="J262" s="42" t="n"/>
      <c r="K262" s="43">
        <f>IF($I262="Excluded","Excluded",IF(H262="N/A","N/A",IFERROR(INDEX(BL_COVERAGE,MATCH($I262,BL_IDS,0))&amp;"","Mapping error")))</f>
        <v/>
      </c>
    </row>
    <row r="263" ht="39.75" customHeight="1" s="19">
      <c r="A263" s="42" t="inlineStr">
        <is>
          <t>V12.3.3</t>
        </is>
      </c>
      <c r="B263" s="40" t="inlineStr">
        <is>
          <t>V12 - Secure Communication</t>
        </is>
      </c>
      <c r="C263" s="40" t="inlineStr">
        <is>
          <t>V12.3 - General Service to Service Communication Security</t>
        </is>
      </c>
      <c r="D263" s="42" t="n">
        <v>2</v>
      </c>
      <c r="E263" s="40" t="inlineStr">
        <is>
          <t>Verify that TLS or another appropriate transport encryption mechanism used for all connectivity between internal, HTTP-based services within the application, and does not fall back to insecure or unencrypted communications.</t>
        </is>
      </c>
      <c r="F263" s="40" t="inlineStr">
        <is>
          <t>Always</t>
        </is>
      </c>
      <c r="G263" s="42" t="inlineStr">
        <is>
          <t>TRUE</t>
        </is>
      </c>
      <c r="H263" s="43">
        <f>IF(AND(TRUE(),D263&lt;=TARGET_LEVEL_NUM),"Applicable","N/A")</f>
        <v/>
      </c>
      <c r="I263" s="42" t="inlineStr">
        <is>
          <t>HB-TLS-02</t>
        </is>
      </c>
      <c r="J263" s="42" t="n"/>
      <c r="K263" s="43">
        <f>IF($I263="Excluded","Excluded",IF(H263="N/A","N/A",IFERROR(INDEX(BL_COVERAGE,MATCH($I263,BL_IDS,0))&amp;"","Mapping error")))</f>
        <v/>
      </c>
    </row>
    <row r="264" ht="39.75" customHeight="1" s="19">
      <c r="A264" s="42" t="inlineStr">
        <is>
          <t>V12.3.4</t>
        </is>
      </c>
      <c r="B264" s="40" t="inlineStr">
        <is>
          <t>V12 - Secure Communication</t>
        </is>
      </c>
      <c r="C264" s="40" t="inlineStr">
        <is>
          <t>V12.3 - General Service to Service Communication Security</t>
        </is>
      </c>
      <c r="D264" s="42" t="n">
        <v>2</v>
      </c>
      <c r="E264" s="40"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F264" s="40" t="inlineStr">
        <is>
          <t>Always</t>
        </is>
      </c>
      <c r="G264" s="42" t="inlineStr">
        <is>
          <t>TRUE</t>
        </is>
      </c>
      <c r="H264" s="43">
        <f>IF(AND(TRUE(),D264&lt;=TARGET_LEVEL_NUM),"Applicable","N/A")</f>
        <v/>
      </c>
      <c r="I264" s="42" t="inlineStr">
        <is>
          <t>HB-TLS-02</t>
        </is>
      </c>
      <c r="J264" s="42" t="n"/>
      <c r="K264" s="43">
        <f>IF($I264="Excluded","Excluded",IF(H264="N/A","N/A",IFERROR(INDEX(BL_COVERAGE,MATCH($I264,BL_IDS,0))&amp;"","Mapping error")))</f>
        <v/>
      </c>
    </row>
    <row r="265" ht="39.75" customHeight="1" s="19">
      <c r="A265" s="42" t="inlineStr">
        <is>
          <t>V12.3.5</t>
        </is>
      </c>
      <c r="B265" s="40" t="inlineStr">
        <is>
          <t>V12 - Secure Communication</t>
        </is>
      </c>
      <c r="C265" s="40" t="inlineStr">
        <is>
          <t>V12.3 - General Service to Service Communication Security</t>
        </is>
      </c>
      <c r="D265" s="42" t="n">
        <v>3</v>
      </c>
      <c r="E265" s="40"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F265" s="40" t="inlineStr">
        <is>
          <t>Always</t>
        </is>
      </c>
      <c r="G265" s="42" t="inlineStr">
        <is>
          <t>TRUE</t>
        </is>
      </c>
      <c r="H265" s="43">
        <f>IF(AND(TRUE(),D265&lt;=TARGET_LEVEL_NUM),"Applicable","N/A")</f>
        <v/>
      </c>
      <c r="I265" s="42" t="inlineStr">
        <is>
          <t>HB-TLS-02</t>
        </is>
      </c>
      <c r="J265" s="42" t="n"/>
      <c r="K265" s="43">
        <f>IF($I265="Excluded","Excluded",IF(H265="N/A","N/A",IFERROR(INDEX(BL_COVERAGE,MATCH($I265,BL_IDS,0))&amp;"","Mapping error")))</f>
        <v/>
      </c>
    </row>
    <row r="266" ht="39.75" customHeight="1" s="19">
      <c r="A266" s="42" t="inlineStr">
        <is>
          <t>V13.1.1</t>
        </is>
      </c>
      <c r="B266" s="40" t="inlineStr">
        <is>
          <t>V13 - Configuration</t>
        </is>
      </c>
      <c r="C266" s="40" t="inlineStr">
        <is>
          <t>V13.1 - Configuration Documentation</t>
        </is>
      </c>
      <c r="D266" s="42" t="n">
        <v>2</v>
      </c>
      <c r="E266" s="40"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F266" s="40" t="inlineStr">
        <is>
          <t>Always</t>
        </is>
      </c>
      <c r="G266" s="42" t="inlineStr">
        <is>
          <t>TRUE</t>
        </is>
      </c>
      <c r="H266" s="43">
        <f>IF(AND(TRUE(),D266&lt;=TARGET_LEVEL_NUM),"Applicable","N/A")</f>
        <v/>
      </c>
      <c r="I266" s="42" t="inlineStr">
        <is>
          <t>HB-CFG-04</t>
        </is>
      </c>
      <c r="J266" s="42" t="n"/>
      <c r="K266" s="43">
        <f>IF($I266="Excluded","Excluded",IF(H266="N/A","N/A",IFERROR(INDEX(BL_COVERAGE,MATCH($I266,BL_IDS,0))&amp;"","Mapping error")))</f>
        <v/>
      </c>
    </row>
    <row r="267" ht="39.75" customHeight="1" s="19">
      <c r="A267" s="42" t="inlineStr">
        <is>
          <t>V13.1.2</t>
        </is>
      </c>
      <c r="B267" s="40" t="inlineStr">
        <is>
          <t>V13 - Configuration</t>
        </is>
      </c>
      <c r="C267" s="40" t="inlineStr">
        <is>
          <t>V13.1 - Configuration Documentation</t>
        </is>
      </c>
      <c r="D267" s="42" t="n">
        <v>3</v>
      </c>
      <c r="E267" s="40"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F267" s="40" t="inlineStr">
        <is>
          <t>Always</t>
        </is>
      </c>
      <c r="G267" s="42" t="inlineStr">
        <is>
          <t>TRUE</t>
        </is>
      </c>
      <c r="H267" s="43">
        <f>IF(AND(TRUE(),D267&lt;=TARGET_LEVEL_NUM),"Applicable","N/A")</f>
        <v/>
      </c>
      <c r="I267" s="42" t="inlineStr">
        <is>
          <t>HB-AVAIL-01</t>
        </is>
      </c>
      <c r="J267" s="42" t="n"/>
      <c r="K267" s="43">
        <f>IF($I267="Excluded","Excluded",IF(H267="N/A","N/A",IFERROR(INDEX(BL_COVERAGE,MATCH($I267,BL_IDS,0))&amp;"","Mapping error")))</f>
        <v/>
      </c>
    </row>
    <row r="268" ht="39.75" customHeight="1" s="19">
      <c r="A268" s="42" t="inlineStr">
        <is>
          <t>V13.1.3</t>
        </is>
      </c>
      <c r="B268" s="40" t="inlineStr">
        <is>
          <t>V13 - Configuration</t>
        </is>
      </c>
      <c r="C268" s="40" t="inlineStr">
        <is>
          <t>V13.1 - Configuration Documentation</t>
        </is>
      </c>
      <c r="D268" s="42" t="n">
        <v>3</v>
      </c>
      <c r="E268" s="40"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F268" s="40" t="inlineStr">
        <is>
          <t>Always</t>
        </is>
      </c>
      <c r="G268" s="42" t="inlineStr">
        <is>
          <t>TRUE</t>
        </is>
      </c>
      <c r="H268" s="43">
        <f>IF(AND(TRUE(),D268&lt;=TARGET_LEVEL_NUM),"Applicable","N/A")</f>
        <v/>
      </c>
      <c r="I268" s="42" t="inlineStr">
        <is>
          <t>HB-AVAIL-01</t>
        </is>
      </c>
      <c r="J268" s="42" t="n"/>
      <c r="K268" s="43">
        <f>IF($I268="Excluded","Excluded",IF(H268="N/A","N/A",IFERROR(INDEX(BL_COVERAGE,MATCH($I268,BL_IDS,0))&amp;"","Mapping error")))</f>
        <v/>
      </c>
    </row>
    <row r="269" ht="39.75" customHeight="1" s="19">
      <c r="A269" s="42" t="inlineStr">
        <is>
          <t>V13.1.4</t>
        </is>
      </c>
      <c r="B269" s="40" t="inlineStr">
        <is>
          <t>V13 - Configuration</t>
        </is>
      </c>
      <c r="C269" s="40" t="inlineStr">
        <is>
          <t>V13.1 - Configuration Documentation</t>
        </is>
      </c>
      <c r="D269" s="42" t="n">
        <v>3</v>
      </c>
      <c r="E269" s="40" t="inlineStr">
        <is>
          <t>Verify that the application's documentation defines the secrets that are critical for the security of the application and a schedule for rotating them, based on the organization's threat model and business requirements.</t>
        </is>
      </c>
      <c r="F269" s="40" t="inlineStr">
        <is>
          <t>Always</t>
        </is>
      </c>
      <c r="G269" s="42" t="inlineStr">
        <is>
          <t>TRUE</t>
        </is>
      </c>
      <c r="H269" s="43">
        <f>IF(AND(TRUE(),D269&lt;=TARGET_LEVEL_NUM),"Applicable","N/A")</f>
        <v/>
      </c>
      <c r="I269" s="42" t="inlineStr">
        <is>
          <t>HB-CFG-02</t>
        </is>
      </c>
      <c r="J269" s="42" t="n"/>
      <c r="K269" s="43">
        <f>IF($I269="Excluded","Excluded",IF(H269="N/A","N/A",IFERROR(INDEX(BL_COVERAGE,MATCH($I269,BL_IDS,0))&amp;"","Mapping error")))</f>
        <v/>
      </c>
    </row>
    <row r="270" ht="39.75" customHeight="1" s="19">
      <c r="A270" s="42" t="inlineStr">
        <is>
          <t>V13.2.1</t>
        </is>
      </c>
      <c r="B270" s="40" t="inlineStr">
        <is>
          <t>V13 - Configuration</t>
        </is>
      </c>
      <c r="C270" s="40" t="inlineStr">
        <is>
          <t>V13.2 - Backend Communication Configuration</t>
        </is>
      </c>
      <c r="D270" s="42" t="n">
        <v>2</v>
      </c>
      <c r="E270" s="40"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F270" s="40" t="inlineStr">
        <is>
          <t>Always</t>
        </is>
      </c>
      <c r="G270" s="42" t="inlineStr">
        <is>
          <t>TRUE</t>
        </is>
      </c>
      <c r="H270" s="43">
        <f>IF(AND(TRUE(),D270&lt;=TARGET_LEVEL_NUM),"Applicable","N/A")</f>
        <v/>
      </c>
      <c r="I270" s="42" t="inlineStr">
        <is>
          <t>HB-CFG-01</t>
        </is>
      </c>
      <c r="J270" s="42" t="n"/>
      <c r="K270" s="43">
        <f>IF($I270="Excluded","Excluded",IF(H270="N/A","N/A",IFERROR(INDEX(BL_COVERAGE,MATCH($I270,BL_IDS,0))&amp;"","Mapping error")))</f>
        <v/>
      </c>
    </row>
    <row r="271" ht="39.75" customHeight="1" s="19">
      <c r="A271" s="42" t="inlineStr">
        <is>
          <t>V13.2.2</t>
        </is>
      </c>
      <c r="B271" s="40" t="inlineStr">
        <is>
          <t>V13 - Configuration</t>
        </is>
      </c>
      <c r="C271" s="40" t="inlineStr">
        <is>
          <t>V13.2 - Backend Communication Configuration</t>
        </is>
      </c>
      <c r="D271" s="42" t="n">
        <v>2</v>
      </c>
      <c r="E271" s="40" t="inlineStr">
        <is>
          <t>Verify that communications between backend application components, including local or operating system services, APIs, middleware, and data layers, are performed with accounts assigned the least necessary privileges.</t>
        </is>
      </c>
      <c r="F271" s="40" t="inlineStr">
        <is>
          <t>Always</t>
        </is>
      </c>
      <c r="G271" s="42" t="inlineStr">
        <is>
          <t>TRUE</t>
        </is>
      </c>
      <c r="H271" s="43">
        <f>IF(AND(TRUE(),D271&lt;=TARGET_LEVEL_NUM),"Applicable","N/A")</f>
        <v/>
      </c>
      <c r="I271" s="42" t="inlineStr">
        <is>
          <t>HB-CFG-01</t>
        </is>
      </c>
      <c r="J271" s="42" t="n"/>
      <c r="K271" s="43">
        <f>IF($I271="Excluded","Excluded",IF(H271="N/A","N/A",IFERROR(INDEX(BL_COVERAGE,MATCH($I271,BL_IDS,0))&amp;"","Mapping error")))</f>
        <v/>
      </c>
    </row>
    <row r="272" ht="39.75" customHeight="1" s="19">
      <c r="A272" s="42" t="inlineStr">
        <is>
          <t>V13.2.3</t>
        </is>
      </c>
      <c r="B272" s="40" t="inlineStr">
        <is>
          <t>V13 - Configuration</t>
        </is>
      </c>
      <c r="C272" s="40" t="inlineStr">
        <is>
          <t>V13.2 - Backend Communication Configuration</t>
        </is>
      </c>
      <c r="D272" s="42" t="n">
        <v>2</v>
      </c>
      <c r="E272" s="40" t="inlineStr">
        <is>
          <t>Verify that if a credential has to be used for service authentication, the credential being used by the consumer is not a default credential (e.g., root/root or admin/admin).</t>
        </is>
      </c>
      <c r="F272" s="40" t="inlineStr">
        <is>
          <t>Always</t>
        </is>
      </c>
      <c r="G272" s="42" t="inlineStr">
        <is>
          <t>TRUE</t>
        </is>
      </c>
      <c r="H272" s="43">
        <f>IF(AND(TRUE(),D272&lt;=TARGET_LEVEL_NUM),"Applicable","N/A")</f>
        <v/>
      </c>
      <c r="I272" s="42" t="inlineStr">
        <is>
          <t>HB-AUTH-03</t>
        </is>
      </c>
      <c r="J272" s="42" t="n"/>
      <c r="K272" s="43">
        <f>IF($I272="Excluded","Excluded",IF(H272="N/A","N/A",IFERROR(INDEX(BL_COVERAGE,MATCH($I272,BL_IDS,0))&amp;"","Mapping error")))</f>
        <v/>
      </c>
    </row>
    <row r="273" ht="39.75" customHeight="1" s="19">
      <c r="A273" s="42" t="inlineStr">
        <is>
          <t>V13.2.4</t>
        </is>
      </c>
      <c r="B273" s="40" t="inlineStr">
        <is>
          <t>V13 - Configuration</t>
        </is>
      </c>
      <c r="C273" s="40" t="inlineStr">
        <is>
          <t>V13.2 - Backend Communication Configuration</t>
        </is>
      </c>
      <c r="D273" s="42" t="n">
        <v>2</v>
      </c>
      <c r="E273" s="40"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F273" s="40" t="inlineStr">
        <is>
          <t>Always</t>
        </is>
      </c>
      <c r="G273" s="42" t="inlineStr">
        <is>
          <t>TRUE</t>
        </is>
      </c>
      <c r="H273" s="43">
        <f>IF(AND(TRUE(),D273&lt;=TARGET_LEVEL_NUM),"Applicable","N/A")</f>
        <v/>
      </c>
      <c r="I273" s="42" t="inlineStr">
        <is>
          <t>HB-CFG-04</t>
        </is>
      </c>
      <c r="J273" s="42" t="n"/>
      <c r="K273" s="43">
        <f>IF($I273="Excluded","Excluded",IF(H273="N/A","N/A",IFERROR(INDEX(BL_COVERAGE,MATCH($I273,BL_IDS,0))&amp;"","Mapping error")))</f>
        <v/>
      </c>
    </row>
    <row r="274" ht="39.75" customHeight="1" s="19">
      <c r="A274" s="42" t="inlineStr">
        <is>
          <t>V13.2.5</t>
        </is>
      </c>
      <c r="B274" s="40" t="inlineStr">
        <is>
          <t>V13 - Configuration</t>
        </is>
      </c>
      <c r="C274" s="40" t="inlineStr">
        <is>
          <t>V13.2 - Backend Communication Configuration</t>
        </is>
      </c>
      <c r="D274" s="42" t="n">
        <v>2</v>
      </c>
      <c r="E274" s="40" t="inlineStr">
        <is>
          <t>Verify that the web or application server is configured with an allowlist of resources or systems to which the server can send requests or load data or files from.</t>
        </is>
      </c>
      <c r="F274" s="40" t="inlineStr">
        <is>
          <t>Always</t>
        </is>
      </c>
      <c r="G274" s="42" t="inlineStr">
        <is>
          <t>TRUE</t>
        </is>
      </c>
      <c r="H274" s="43">
        <f>IF(AND(TRUE(),D274&lt;=TARGET_LEVEL_NUM),"Applicable","N/A")</f>
        <v/>
      </c>
      <c r="I274" s="42" t="inlineStr">
        <is>
          <t>HB-CFG-04</t>
        </is>
      </c>
      <c r="J274" s="42" t="n"/>
      <c r="K274" s="43">
        <f>IF($I274="Excluded","Excluded",IF(H274="N/A","N/A",IFERROR(INDEX(BL_COVERAGE,MATCH($I274,BL_IDS,0))&amp;"","Mapping error")))</f>
        <v/>
      </c>
    </row>
    <row r="275" ht="39.75" customHeight="1" s="19">
      <c r="A275" s="42" t="inlineStr">
        <is>
          <t>V13.2.6</t>
        </is>
      </c>
      <c r="B275" s="40" t="inlineStr">
        <is>
          <t>V13 - Configuration</t>
        </is>
      </c>
      <c r="C275" s="40" t="inlineStr">
        <is>
          <t>V13.2 - Backend Communication Configuration</t>
        </is>
      </c>
      <c r="D275" s="42" t="n">
        <v>3</v>
      </c>
      <c r="E275" s="40"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F275" s="40" t="inlineStr">
        <is>
          <t>Always</t>
        </is>
      </c>
      <c r="G275" s="42" t="inlineStr">
        <is>
          <t>TRUE</t>
        </is>
      </c>
      <c r="H275" s="43">
        <f>IF(AND(TRUE(),D275&lt;=TARGET_LEVEL_NUM),"Applicable","N/A")</f>
        <v/>
      </c>
      <c r="I275" s="42" t="inlineStr">
        <is>
          <t>HB-AVAIL-01</t>
        </is>
      </c>
      <c r="J275" s="42" t="n"/>
      <c r="K275" s="43">
        <f>IF($I275="Excluded","Excluded",IF(H275="N/A","N/A",IFERROR(INDEX(BL_COVERAGE,MATCH($I275,BL_IDS,0))&amp;"","Mapping error")))</f>
        <v/>
      </c>
    </row>
    <row r="276" ht="39.75" customHeight="1" s="19">
      <c r="A276" s="42" t="inlineStr">
        <is>
          <t>V13.3.1</t>
        </is>
      </c>
      <c r="B276" s="40" t="inlineStr">
        <is>
          <t>V13 - Configuration</t>
        </is>
      </c>
      <c r="C276" s="40" t="inlineStr">
        <is>
          <t>V13.3 - Secret Management</t>
        </is>
      </c>
      <c r="D276" s="42" t="n">
        <v>2</v>
      </c>
      <c r="E276" s="40"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F276" s="40" t="inlineStr">
        <is>
          <t>Always</t>
        </is>
      </c>
      <c r="G276" s="42" t="inlineStr">
        <is>
          <t>TRUE</t>
        </is>
      </c>
      <c r="H276" s="43">
        <f>IF(AND(TRUE(),D276&lt;=TARGET_LEVEL_NUM),"Applicable","N/A")</f>
        <v/>
      </c>
      <c r="I276" s="42" t="inlineStr">
        <is>
          <t>HB-CFG-02</t>
        </is>
      </c>
      <c r="J276" s="42" t="n"/>
      <c r="K276" s="43">
        <f>IF($I276="Excluded","Excluded",IF(H276="N/A","N/A",IFERROR(INDEX(BL_COVERAGE,MATCH($I276,BL_IDS,0))&amp;"","Mapping error")))</f>
        <v/>
      </c>
    </row>
    <row r="277" ht="39.75" customHeight="1" s="19">
      <c r="A277" s="42" t="inlineStr">
        <is>
          <t>V13.3.2</t>
        </is>
      </c>
      <c r="B277" s="40" t="inlineStr">
        <is>
          <t>V13 - Configuration</t>
        </is>
      </c>
      <c r="C277" s="40" t="inlineStr">
        <is>
          <t>V13.3 - Secret Management</t>
        </is>
      </c>
      <c r="D277" s="42" t="n">
        <v>2</v>
      </c>
      <c r="E277" s="40" t="inlineStr">
        <is>
          <t>Verify that access to secret assets adheres to the principle of least privilege.</t>
        </is>
      </c>
      <c r="F277" s="40" t="inlineStr">
        <is>
          <t>Always</t>
        </is>
      </c>
      <c r="G277" s="42" t="inlineStr">
        <is>
          <t>TRUE</t>
        </is>
      </c>
      <c r="H277" s="43">
        <f>IF(AND(TRUE(),D277&lt;=TARGET_LEVEL_NUM),"Applicable","N/A")</f>
        <v/>
      </c>
      <c r="I277" s="42" t="inlineStr">
        <is>
          <t>HB-CFG-02</t>
        </is>
      </c>
      <c r="J277" s="42" t="n"/>
      <c r="K277" s="43">
        <f>IF($I277="Excluded","Excluded",IF(H277="N/A","N/A",IFERROR(INDEX(BL_COVERAGE,MATCH($I277,BL_IDS,0))&amp;"","Mapping error")))</f>
        <v/>
      </c>
    </row>
    <row r="278" ht="39.75" customHeight="1" s="19">
      <c r="A278" s="42" t="inlineStr">
        <is>
          <t>V13.3.3</t>
        </is>
      </c>
      <c r="B278" s="40" t="inlineStr">
        <is>
          <t>V13 - Configuration</t>
        </is>
      </c>
      <c r="C278" s="40" t="inlineStr">
        <is>
          <t>V13.3 - Secret Management</t>
        </is>
      </c>
      <c r="D278" s="42" t="n">
        <v>3</v>
      </c>
      <c r="E278" s="40" t="inlineStr">
        <is>
          <t>Verify that all cryptographic operations are performed using an isolated security module (such as a vault or hardware security module) to securely manage and protect key material from exposure outside of the security module.</t>
        </is>
      </c>
      <c r="F278" s="40" t="inlineStr">
        <is>
          <t>Always</t>
        </is>
      </c>
      <c r="G278" s="42" t="inlineStr">
        <is>
          <t>TRUE</t>
        </is>
      </c>
      <c r="H278" s="43">
        <f>IF(AND(TRUE(),D278&lt;=TARGET_LEVEL_NUM),"Applicable","N/A")</f>
        <v/>
      </c>
      <c r="I278" s="42" t="inlineStr">
        <is>
          <t>HB-CFG-02</t>
        </is>
      </c>
      <c r="J278" s="42" t="n"/>
      <c r="K278" s="43">
        <f>IF($I278="Excluded","Excluded",IF(H278="N/A","N/A",IFERROR(INDEX(BL_COVERAGE,MATCH($I278,BL_IDS,0))&amp;"","Mapping error")))</f>
        <v/>
      </c>
    </row>
    <row r="279" ht="39.75" customHeight="1" s="19">
      <c r="A279" s="42" t="inlineStr">
        <is>
          <t>V13.3.4</t>
        </is>
      </c>
      <c r="B279" s="40" t="inlineStr">
        <is>
          <t>V13 - Configuration</t>
        </is>
      </c>
      <c r="C279" s="40" t="inlineStr">
        <is>
          <t>V13.3 - Secret Management</t>
        </is>
      </c>
      <c r="D279" s="42" t="n">
        <v>3</v>
      </c>
      <c r="E279" s="40" t="inlineStr">
        <is>
          <t>Verify that secrets are configured to expire and be rotated based on the application's documentation.</t>
        </is>
      </c>
      <c r="F279" s="40" t="inlineStr">
        <is>
          <t>Always</t>
        </is>
      </c>
      <c r="G279" s="42" t="inlineStr">
        <is>
          <t>TRUE</t>
        </is>
      </c>
      <c r="H279" s="43">
        <f>IF(AND(TRUE(),D279&lt;=TARGET_LEVEL_NUM),"Applicable","N/A")</f>
        <v/>
      </c>
      <c r="I279" s="42" t="inlineStr">
        <is>
          <t>HB-CFG-02</t>
        </is>
      </c>
      <c r="J279" s="42" t="n"/>
      <c r="K279" s="43">
        <f>IF($I279="Excluded","Excluded",IF(H279="N/A","N/A",IFERROR(INDEX(BL_COVERAGE,MATCH($I279,BL_IDS,0))&amp;"","Mapping error")))</f>
        <v/>
      </c>
    </row>
    <row r="280" ht="39.75" customHeight="1" s="19">
      <c r="A280" s="42" t="inlineStr">
        <is>
          <t>V13.4.1</t>
        </is>
      </c>
      <c r="B280" s="40" t="inlineStr">
        <is>
          <t>V13 - Configuration</t>
        </is>
      </c>
      <c r="C280" s="40" t="inlineStr">
        <is>
          <t>V13.4 - Unintended Information Leakage</t>
        </is>
      </c>
      <c r="D280" s="42" t="n">
        <v>1</v>
      </c>
      <c r="E280" s="40" t="inlineStr">
        <is>
          <t>Verify that the application is deployed either without any source control metadata, including the .git or .svn folders, or in a way that these folders are inaccessible both externally and to the application itself.</t>
        </is>
      </c>
      <c r="F280" s="40" t="inlineStr">
        <is>
          <t>Always</t>
        </is>
      </c>
      <c r="G280" s="42" t="inlineStr">
        <is>
          <t>TRUE</t>
        </is>
      </c>
      <c r="H280" s="43">
        <f>IF(AND(TRUE(),D280&lt;=TARGET_LEVEL_NUM),"Applicable","N/A")</f>
        <v/>
      </c>
      <c r="I280" s="42" t="inlineStr">
        <is>
          <t>HB-CFG-03</t>
        </is>
      </c>
      <c r="J280" s="42" t="n"/>
      <c r="K280" s="43">
        <f>IF($I280="Excluded","Excluded",IF(H280="N/A","N/A",IFERROR(INDEX(BL_COVERAGE,MATCH($I280,BL_IDS,0))&amp;"","Mapping error")))</f>
        <v/>
      </c>
    </row>
    <row r="281" ht="39.75" customHeight="1" s="19">
      <c r="A281" s="42" t="inlineStr">
        <is>
          <t>V13.4.2</t>
        </is>
      </c>
      <c r="B281" s="40" t="inlineStr">
        <is>
          <t>V13 - Configuration</t>
        </is>
      </c>
      <c r="C281" s="40" t="inlineStr">
        <is>
          <t>V13.4 - Unintended Information Leakage</t>
        </is>
      </c>
      <c r="D281" s="42" t="n">
        <v>2</v>
      </c>
      <c r="E281" s="40" t="inlineStr">
        <is>
          <t>Verify that debug modes are disabled for all components in production environments to prevent exposure of debugging features and information leakage.</t>
        </is>
      </c>
      <c r="F281" s="40" t="inlineStr">
        <is>
          <t>Always</t>
        </is>
      </c>
      <c r="G281" s="42" t="inlineStr">
        <is>
          <t>TRUE</t>
        </is>
      </c>
      <c r="H281" s="43">
        <f>IF(AND(TRUE(),D281&lt;=TARGET_LEVEL_NUM),"Applicable","N/A")</f>
        <v/>
      </c>
      <c r="I281" s="42" t="inlineStr">
        <is>
          <t>HB-CFG-03</t>
        </is>
      </c>
      <c r="J281" s="42" t="n"/>
      <c r="K281" s="43">
        <f>IF($I281="Excluded","Excluded",IF(H281="N/A","N/A",IFERROR(INDEX(BL_COVERAGE,MATCH($I281,BL_IDS,0))&amp;"","Mapping error")))</f>
        <v/>
      </c>
    </row>
    <row r="282" ht="39.75" customHeight="1" s="19">
      <c r="A282" s="42" t="inlineStr">
        <is>
          <t>V13.4.3</t>
        </is>
      </c>
      <c r="B282" s="40" t="inlineStr">
        <is>
          <t>V13 - Configuration</t>
        </is>
      </c>
      <c r="C282" s="40" t="inlineStr">
        <is>
          <t>V13.4 - Unintended Information Leakage</t>
        </is>
      </c>
      <c r="D282" s="42" t="n">
        <v>2</v>
      </c>
      <c r="E282" s="40" t="inlineStr">
        <is>
          <t>Verify that web servers do not expose directory listings to clients unless explicitly intended.</t>
        </is>
      </c>
      <c r="F282" s="40" t="inlineStr">
        <is>
          <t>Always</t>
        </is>
      </c>
      <c r="G282" s="42" t="inlineStr">
        <is>
          <t>TRUE</t>
        </is>
      </c>
      <c r="H282" s="43">
        <f>IF(AND(TRUE(),D282&lt;=TARGET_LEVEL_NUM),"Applicable","N/A")</f>
        <v/>
      </c>
      <c r="I282" s="42" t="inlineStr">
        <is>
          <t>HB-CFG-03</t>
        </is>
      </c>
      <c r="J282" s="42" t="n"/>
      <c r="K282" s="43">
        <f>IF($I282="Excluded","Excluded",IF(H282="N/A","N/A",IFERROR(INDEX(BL_COVERAGE,MATCH($I282,BL_IDS,0))&amp;"","Mapping error")))</f>
        <v/>
      </c>
    </row>
    <row r="283" ht="39.75" customHeight="1" s="19">
      <c r="A283" s="42" t="inlineStr">
        <is>
          <t>V13.4.4</t>
        </is>
      </c>
      <c r="B283" s="40" t="inlineStr">
        <is>
          <t>V13 - Configuration</t>
        </is>
      </c>
      <c r="C283" s="40" t="inlineStr">
        <is>
          <t>V13.4 - Unintended Information Leakage</t>
        </is>
      </c>
      <c r="D283" s="42" t="n">
        <v>2</v>
      </c>
      <c r="E283" s="40" t="inlineStr">
        <is>
          <t>Verify that using the HTTP TRACE method is not supported in production environments, to avoid potential information leakage.</t>
        </is>
      </c>
      <c r="F283" s="40" t="inlineStr">
        <is>
          <t>Always</t>
        </is>
      </c>
      <c r="G283" s="42" t="inlineStr">
        <is>
          <t>TRUE</t>
        </is>
      </c>
      <c r="H283" s="43">
        <f>IF(AND(TRUE(),D283&lt;=TARGET_LEVEL_NUM),"Applicable","N/A")</f>
        <v/>
      </c>
      <c r="I283" s="42" t="inlineStr">
        <is>
          <t>HB-CFG-03</t>
        </is>
      </c>
      <c r="J283" s="42" t="n"/>
      <c r="K283" s="43">
        <f>IF($I283="Excluded","Excluded",IF(H283="N/A","N/A",IFERROR(INDEX(BL_COVERAGE,MATCH($I283,BL_IDS,0))&amp;"","Mapping error")))</f>
        <v/>
      </c>
    </row>
    <row r="284" ht="39.75" customHeight="1" s="19">
      <c r="A284" s="42" t="inlineStr">
        <is>
          <t>V13.4.5</t>
        </is>
      </c>
      <c r="B284" s="40" t="inlineStr">
        <is>
          <t>V13 - Configuration</t>
        </is>
      </c>
      <c r="C284" s="40" t="inlineStr">
        <is>
          <t>V13.4 - Unintended Information Leakage</t>
        </is>
      </c>
      <c r="D284" s="42" t="n">
        <v>2</v>
      </c>
      <c r="E284" s="40" t="inlineStr">
        <is>
          <t>Verify that documentation (such as for internal APIs) and monitoring endpoints are not exposed unless explicitly intended.</t>
        </is>
      </c>
      <c r="F284" s="40" t="inlineStr">
        <is>
          <t>Always</t>
        </is>
      </c>
      <c r="G284" s="42" t="inlineStr">
        <is>
          <t>TRUE</t>
        </is>
      </c>
      <c r="H284" s="43">
        <f>IF(AND(TRUE(),D284&lt;=TARGET_LEVEL_NUM),"Applicable","N/A")</f>
        <v/>
      </c>
      <c r="I284" s="42" t="inlineStr">
        <is>
          <t>HB-CFG-03</t>
        </is>
      </c>
      <c r="J284" s="42" t="n"/>
      <c r="K284" s="43">
        <f>IF($I284="Excluded","Excluded",IF(H284="N/A","N/A",IFERROR(INDEX(BL_COVERAGE,MATCH($I284,BL_IDS,0))&amp;"","Mapping error")))</f>
        <v/>
      </c>
    </row>
    <row r="285" ht="39.75" customHeight="1" s="19">
      <c r="A285" s="42" t="inlineStr">
        <is>
          <t>V13.4.6</t>
        </is>
      </c>
      <c r="B285" s="40" t="inlineStr">
        <is>
          <t>V13 - Configuration</t>
        </is>
      </c>
      <c r="C285" s="40" t="inlineStr">
        <is>
          <t>V13.4 - Unintended Information Leakage</t>
        </is>
      </c>
      <c r="D285" s="42" t="n">
        <v>3</v>
      </c>
      <c r="E285" s="40" t="inlineStr">
        <is>
          <t>Verify that the application does not expose detailed version information of backend components.</t>
        </is>
      </c>
      <c r="F285" s="40" t="inlineStr">
        <is>
          <t>Always</t>
        </is>
      </c>
      <c r="G285" s="42" t="inlineStr">
        <is>
          <t>TRUE</t>
        </is>
      </c>
      <c r="H285" s="43">
        <f>IF(AND(TRUE(),D285&lt;=TARGET_LEVEL_NUM),"Applicable","N/A")</f>
        <v/>
      </c>
      <c r="I285" s="42" t="inlineStr">
        <is>
          <t>HB-CFG-03</t>
        </is>
      </c>
      <c r="J285" s="42" t="n"/>
      <c r="K285" s="43">
        <f>IF($I285="Excluded","Excluded",IF(H285="N/A","N/A",IFERROR(INDEX(BL_COVERAGE,MATCH($I285,BL_IDS,0))&amp;"","Mapping error")))</f>
        <v/>
      </c>
    </row>
    <row r="286" ht="39.75" customHeight="1" s="19">
      <c r="A286" s="42" t="inlineStr">
        <is>
          <t>V13.4.7</t>
        </is>
      </c>
      <c r="B286" s="40" t="inlineStr">
        <is>
          <t>V13 - Configuration</t>
        </is>
      </c>
      <c r="C286" s="40" t="inlineStr">
        <is>
          <t>V13.4 - Unintended Information Leakage</t>
        </is>
      </c>
      <c r="D286" s="42" t="n">
        <v>3</v>
      </c>
      <c r="E286" s="40" t="inlineStr">
        <is>
          <t>Verify that the web tier is configured to only serve files with specific file extensions to prevent unintentional information, configuration, and source code leakage.</t>
        </is>
      </c>
      <c r="F286" s="40" t="inlineStr">
        <is>
          <t>Always</t>
        </is>
      </c>
      <c r="G286" s="42" t="inlineStr">
        <is>
          <t>TRUE</t>
        </is>
      </c>
      <c r="H286" s="43">
        <f>IF(AND(TRUE(),D286&lt;=TARGET_LEVEL_NUM),"Applicable","N/A")</f>
        <v/>
      </c>
      <c r="I286" s="42" t="inlineStr">
        <is>
          <t>HB-CFG-03</t>
        </is>
      </c>
      <c r="J286" s="42" t="n"/>
      <c r="K286" s="43">
        <f>IF($I286="Excluded","Excluded",IF(H286="N/A","N/A",IFERROR(INDEX(BL_COVERAGE,MATCH($I286,BL_IDS,0))&amp;"","Mapping error")))</f>
        <v/>
      </c>
    </row>
    <row r="287" ht="39.75" customHeight="1" s="19">
      <c r="A287" s="42" t="inlineStr">
        <is>
          <t>V14.1.1</t>
        </is>
      </c>
      <c r="B287" s="40" t="inlineStr">
        <is>
          <t>V14 - Data Protection</t>
        </is>
      </c>
      <c r="C287" s="40" t="inlineStr">
        <is>
          <t>V14.1 - Data Protection Documentation</t>
        </is>
      </c>
      <c r="D287" s="42" t="n">
        <v>2</v>
      </c>
      <c r="E287" s="40"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F287" s="40" t="inlineStr">
        <is>
          <t>If processes sensitive data</t>
        </is>
      </c>
      <c r="G287" s="42" t="inlineStr">
        <is>
          <t>OR(DATA_SENSITIVITY="Confidential",DATA_SENSITIVITY="Regulated")</t>
        </is>
      </c>
      <c r="H287" s="43">
        <f>IF(AND(OR(DATA_SENSITIVITY="Confidential",DATA_SENSITIVITY="Regulated"),D287&lt;=TARGET_LEVEL_NUM),"Applicable","N/A")</f>
        <v/>
      </c>
      <c r="I287" s="42" t="inlineStr">
        <is>
          <t>HB-DATA-01</t>
        </is>
      </c>
      <c r="J287" s="42" t="n"/>
      <c r="K287" s="43">
        <f>IF($I287="Excluded","Excluded",IF(H287="N/A","N/A",IFERROR(INDEX(BL_COVERAGE,MATCH($I287,BL_IDS,0))&amp;"","Mapping error")))</f>
        <v/>
      </c>
    </row>
    <row r="288" ht="39.75" customHeight="1" s="19">
      <c r="A288" s="42" t="inlineStr">
        <is>
          <t>V14.1.2</t>
        </is>
      </c>
      <c r="B288" s="40" t="inlineStr">
        <is>
          <t>V14 - Data Protection</t>
        </is>
      </c>
      <c r="C288" s="40" t="inlineStr">
        <is>
          <t>V14.1 - Data Protection Documentation</t>
        </is>
      </c>
      <c r="D288" s="42" t="n">
        <v>2</v>
      </c>
      <c r="E288" s="40"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F288" s="40" t="inlineStr">
        <is>
          <t>If processes sensitive data</t>
        </is>
      </c>
      <c r="G288" s="42" t="inlineStr">
        <is>
          <t>OR(DATA_SENSITIVITY="Confidential",DATA_SENSITIVITY="Regulated")</t>
        </is>
      </c>
      <c r="H288" s="43">
        <f>IF(AND(OR(DATA_SENSITIVITY="Confidential",DATA_SENSITIVITY="Regulated"),D288&lt;=TARGET_LEVEL_NUM),"Applicable","N/A")</f>
        <v/>
      </c>
      <c r="I288" s="42" t="inlineStr">
        <is>
          <t>HB-DATA-01</t>
        </is>
      </c>
      <c r="J288" s="42" t="n"/>
      <c r="K288" s="43">
        <f>IF($I288="Excluded","Excluded",IF(H288="N/A","N/A",IFERROR(INDEX(BL_COVERAGE,MATCH($I288,BL_IDS,0))&amp;"","Mapping error")))</f>
        <v/>
      </c>
    </row>
    <row r="289" ht="39.75" customHeight="1" s="19">
      <c r="A289" s="42" t="inlineStr">
        <is>
          <t>V14.2.1</t>
        </is>
      </c>
      <c r="B289" s="40" t="inlineStr">
        <is>
          <t>V14 - Data Protection</t>
        </is>
      </c>
      <c r="C289" s="40" t="inlineStr">
        <is>
          <t>V14.2 - General Data Protection</t>
        </is>
      </c>
      <c r="D289" s="42" t="n">
        <v>1</v>
      </c>
      <c r="E289" s="40" t="inlineStr">
        <is>
          <t>Verify that sensitive data is only sent to the server in the HTTP message body or header fields, and that the URL and query string do not contain sensitive information, such as an API key or session token.</t>
        </is>
      </c>
      <c r="F289" s="40" t="inlineStr">
        <is>
          <t>If processes sensitive data</t>
        </is>
      </c>
      <c r="G289" s="42" t="inlineStr">
        <is>
          <t>OR(DATA_SENSITIVITY="Confidential",DATA_SENSITIVITY="Regulated")</t>
        </is>
      </c>
      <c r="H289" s="43">
        <f>IF(AND(OR(DATA_SENSITIVITY="Confidential",DATA_SENSITIVITY="Regulated"),D289&lt;=TARGET_LEVEL_NUM),"Applicable","N/A")</f>
        <v/>
      </c>
      <c r="I289" s="42" t="inlineStr">
        <is>
          <t>HB-DATA-02</t>
        </is>
      </c>
      <c r="J289" s="42" t="n"/>
      <c r="K289" s="43">
        <f>IF($I289="Excluded","Excluded",IF(H289="N/A","N/A",IFERROR(INDEX(BL_COVERAGE,MATCH($I289,BL_IDS,0))&amp;"","Mapping error")))</f>
        <v/>
      </c>
    </row>
    <row r="290" ht="39.75" customHeight="1" s="19">
      <c r="A290" s="42" t="inlineStr">
        <is>
          <t>V14.2.2</t>
        </is>
      </c>
      <c r="B290" s="40" t="inlineStr">
        <is>
          <t>V14 - Data Protection</t>
        </is>
      </c>
      <c r="C290" s="40" t="inlineStr">
        <is>
          <t>V14.2 - General Data Protection</t>
        </is>
      </c>
      <c r="D290" s="42" t="n">
        <v>2</v>
      </c>
      <c r="E290" s="40" t="inlineStr">
        <is>
          <t>Verify that the application prevents sensitive data from being cached in server components, such as load balancers and application caches, or ensures that the data is securely purged after use.</t>
        </is>
      </c>
      <c r="F290" s="40" t="inlineStr">
        <is>
          <t>If processes sensitive data</t>
        </is>
      </c>
      <c r="G290" s="42" t="inlineStr">
        <is>
          <t>OR(DATA_SENSITIVITY="Confidential",DATA_SENSITIVITY="Regulated")</t>
        </is>
      </c>
      <c r="H290" s="43">
        <f>IF(AND(OR(DATA_SENSITIVITY="Confidential",DATA_SENSITIVITY="Regulated"),D290&lt;=TARGET_LEVEL_NUM),"Applicable","N/A")</f>
        <v/>
      </c>
      <c r="I290" s="42" t="inlineStr">
        <is>
          <t>HB-DATA-02</t>
        </is>
      </c>
      <c r="J290" s="42" t="n"/>
      <c r="K290" s="43">
        <f>IF($I290="Excluded","Excluded",IF(H290="N/A","N/A",IFERROR(INDEX(BL_COVERAGE,MATCH($I290,BL_IDS,0))&amp;"","Mapping error")))</f>
        <v/>
      </c>
    </row>
    <row r="291" ht="39.75" customHeight="1" s="19">
      <c r="A291" s="42" t="inlineStr">
        <is>
          <t>V14.2.3</t>
        </is>
      </c>
      <c r="B291" s="40" t="inlineStr">
        <is>
          <t>V14 - Data Protection</t>
        </is>
      </c>
      <c r="C291" s="40" t="inlineStr">
        <is>
          <t>V14.2 - General Data Protection</t>
        </is>
      </c>
      <c r="D291" s="42" t="n">
        <v>2</v>
      </c>
      <c r="E291" s="40" t="inlineStr">
        <is>
          <t>Verify that defined sensitive data is not sent to untrusted parties (e.g., user trackers) to prevent unwanted collection of data outside of the application's control.</t>
        </is>
      </c>
      <c r="F291" s="40" t="inlineStr">
        <is>
          <t>If processes sensitive data</t>
        </is>
      </c>
      <c r="G291" s="42" t="inlineStr">
        <is>
          <t>OR(DATA_SENSITIVITY="Confidential",DATA_SENSITIVITY="Regulated")</t>
        </is>
      </c>
      <c r="H291" s="43">
        <f>IF(AND(OR(DATA_SENSITIVITY="Confidential",DATA_SENSITIVITY="Regulated"),D291&lt;=TARGET_LEVEL_NUM),"Applicable","N/A")</f>
        <v/>
      </c>
      <c r="I291" s="42" t="inlineStr">
        <is>
          <t>HB-DATA-02</t>
        </is>
      </c>
      <c r="J291" s="42" t="n"/>
      <c r="K291" s="43">
        <f>IF($I291="Excluded","Excluded",IF(H291="N/A","N/A",IFERROR(INDEX(BL_COVERAGE,MATCH($I291,BL_IDS,0))&amp;"","Mapping error")))</f>
        <v/>
      </c>
    </row>
    <row r="292" ht="39.75" customHeight="1" s="19">
      <c r="A292" s="42" t="inlineStr">
        <is>
          <t>V14.2.4</t>
        </is>
      </c>
      <c r="B292" s="40" t="inlineStr">
        <is>
          <t>V14 - Data Protection</t>
        </is>
      </c>
      <c r="C292" s="40" t="inlineStr">
        <is>
          <t>V14.2 - General Data Protection</t>
        </is>
      </c>
      <c r="D292" s="42" t="n">
        <v>2</v>
      </c>
      <c r="E292" s="40"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F292" s="40" t="inlineStr">
        <is>
          <t>If processes sensitive data</t>
        </is>
      </c>
      <c r="G292" s="42" t="inlineStr">
        <is>
          <t>OR(DATA_SENSITIVITY="Confidential",DATA_SENSITIVITY="Regulated")</t>
        </is>
      </c>
      <c r="H292" s="43">
        <f>IF(AND(OR(DATA_SENSITIVITY="Confidential",DATA_SENSITIVITY="Regulated"),D292&lt;=TARGET_LEVEL_NUM),"Applicable","N/A")</f>
        <v/>
      </c>
      <c r="I292" s="42" t="inlineStr">
        <is>
          <t>HB-DATA-01</t>
        </is>
      </c>
      <c r="J292" s="42" t="n"/>
      <c r="K292" s="43">
        <f>IF($I292="Excluded","Excluded",IF(H292="N/A","N/A",IFERROR(INDEX(BL_COVERAGE,MATCH($I292,BL_IDS,0))&amp;"","Mapping error")))</f>
        <v/>
      </c>
    </row>
    <row r="293" ht="39.75" customHeight="1" s="19">
      <c r="A293" s="42" t="inlineStr">
        <is>
          <t>V14.2.5</t>
        </is>
      </c>
      <c r="B293" s="40" t="inlineStr">
        <is>
          <t>V14 - Data Protection</t>
        </is>
      </c>
      <c r="C293" s="40" t="inlineStr">
        <is>
          <t>V14.2 - General Data Protection</t>
        </is>
      </c>
      <c r="D293" s="42" t="n">
        <v>3</v>
      </c>
      <c r="E293" s="40"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F293" s="40" t="inlineStr">
        <is>
          <t>If processes sensitive data</t>
        </is>
      </c>
      <c r="G293" s="42" t="inlineStr">
        <is>
          <t>OR(DATA_SENSITIVITY="Confidential",DATA_SENSITIVITY="Regulated")</t>
        </is>
      </c>
      <c r="H293" s="43">
        <f>IF(AND(OR(DATA_SENSITIVITY="Confidential",DATA_SENSITIVITY="Regulated"),D293&lt;=TARGET_LEVEL_NUM),"Applicable","N/A")</f>
        <v/>
      </c>
      <c r="I293" s="42" t="inlineStr">
        <is>
          <t>HB-DATA-02</t>
        </is>
      </c>
      <c r="J293" s="42" t="n"/>
      <c r="K293" s="43">
        <f>IF($I293="Excluded","Excluded",IF(H293="N/A","N/A",IFERROR(INDEX(BL_COVERAGE,MATCH($I293,BL_IDS,0))&amp;"","Mapping error")))</f>
        <v/>
      </c>
    </row>
    <row r="294" ht="39.75" customHeight="1" s="19">
      <c r="A294" s="42" t="inlineStr">
        <is>
          <t>V14.2.6</t>
        </is>
      </c>
      <c r="B294" s="40" t="inlineStr">
        <is>
          <t>V14 - Data Protection</t>
        </is>
      </c>
      <c r="C294" s="40" t="inlineStr">
        <is>
          <t>V14.2 - General Data Protection</t>
        </is>
      </c>
      <c r="D294" s="42" t="n">
        <v>3</v>
      </c>
      <c r="E294" s="40"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F294" s="40" t="inlineStr">
        <is>
          <t>If processes sensitive data</t>
        </is>
      </c>
      <c r="G294" s="42" t="inlineStr">
        <is>
          <t>OR(DATA_SENSITIVITY="Confidential",DATA_SENSITIVITY="Regulated")</t>
        </is>
      </c>
      <c r="H294" s="43">
        <f>IF(AND(OR(DATA_SENSITIVITY="Confidential",DATA_SENSITIVITY="Regulated"),D294&lt;=TARGET_LEVEL_NUM),"Applicable","N/A")</f>
        <v/>
      </c>
      <c r="I294" s="42" t="inlineStr">
        <is>
          <t>HB-DATA-02</t>
        </is>
      </c>
      <c r="J294" s="42" t="n"/>
      <c r="K294" s="43">
        <f>IF($I294="Excluded","Excluded",IF(H294="N/A","N/A",IFERROR(INDEX(BL_COVERAGE,MATCH($I294,BL_IDS,0))&amp;"","Mapping error")))</f>
        <v/>
      </c>
    </row>
    <row r="295" ht="39.75" customHeight="1" s="19">
      <c r="A295" s="42" t="inlineStr">
        <is>
          <t>V14.2.7</t>
        </is>
      </c>
      <c r="B295" s="40" t="inlineStr">
        <is>
          <t>V14 - Data Protection</t>
        </is>
      </c>
      <c r="C295" s="40" t="inlineStr">
        <is>
          <t>V14.2 - General Data Protection</t>
        </is>
      </c>
      <c r="D295" s="42" t="n">
        <v>3</v>
      </c>
      <c r="E295" s="40" t="inlineStr">
        <is>
          <t>Verify that sensitive information is subject to data retention classification, ensuring that outdated or unnecessary data is deleted automatically, on a defined schedule, or as the situation requires.</t>
        </is>
      </c>
      <c r="F295" s="40" t="inlineStr">
        <is>
          <t>If processes sensitive data</t>
        </is>
      </c>
      <c r="G295" s="42" t="inlineStr">
        <is>
          <t>OR(DATA_SENSITIVITY="Confidential",DATA_SENSITIVITY="Regulated")</t>
        </is>
      </c>
      <c r="H295" s="43">
        <f>IF(AND(OR(DATA_SENSITIVITY="Confidential",DATA_SENSITIVITY="Regulated"),D295&lt;=TARGET_LEVEL_NUM),"Applicable","N/A")</f>
        <v/>
      </c>
      <c r="I295" s="42" t="inlineStr">
        <is>
          <t>HB-DATA-01</t>
        </is>
      </c>
      <c r="J295" s="42" t="n"/>
      <c r="K295" s="43">
        <f>IF($I295="Excluded","Excluded",IF(H295="N/A","N/A",IFERROR(INDEX(BL_COVERAGE,MATCH($I295,BL_IDS,0))&amp;"","Mapping error")))</f>
        <v/>
      </c>
    </row>
    <row r="296" ht="39.75" customHeight="1" s="19">
      <c r="A296" s="42" t="inlineStr">
        <is>
          <t>V14.2.8</t>
        </is>
      </c>
      <c r="B296" s="40" t="inlineStr">
        <is>
          <t>V14 - Data Protection</t>
        </is>
      </c>
      <c r="C296" s="40" t="inlineStr">
        <is>
          <t>V14.2 - General Data Protection</t>
        </is>
      </c>
      <c r="D296" s="42" t="n">
        <v>3</v>
      </c>
      <c r="E296" s="40" t="inlineStr">
        <is>
          <t>Verify that sensitive information is removed from the metadata of user-submitted files unless storage is consented to by the user.</t>
        </is>
      </c>
      <c r="F296" s="40" t="inlineStr">
        <is>
          <t>If processes sensitive data</t>
        </is>
      </c>
      <c r="G296" s="42" t="inlineStr">
        <is>
          <t>OR(DATA_SENSITIVITY="Confidential",DATA_SENSITIVITY="Regulated")</t>
        </is>
      </c>
      <c r="H296" s="43">
        <f>IF(AND(OR(DATA_SENSITIVITY="Confidential",DATA_SENSITIVITY="Regulated"),D296&lt;=TARGET_LEVEL_NUM),"Applicable","N/A")</f>
        <v/>
      </c>
      <c r="I296" s="42" t="inlineStr">
        <is>
          <t>HB-FILE-02</t>
        </is>
      </c>
      <c r="J296" s="42" t="n"/>
      <c r="K296" s="43">
        <f>IF($I296="Excluded","Excluded",IF(H296="N/A","N/A",IFERROR(INDEX(BL_COVERAGE,MATCH($I296,BL_IDS,0))&amp;"","Mapping error")))</f>
        <v/>
      </c>
    </row>
    <row r="297" ht="39.75" customHeight="1" s="19">
      <c r="A297" s="42" t="inlineStr">
        <is>
          <t>V14.3.1</t>
        </is>
      </c>
      <c r="B297" s="40" t="inlineStr">
        <is>
          <t>V14 - Data Protection</t>
        </is>
      </c>
      <c r="C297" s="40" t="inlineStr">
        <is>
          <t>V14.3 - Client-side Data Protection</t>
        </is>
      </c>
      <c r="D297" s="42" t="n">
        <v>1</v>
      </c>
      <c r="E297" s="40"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F297" s="40" t="inlineStr">
        <is>
          <t>If processes sensitive data</t>
        </is>
      </c>
      <c r="G297" s="42" t="inlineStr">
        <is>
          <t>OR(DATA_SENSITIVITY="Confidential",DATA_SENSITIVITY="Regulated")</t>
        </is>
      </c>
      <c r="H297" s="43">
        <f>IF(AND(OR(DATA_SENSITIVITY="Confidential",DATA_SENSITIVITY="Regulated"),D297&lt;=TARGET_LEVEL_NUM),"Applicable","N/A")</f>
        <v/>
      </c>
      <c r="I297" s="42" t="inlineStr">
        <is>
          <t>HB-DATA-03</t>
        </is>
      </c>
      <c r="J297" s="42" t="n"/>
      <c r="K297" s="43">
        <f>IF($I297="Excluded","Excluded",IF(H297="N/A","N/A",IFERROR(INDEX(BL_COVERAGE,MATCH($I297,BL_IDS,0))&amp;"","Mapping error")))</f>
        <v/>
      </c>
    </row>
    <row r="298" ht="39.75" customHeight="1" s="19">
      <c r="A298" s="42" t="inlineStr">
        <is>
          <t>V14.3.2</t>
        </is>
      </c>
      <c r="B298" s="40" t="inlineStr">
        <is>
          <t>V14 - Data Protection</t>
        </is>
      </c>
      <c r="C298" s="40" t="inlineStr">
        <is>
          <t>V14.3 - Client-side Data Protection</t>
        </is>
      </c>
      <c r="D298" s="42" t="n">
        <v>2</v>
      </c>
      <c r="E298" s="40" t="inlineStr">
        <is>
          <t>Verify that the application sets sufficient anti-caching HTTP response header fields (i.e., Cache-Control: no-store) so that sensitive data is not cached in browsers.</t>
        </is>
      </c>
      <c r="F298" s="40" t="inlineStr">
        <is>
          <t>If processes sensitive data</t>
        </is>
      </c>
      <c r="G298" s="42" t="inlineStr">
        <is>
          <t>OR(DATA_SENSITIVITY="Confidential",DATA_SENSITIVITY="Regulated")</t>
        </is>
      </c>
      <c r="H298" s="43">
        <f>IF(AND(OR(DATA_SENSITIVITY="Confidential",DATA_SENSITIVITY="Regulated"),D298&lt;=TARGET_LEVEL_NUM),"Applicable","N/A")</f>
        <v/>
      </c>
      <c r="I298" s="42" t="inlineStr">
        <is>
          <t>HB-DATA-03</t>
        </is>
      </c>
      <c r="J298" s="42" t="n"/>
      <c r="K298" s="43">
        <f>IF($I298="Excluded","Excluded",IF(H298="N/A","N/A",IFERROR(INDEX(BL_COVERAGE,MATCH($I298,BL_IDS,0))&amp;"","Mapping error")))</f>
        <v/>
      </c>
    </row>
    <row r="299" ht="39.75" customHeight="1" s="19">
      <c r="A299" s="42" t="inlineStr">
        <is>
          <t>V14.3.3</t>
        </is>
      </c>
      <c r="B299" s="40" t="inlineStr">
        <is>
          <t>V14 - Data Protection</t>
        </is>
      </c>
      <c r="C299" s="40" t="inlineStr">
        <is>
          <t>V14.3 - Client-side Data Protection</t>
        </is>
      </c>
      <c r="D299" s="42" t="n">
        <v>2</v>
      </c>
      <c r="E299" s="40" t="inlineStr">
        <is>
          <t>Verify that data stored in browser storage (such as localStorage, sessionStorage, IndexedDB, or cookies) does not contain sensitive data, with the exception of session tokens.</t>
        </is>
      </c>
      <c r="F299" s="40" t="inlineStr">
        <is>
          <t>If processes sensitive data</t>
        </is>
      </c>
      <c r="G299" s="42" t="inlineStr">
        <is>
          <t>OR(DATA_SENSITIVITY="Confidential",DATA_SENSITIVITY="Regulated")</t>
        </is>
      </c>
      <c r="H299" s="43">
        <f>IF(AND(OR(DATA_SENSITIVITY="Confidential",DATA_SENSITIVITY="Regulated"),D299&lt;=TARGET_LEVEL_NUM),"Applicable","N/A")</f>
        <v/>
      </c>
      <c r="I299" s="42" t="inlineStr">
        <is>
          <t>HB-DATA-03</t>
        </is>
      </c>
      <c r="J299" s="42" t="n"/>
      <c r="K299" s="43">
        <f>IF($I299="Excluded","Excluded",IF(H299="N/A","N/A",IFERROR(INDEX(BL_COVERAGE,MATCH($I299,BL_IDS,0))&amp;"","Mapping error")))</f>
        <v/>
      </c>
    </row>
    <row r="300" ht="39.75" customHeight="1" s="19">
      <c r="A300" s="42" t="inlineStr">
        <is>
          <t>V15.1.1</t>
        </is>
      </c>
      <c r="B300" s="40" t="inlineStr">
        <is>
          <t>V15 - Secure Coding and Architecture</t>
        </is>
      </c>
      <c r="C300" s="40" t="inlineStr">
        <is>
          <t>V15.1 - Secure Coding and Architecture Documentation</t>
        </is>
      </c>
      <c r="D300" s="42" t="n">
        <v>1</v>
      </c>
      <c r="E300" s="40" t="inlineStr">
        <is>
          <t>Verify that application documentation defines risk based remediation time frames for 3rd party component versions with vulnerabilities and for updating libraries in general, to minimize the risk from these components.</t>
        </is>
      </c>
      <c r="F300" s="40" t="inlineStr">
        <is>
          <t>Always</t>
        </is>
      </c>
      <c r="G300" s="42" t="inlineStr">
        <is>
          <t>TRUE</t>
        </is>
      </c>
      <c r="H300" s="43">
        <f>IF(AND(TRUE(),D300&lt;=TARGET_LEVEL_NUM),"Applicable","N/A")</f>
        <v/>
      </c>
      <c r="I300" s="42" t="inlineStr">
        <is>
          <t>HB-DEP-01</t>
        </is>
      </c>
      <c r="J300" s="42" t="n"/>
      <c r="K300" s="43">
        <f>IF($I300="Excluded","Excluded",IF(H300="N/A","N/A",IFERROR(INDEX(BL_COVERAGE,MATCH($I300,BL_IDS,0))&amp;"","Mapping error")))</f>
        <v/>
      </c>
    </row>
    <row r="301" ht="39.75" customHeight="1" s="19">
      <c r="A301" s="42" t="inlineStr">
        <is>
          <t>V15.1.2</t>
        </is>
      </c>
      <c r="B301" s="40" t="inlineStr">
        <is>
          <t>V15 - Secure Coding and Architecture</t>
        </is>
      </c>
      <c r="C301" s="40" t="inlineStr">
        <is>
          <t>V15.1 - Secure Coding and Architecture Documentation</t>
        </is>
      </c>
      <c r="D301" s="42" t="n">
        <v>2</v>
      </c>
      <c r="E301" s="40" t="inlineStr">
        <is>
          <t>Verify that an inventory catalog, such as software bill of materials (SBOM), is maintained of all third-party libraries in use, including verifying that components come from pre-defined, trusted, and continually maintained repositories.</t>
        </is>
      </c>
      <c r="F301" s="40" t="inlineStr">
        <is>
          <t>Always</t>
        </is>
      </c>
      <c r="G301" s="42" t="inlineStr">
        <is>
          <t>TRUE</t>
        </is>
      </c>
      <c r="H301" s="43">
        <f>IF(AND(TRUE(),D301&lt;=TARGET_LEVEL_NUM),"Applicable","N/A")</f>
        <v/>
      </c>
      <c r="I301" s="42" t="inlineStr">
        <is>
          <t>HB-DEP-01</t>
        </is>
      </c>
      <c r="J301" s="42" t="n"/>
      <c r="K301" s="43">
        <f>IF($I301="Excluded","Excluded",IF(H301="N/A","N/A",IFERROR(INDEX(BL_COVERAGE,MATCH($I301,BL_IDS,0))&amp;"","Mapping error")))</f>
        <v/>
      </c>
    </row>
    <row r="302" ht="39.75" customHeight="1" s="19">
      <c r="A302" s="42" t="inlineStr">
        <is>
          <t>V15.1.3</t>
        </is>
      </c>
      <c r="B302" s="40" t="inlineStr">
        <is>
          <t>V15 - Secure Coding and Architecture</t>
        </is>
      </c>
      <c r="C302" s="40" t="inlineStr">
        <is>
          <t>V15.1 - Secure Coding and Architecture Documentation</t>
        </is>
      </c>
      <c r="D302" s="42" t="n">
        <v>2</v>
      </c>
      <c r="E302" s="40"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F302" s="40" t="inlineStr">
        <is>
          <t>Always</t>
        </is>
      </c>
      <c r="G302" s="42" t="inlineStr">
        <is>
          <t>TRUE</t>
        </is>
      </c>
      <c r="H302" s="43">
        <f>IF(AND(TRUE(),D302&lt;=TARGET_LEVEL_NUM),"Applicable","N/A")</f>
        <v/>
      </c>
      <c r="I302" s="42" t="inlineStr">
        <is>
          <t>HB-AVAIL-01</t>
        </is>
      </c>
      <c r="J302" s="42" t="n"/>
      <c r="K302" s="43">
        <f>IF($I302="Excluded","Excluded",IF(H302="N/A","N/A",IFERROR(INDEX(BL_COVERAGE,MATCH($I302,BL_IDS,0))&amp;"","Mapping error")))</f>
        <v/>
      </c>
    </row>
    <row r="303" ht="39.75" customHeight="1" s="19">
      <c r="A303" s="42" t="inlineStr">
        <is>
          <t>V15.1.4</t>
        </is>
      </c>
      <c r="B303" s="40" t="inlineStr">
        <is>
          <t>V15 - Secure Coding and Architecture</t>
        </is>
      </c>
      <c r="C303" s="40" t="inlineStr">
        <is>
          <t>V15.1 - Secure Coding and Architecture Documentation</t>
        </is>
      </c>
      <c r="D303" s="42" t="n">
        <v>3</v>
      </c>
      <c r="E303" s="40" t="inlineStr">
        <is>
          <t>Verify that application documentation highlights third-party libraries which are considered to be "risky components".</t>
        </is>
      </c>
      <c r="F303" s="40" t="inlineStr">
        <is>
          <t>Always</t>
        </is>
      </c>
      <c r="G303" s="42" t="inlineStr">
        <is>
          <t>TRUE</t>
        </is>
      </c>
      <c r="H303" s="43">
        <f>IF(AND(TRUE(),D303&lt;=TARGET_LEVEL_NUM),"Applicable","N/A")</f>
        <v/>
      </c>
      <c r="I303" s="42" t="inlineStr">
        <is>
          <t>HB-DEP-02</t>
        </is>
      </c>
      <c r="J303" s="42" t="n"/>
      <c r="K303" s="43">
        <f>IF($I303="Excluded","Excluded",IF(H303="N/A","N/A",IFERROR(INDEX(BL_COVERAGE,MATCH($I303,BL_IDS,0))&amp;"","Mapping error")))</f>
        <v/>
      </c>
    </row>
    <row r="304" ht="39.75" customHeight="1" s="19">
      <c r="A304" s="42" t="inlineStr">
        <is>
          <t>V15.1.5</t>
        </is>
      </c>
      <c r="B304" s="40" t="inlineStr">
        <is>
          <t>V15 - Secure Coding and Architecture</t>
        </is>
      </c>
      <c r="C304" s="40" t="inlineStr">
        <is>
          <t>V15.1 - Secure Coding and Architecture Documentation</t>
        </is>
      </c>
      <c r="D304" s="42" t="n">
        <v>3</v>
      </c>
      <c r="E304" s="40" t="inlineStr">
        <is>
          <t>Verify that application documentation highlights parts of the application where "dangerous functionality" is being used.</t>
        </is>
      </c>
      <c r="F304" s="40" t="inlineStr">
        <is>
          <t>Always</t>
        </is>
      </c>
      <c r="G304" s="42" t="inlineStr">
        <is>
          <t>TRUE</t>
        </is>
      </c>
      <c r="H304" s="43">
        <f>IF(AND(TRUE(),D304&lt;=TARGET_LEVEL_NUM),"Applicable","N/A")</f>
        <v/>
      </c>
      <c r="I304" s="42" t="inlineStr">
        <is>
          <t>HB-DEP-02</t>
        </is>
      </c>
      <c r="J304" s="42" t="n"/>
      <c r="K304" s="43">
        <f>IF($I304="Excluded","Excluded",IF(H304="N/A","N/A",IFERROR(INDEX(BL_COVERAGE,MATCH($I304,BL_IDS,0))&amp;"","Mapping error")))</f>
        <v/>
      </c>
    </row>
    <row r="305" ht="39.75" customHeight="1" s="19">
      <c r="A305" s="42" t="inlineStr">
        <is>
          <t>V15.2.1</t>
        </is>
      </c>
      <c r="B305" s="40" t="inlineStr">
        <is>
          <t>V15 - Secure Coding and Architecture</t>
        </is>
      </c>
      <c r="C305" s="40" t="inlineStr">
        <is>
          <t>V15.2 - Security Architecture and Dependencies</t>
        </is>
      </c>
      <c r="D305" s="42" t="n">
        <v>1</v>
      </c>
      <c r="E305" s="40" t="inlineStr">
        <is>
          <t>Verify that the application only contains components which have not breached the documented update and remediation time frames.</t>
        </is>
      </c>
      <c r="F305" s="40" t="inlineStr">
        <is>
          <t>Always</t>
        </is>
      </c>
      <c r="G305" s="42" t="inlineStr">
        <is>
          <t>TRUE</t>
        </is>
      </c>
      <c r="H305" s="43">
        <f>IF(AND(TRUE(),D305&lt;=TARGET_LEVEL_NUM),"Applicable","N/A")</f>
        <v/>
      </c>
      <c r="I305" s="42" t="inlineStr">
        <is>
          <t>HB-DEP-01</t>
        </is>
      </c>
      <c r="J305" s="42" t="n"/>
      <c r="K305" s="43">
        <f>IF($I305="Excluded","Excluded",IF(H305="N/A","N/A",IFERROR(INDEX(BL_COVERAGE,MATCH($I305,BL_IDS,0))&amp;"","Mapping error")))</f>
        <v/>
      </c>
    </row>
    <row r="306" ht="39.75" customHeight="1" s="19">
      <c r="A306" s="42" t="inlineStr">
        <is>
          <t>V15.2.2</t>
        </is>
      </c>
      <c r="B306" s="40" t="inlineStr">
        <is>
          <t>V15 - Secure Coding and Architecture</t>
        </is>
      </c>
      <c r="C306" s="40" t="inlineStr">
        <is>
          <t>V15.2 - Security Architecture and Dependencies</t>
        </is>
      </c>
      <c r="D306" s="42" t="n">
        <v>2</v>
      </c>
      <c r="E306" s="40" t="inlineStr">
        <is>
          <t>Verify that the application has implemented defenses against loss of availability due to functionality which is time-consuming or resource-demanding, based on the documented security decisions and strategies for this.</t>
        </is>
      </c>
      <c r="F306" s="40" t="inlineStr">
        <is>
          <t>Always</t>
        </is>
      </c>
      <c r="G306" s="42" t="inlineStr">
        <is>
          <t>TRUE</t>
        </is>
      </c>
      <c r="H306" s="43">
        <f>IF(AND(TRUE(),D306&lt;=TARGET_LEVEL_NUM),"Applicable","N/A")</f>
        <v/>
      </c>
      <c r="I306" s="42" t="inlineStr">
        <is>
          <t>HB-AVAIL-01</t>
        </is>
      </c>
      <c r="J306" s="42" t="n"/>
      <c r="K306" s="43">
        <f>IF($I306="Excluded","Excluded",IF(H306="N/A","N/A",IFERROR(INDEX(BL_COVERAGE,MATCH($I306,BL_IDS,0))&amp;"","Mapping error")))</f>
        <v/>
      </c>
    </row>
    <row r="307" ht="39.75" customHeight="1" s="19">
      <c r="A307" s="42" t="inlineStr">
        <is>
          <t>V15.2.3</t>
        </is>
      </c>
      <c r="B307" s="40" t="inlineStr">
        <is>
          <t>V15 - Secure Coding and Architecture</t>
        </is>
      </c>
      <c r="C307" s="40" t="inlineStr">
        <is>
          <t>V15.2 - Security Architecture and Dependencies</t>
        </is>
      </c>
      <c r="D307" s="42" t="n">
        <v>2</v>
      </c>
      <c r="E307" s="40" t="inlineStr">
        <is>
          <t>Verify that the production environment only includes functionality that is required for the application to function, and does not expose extraneous functionality such as test code, sample snippets, and development functionality.</t>
        </is>
      </c>
      <c r="F307" s="40" t="inlineStr">
        <is>
          <t>Always</t>
        </is>
      </c>
      <c r="G307" s="42" t="inlineStr">
        <is>
          <t>TRUE</t>
        </is>
      </c>
      <c r="H307" s="43">
        <f>IF(AND(TRUE(),D307&lt;=TARGET_LEVEL_NUM),"Applicable","N/A")</f>
        <v/>
      </c>
      <c r="I307" s="42" t="inlineStr">
        <is>
          <t>HB-CFG-03</t>
        </is>
      </c>
      <c r="J307" s="42" t="n"/>
      <c r="K307" s="43">
        <f>IF($I307="Excluded","Excluded",IF(H307="N/A","N/A",IFERROR(INDEX(BL_COVERAGE,MATCH($I307,BL_IDS,0))&amp;"","Mapping error")))</f>
        <v/>
      </c>
    </row>
    <row r="308" ht="39.75" customHeight="1" s="19">
      <c r="A308" s="42" t="inlineStr">
        <is>
          <t>V15.2.4</t>
        </is>
      </c>
      <c r="B308" s="40" t="inlineStr">
        <is>
          <t>V15 - Secure Coding and Architecture</t>
        </is>
      </c>
      <c r="C308" s="40" t="inlineStr">
        <is>
          <t>V15.2 - Security Architecture and Dependencies</t>
        </is>
      </c>
      <c r="D308" s="42" t="n">
        <v>3</v>
      </c>
      <c r="E308" s="40" t="inlineStr">
        <is>
          <t>Verify that third-party components and all of their transitive dependencies are included from the expected repository, whether internally owned or an external source, and that there is no risk of a dependency confusion attack.</t>
        </is>
      </c>
      <c r="F308" s="40" t="inlineStr">
        <is>
          <t>Always</t>
        </is>
      </c>
      <c r="G308" s="42" t="inlineStr">
        <is>
          <t>TRUE</t>
        </is>
      </c>
      <c r="H308" s="43">
        <f>IF(AND(TRUE(),D308&lt;=TARGET_LEVEL_NUM),"Applicable","N/A")</f>
        <v/>
      </c>
      <c r="I308" s="42" t="inlineStr">
        <is>
          <t>HB-DEP-01</t>
        </is>
      </c>
      <c r="J308" s="42" t="n"/>
      <c r="K308" s="43">
        <f>IF($I308="Excluded","Excluded",IF(H308="N/A","N/A",IFERROR(INDEX(BL_COVERAGE,MATCH($I308,BL_IDS,0))&amp;"","Mapping error")))</f>
        <v/>
      </c>
    </row>
    <row r="309" ht="39.75" customHeight="1" s="19">
      <c r="A309" s="42" t="inlineStr">
        <is>
          <t>V15.2.5</t>
        </is>
      </c>
      <c r="B309" s="40" t="inlineStr">
        <is>
          <t>V15 - Secure Coding and Architecture</t>
        </is>
      </c>
      <c r="C309" s="40" t="inlineStr">
        <is>
          <t>V15.2 - Security Architecture and Dependencies</t>
        </is>
      </c>
      <c r="D309" s="42" t="n">
        <v>3</v>
      </c>
      <c r="E309" s="40"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F309" s="40" t="inlineStr">
        <is>
          <t>Always</t>
        </is>
      </c>
      <c r="G309" s="42" t="inlineStr">
        <is>
          <t>TRUE</t>
        </is>
      </c>
      <c r="H309" s="43">
        <f>IF(AND(TRUE(),D309&lt;=TARGET_LEVEL_NUM),"Applicable","N/A")</f>
        <v/>
      </c>
      <c r="I309" s="42" t="inlineStr">
        <is>
          <t>HB-DEP-02</t>
        </is>
      </c>
      <c r="J309" s="42" t="n"/>
      <c r="K309" s="43">
        <f>IF($I309="Excluded","Excluded",IF(H309="N/A","N/A",IFERROR(INDEX(BL_COVERAGE,MATCH($I309,BL_IDS,0))&amp;"","Mapping error")))</f>
        <v/>
      </c>
    </row>
    <row r="310" ht="39.75" customHeight="1" s="19">
      <c r="A310" s="42" t="inlineStr">
        <is>
          <t>V15.3.1</t>
        </is>
      </c>
      <c r="B310" s="40" t="inlineStr">
        <is>
          <t>V15 - Secure Coding and Architecture</t>
        </is>
      </c>
      <c r="C310" s="40" t="inlineStr">
        <is>
          <t>V15.3 - Defensive Coding</t>
        </is>
      </c>
      <c r="D310" s="42" t="n">
        <v>1</v>
      </c>
      <c r="E310" s="40" t="inlineStr">
        <is>
          <t>Verify that the application only returns the required subset of fields from a data object. For example, it should not return an entire data object, as some individual fields should not be accessible to users.</t>
        </is>
      </c>
      <c r="F310" s="40" t="inlineStr">
        <is>
          <t>Always</t>
        </is>
      </c>
      <c r="G310" s="42" t="inlineStr">
        <is>
          <t>TRUE</t>
        </is>
      </c>
      <c r="H310" s="43">
        <f>IF(AND(TRUE(),D310&lt;=TARGET_LEVEL_NUM),"Applicable","N/A")</f>
        <v/>
      </c>
      <c r="I310" s="42" t="inlineStr">
        <is>
          <t>HB-AUTHZ-02</t>
        </is>
      </c>
      <c r="J310" s="42" t="n"/>
      <c r="K310" s="43">
        <f>IF($I310="Excluded","Excluded",IF(H310="N/A","N/A",IFERROR(INDEX(BL_COVERAGE,MATCH($I310,BL_IDS,0))&amp;"","Mapping error")))</f>
        <v/>
      </c>
    </row>
    <row r="311" ht="39.75" customHeight="1" s="19">
      <c r="A311" s="42" t="inlineStr">
        <is>
          <t>V15.3.2</t>
        </is>
      </c>
      <c r="B311" s="40" t="inlineStr">
        <is>
          <t>V15 - Secure Coding and Architecture</t>
        </is>
      </c>
      <c r="C311" s="40" t="inlineStr">
        <is>
          <t>V15.3 - Defensive Coding</t>
        </is>
      </c>
      <c r="D311" s="42" t="n">
        <v>2</v>
      </c>
      <c r="E311" s="40" t="inlineStr">
        <is>
          <t>Verify that where the application backend makes calls to external URLs, it is configured to not follow redirects unless it is intended functionality.</t>
        </is>
      </c>
      <c r="F311" s="40" t="inlineStr">
        <is>
          <t>Always</t>
        </is>
      </c>
      <c r="G311" s="42" t="inlineStr">
        <is>
          <t>TRUE</t>
        </is>
      </c>
      <c r="H311" s="43">
        <f>IF(AND(TRUE(),D311&lt;=TARGET_LEVEL_NUM),"Applicable","N/A")</f>
        <v/>
      </c>
      <c r="I311" s="42" t="inlineStr">
        <is>
          <t>HB-CFG-04</t>
        </is>
      </c>
      <c r="J311" s="42" t="n"/>
      <c r="K311" s="43">
        <f>IF($I311="Excluded","Excluded",IF(H311="N/A","N/A",IFERROR(INDEX(BL_COVERAGE,MATCH($I311,BL_IDS,0))&amp;"","Mapping error")))</f>
        <v/>
      </c>
    </row>
    <row r="312" ht="39.75" customHeight="1" s="19">
      <c r="A312" s="42" t="inlineStr">
        <is>
          <t>V15.3.3</t>
        </is>
      </c>
      <c r="B312" s="40" t="inlineStr">
        <is>
          <t>V15 - Secure Coding and Architecture</t>
        </is>
      </c>
      <c r="C312" s="40" t="inlineStr">
        <is>
          <t>V15.3 - Defensive Coding</t>
        </is>
      </c>
      <c r="D312" s="42" t="n">
        <v>2</v>
      </c>
      <c r="E312" s="40" t="inlineStr">
        <is>
          <t>Verify that the application has countermeasures to protect against mass assignment attacks by limiting allowed fields per controller and action, e.g., it is not possible to insert or update a field value when it was not intended to be part of that action.</t>
        </is>
      </c>
      <c r="F312" s="40" t="inlineStr">
        <is>
          <t>Always</t>
        </is>
      </c>
      <c r="G312" s="42" t="inlineStr">
        <is>
          <t>TRUE</t>
        </is>
      </c>
      <c r="H312" s="43">
        <f>IF(AND(TRUE(),D312&lt;=TARGET_LEVEL_NUM),"Applicable","N/A")</f>
        <v/>
      </c>
      <c r="I312" s="42" t="inlineStr">
        <is>
          <t>HB-AUTHZ-02</t>
        </is>
      </c>
      <c r="J312" s="42" t="n"/>
      <c r="K312" s="43">
        <f>IF($I312="Excluded","Excluded",IF(H312="N/A","N/A",IFERROR(INDEX(BL_COVERAGE,MATCH($I312,BL_IDS,0))&amp;"","Mapping error")))</f>
        <v/>
      </c>
    </row>
    <row r="313" ht="39.75" customHeight="1" s="19">
      <c r="A313" s="42" t="inlineStr">
        <is>
          <t>V15.3.4</t>
        </is>
      </c>
      <c r="B313" s="40" t="inlineStr">
        <is>
          <t>V15 - Secure Coding and Architecture</t>
        </is>
      </c>
      <c r="C313" s="40" t="inlineStr">
        <is>
          <t>V15.3 - Defensive Coding</t>
        </is>
      </c>
      <c r="D313" s="42" t="n">
        <v>2</v>
      </c>
      <c r="E313" s="40"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F313" s="40" t="inlineStr">
        <is>
          <t>Always</t>
        </is>
      </c>
      <c r="G313" s="42" t="inlineStr">
        <is>
          <t>TRUE</t>
        </is>
      </c>
      <c r="H313" s="43">
        <f>IF(AND(TRUE(),D313&lt;=TARGET_LEVEL_NUM),"Applicable","N/A")</f>
        <v/>
      </c>
      <c r="I313" s="42" t="inlineStr">
        <is>
          <t>HB-API-01</t>
        </is>
      </c>
      <c r="J313" s="42" t="n"/>
      <c r="K313" s="43">
        <f>IF($I313="Excluded","Excluded",IF(H313="N/A","N/A",IFERROR(INDEX(BL_COVERAGE,MATCH($I313,BL_IDS,0))&amp;"","Mapping error")))</f>
        <v/>
      </c>
    </row>
    <row r="314" ht="39.75" customHeight="1" s="19">
      <c r="A314" s="42" t="inlineStr">
        <is>
          <t>V15.3.5</t>
        </is>
      </c>
      <c r="B314" s="40" t="inlineStr">
        <is>
          <t>V15 - Secure Coding and Architecture</t>
        </is>
      </c>
      <c r="C314" s="40" t="inlineStr">
        <is>
          <t>V15.3 - Defensive Coding</t>
        </is>
      </c>
      <c r="D314" s="42" t="n">
        <v>2</v>
      </c>
      <c r="E314" s="40"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F314" s="40" t="inlineStr">
        <is>
          <t>Always</t>
        </is>
      </c>
      <c r="G314" s="42" t="inlineStr">
        <is>
          <t>TRUE</t>
        </is>
      </c>
      <c r="H314" s="43">
        <f>IF(AND(TRUE(),D314&lt;=TARGET_LEVEL_NUM),"Applicable","N/A")</f>
        <v/>
      </c>
      <c r="I314" s="42" t="inlineStr">
        <is>
          <t>HB-CODE-01</t>
        </is>
      </c>
      <c r="J314" s="42" t="n"/>
      <c r="K314" s="43">
        <f>IF($I314="Excluded","Excluded",IF(H314="N/A","N/A",IFERROR(INDEX(BL_COVERAGE,MATCH($I314,BL_IDS,0))&amp;"","Mapping error")))</f>
        <v/>
      </c>
    </row>
    <row r="315" ht="39.75" customHeight="1" s="19">
      <c r="A315" s="42" t="inlineStr">
        <is>
          <t>V15.3.6</t>
        </is>
      </c>
      <c r="B315" s="40" t="inlineStr">
        <is>
          <t>V15 - Secure Coding and Architecture</t>
        </is>
      </c>
      <c r="C315" s="40" t="inlineStr">
        <is>
          <t>V15.3 - Defensive Coding</t>
        </is>
      </c>
      <c r="D315" s="42" t="n">
        <v>2</v>
      </c>
      <c r="E315" s="40" t="inlineStr">
        <is>
          <t>Verify that JavaScript code is written in a way that prevents prototype pollution, for example, by using Set() or Map() instead of object literals.</t>
        </is>
      </c>
      <c r="F315" s="40" t="inlineStr">
        <is>
          <t>Always</t>
        </is>
      </c>
      <c r="G315" s="42" t="inlineStr">
        <is>
          <t>TRUE</t>
        </is>
      </c>
      <c r="H315" s="43">
        <f>IF(AND(TRUE(),D315&lt;=TARGET_LEVEL_NUM),"Applicable","N/A")</f>
        <v/>
      </c>
      <c r="I315" s="42" t="inlineStr">
        <is>
          <t>HB-CODE-01</t>
        </is>
      </c>
      <c r="J315" s="42" t="n"/>
      <c r="K315" s="43">
        <f>IF($I315="Excluded","Excluded",IF(H315="N/A","N/A",IFERROR(INDEX(BL_COVERAGE,MATCH($I315,BL_IDS,0))&amp;"","Mapping error")))</f>
        <v/>
      </c>
    </row>
    <row r="316" ht="39.75" customHeight="1" s="19">
      <c r="A316" s="42" t="inlineStr">
        <is>
          <t>V15.3.7</t>
        </is>
      </c>
      <c r="B316" s="40" t="inlineStr">
        <is>
          <t>V15 - Secure Coding and Architecture</t>
        </is>
      </c>
      <c r="C316" s="40" t="inlineStr">
        <is>
          <t>V15.3 - Defensive Coding</t>
        </is>
      </c>
      <c r="D316" s="42" t="n">
        <v>2</v>
      </c>
      <c r="E316" s="40" t="inlineStr">
        <is>
          <t>Verify that the application has defenses against HTTP parameter pollution attacks, particularly if the application framework makes no distinction about the source of request parameters (query string, body parameters, cookies, or header fields).</t>
        </is>
      </c>
      <c r="F316" s="40" t="inlineStr">
        <is>
          <t>Always</t>
        </is>
      </c>
      <c r="G316" s="42" t="inlineStr">
        <is>
          <t>TRUE</t>
        </is>
      </c>
      <c r="H316" s="43">
        <f>IF(AND(TRUE(),D316&lt;=TARGET_LEVEL_NUM),"Applicable","N/A")</f>
        <v/>
      </c>
      <c r="I316" s="42" t="inlineStr">
        <is>
          <t>HB-API-01</t>
        </is>
      </c>
      <c r="J316" s="42" t="n"/>
      <c r="K316" s="43">
        <f>IF($I316="Excluded","Excluded",IF(H316="N/A","N/A",IFERROR(INDEX(BL_COVERAGE,MATCH($I316,BL_IDS,0))&amp;"","Mapping error")))</f>
        <v/>
      </c>
    </row>
    <row r="317" ht="39.75" customHeight="1" s="19">
      <c r="A317" s="42" t="inlineStr">
        <is>
          <t>V15.4.1</t>
        </is>
      </c>
      <c r="B317" s="40" t="inlineStr">
        <is>
          <t>V15 - Secure Coding and Architecture</t>
        </is>
      </c>
      <c r="C317" s="40" t="inlineStr">
        <is>
          <t>V15.4 - Safe Concurrency</t>
        </is>
      </c>
      <c r="D317" s="42" t="n">
        <v>3</v>
      </c>
      <c r="E317" s="40"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F317" s="40" t="inlineStr">
        <is>
          <t>Always</t>
        </is>
      </c>
      <c r="G317" s="42" t="inlineStr">
        <is>
          <t>TRUE</t>
        </is>
      </c>
      <c r="H317" s="43">
        <f>IF(AND(TRUE(),D317&lt;=TARGET_LEVEL_NUM),"Applicable","N/A")</f>
        <v/>
      </c>
      <c r="I317" s="42" t="inlineStr">
        <is>
          <t>HB-BIZ-01</t>
        </is>
      </c>
      <c r="J317" s="42" t="n"/>
      <c r="K317" s="43">
        <f>IF($I317="Excluded","Excluded",IF(H317="N/A","N/A",IFERROR(INDEX(BL_COVERAGE,MATCH($I317,BL_IDS,0))&amp;"","Mapping error")))</f>
        <v/>
      </c>
    </row>
    <row r="318" ht="39.75" customHeight="1" s="19">
      <c r="A318" s="42" t="inlineStr">
        <is>
          <t>V15.4.2</t>
        </is>
      </c>
      <c r="B318" s="40" t="inlineStr">
        <is>
          <t>V15 - Secure Coding and Architecture</t>
        </is>
      </c>
      <c r="C318" s="40" t="inlineStr">
        <is>
          <t>V15.4 - Safe Concurrency</t>
        </is>
      </c>
      <c r="D318" s="42" t="n">
        <v>3</v>
      </c>
      <c r="E318" s="40"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F318" s="40" t="inlineStr">
        <is>
          <t>Always</t>
        </is>
      </c>
      <c r="G318" s="42" t="inlineStr">
        <is>
          <t>TRUE</t>
        </is>
      </c>
      <c r="H318" s="43">
        <f>IF(AND(TRUE(),D318&lt;=TARGET_LEVEL_NUM),"Applicable","N/A")</f>
        <v/>
      </c>
      <c r="I318" s="42" t="inlineStr">
        <is>
          <t>HB-BIZ-01</t>
        </is>
      </c>
      <c r="J318" s="42" t="n"/>
      <c r="K318" s="43">
        <f>IF($I318="Excluded","Excluded",IF(H318="N/A","N/A",IFERROR(INDEX(BL_COVERAGE,MATCH($I318,BL_IDS,0))&amp;"","Mapping error")))</f>
        <v/>
      </c>
    </row>
    <row r="319" ht="39.75" customHeight="1" s="19">
      <c r="A319" s="42" t="inlineStr">
        <is>
          <t>V15.4.3</t>
        </is>
      </c>
      <c r="B319" s="40" t="inlineStr">
        <is>
          <t>V15 - Secure Coding and Architecture</t>
        </is>
      </c>
      <c r="C319" s="40" t="inlineStr">
        <is>
          <t>V15.4 - Safe Concurrency</t>
        </is>
      </c>
      <c r="D319" s="42" t="n">
        <v>3</v>
      </c>
      <c r="E319" s="40"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F319" s="40" t="inlineStr">
        <is>
          <t>Always</t>
        </is>
      </c>
      <c r="G319" s="42" t="inlineStr">
        <is>
          <t>TRUE</t>
        </is>
      </c>
      <c r="H319" s="43">
        <f>IF(AND(TRUE(),D319&lt;=TARGET_LEVEL_NUM),"Applicable","N/A")</f>
        <v/>
      </c>
      <c r="I319" s="42" t="inlineStr">
        <is>
          <t>HB-AVAIL-01</t>
        </is>
      </c>
      <c r="J319" s="42" t="n"/>
      <c r="K319" s="43">
        <f>IF($I319="Excluded","Excluded",IF(H319="N/A","N/A",IFERROR(INDEX(BL_COVERAGE,MATCH($I319,BL_IDS,0))&amp;"","Mapping error")))</f>
        <v/>
      </c>
    </row>
    <row r="320" ht="39.75" customHeight="1" s="19">
      <c r="A320" s="42" t="inlineStr">
        <is>
          <t>V15.4.4</t>
        </is>
      </c>
      <c r="B320" s="40" t="inlineStr">
        <is>
          <t>V15 - Secure Coding and Architecture</t>
        </is>
      </c>
      <c r="C320" s="40" t="inlineStr">
        <is>
          <t>V15.4 - Safe Concurrency</t>
        </is>
      </c>
      <c r="D320" s="42" t="n">
        <v>3</v>
      </c>
      <c r="E320" s="40" t="inlineStr">
        <is>
          <t>Verify that resource allocation policies prevent thread starvation by ensuring fair access to resources, such as by leveraging thread pools, allowing lower-priority threads to proceed within a reasonable timeframe.</t>
        </is>
      </c>
      <c r="F320" s="40" t="inlineStr">
        <is>
          <t>Always</t>
        </is>
      </c>
      <c r="G320" s="42" t="inlineStr">
        <is>
          <t>TRUE</t>
        </is>
      </c>
      <c r="H320" s="43">
        <f>IF(AND(TRUE(),D320&lt;=TARGET_LEVEL_NUM),"Applicable","N/A")</f>
        <v/>
      </c>
      <c r="I320" s="42" t="inlineStr">
        <is>
          <t>HB-AVAIL-01</t>
        </is>
      </c>
      <c r="J320" s="42" t="n"/>
      <c r="K320" s="43">
        <f>IF($I320="Excluded","Excluded",IF(H320="N/A","N/A",IFERROR(INDEX(BL_COVERAGE,MATCH($I320,BL_IDS,0))&amp;"","Mapping error")))</f>
        <v/>
      </c>
    </row>
    <row r="321" ht="39.75" customHeight="1" s="19">
      <c r="A321" s="42" t="inlineStr">
        <is>
          <t>V16.1.1</t>
        </is>
      </c>
      <c r="B321" s="40" t="inlineStr">
        <is>
          <t>V16 - Security Logging and Error Handling</t>
        </is>
      </c>
      <c r="C321" s="40" t="inlineStr">
        <is>
          <t>V16.1 - Security Logging Documentation</t>
        </is>
      </c>
      <c r="D321" s="42" t="n">
        <v>2</v>
      </c>
      <c r="E321" s="40"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F321" s="40" t="inlineStr">
        <is>
          <t>Always</t>
        </is>
      </c>
      <c r="G321" s="42" t="inlineStr">
        <is>
          <t>TRUE</t>
        </is>
      </c>
      <c r="H321" s="43">
        <f>IF(AND(TRUE(),D321&lt;=TARGET_LEVEL_NUM),"Applicable","N/A")</f>
        <v/>
      </c>
      <c r="I321" s="42" t="inlineStr">
        <is>
          <t>HB-LOG-02</t>
        </is>
      </c>
      <c r="J321" s="42" t="n"/>
      <c r="K321" s="43">
        <f>IF($I321="Excluded","Excluded",IF(H321="N/A","N/A",IFERROR(INDEX(BL_COVERAGE,MATCH($I321,BL_IDS,0))&amp;"","Mapping error")))</f>
        <v/>
      </c>
    </row>
    <row r="322" ht="39.75" customHeight="1" s="19">
      <c r="A322" s="42" t="inlineStr">
        <is>
          <t>V16.2.1</t>
        </is>
      </c>
      <c r="B322" s="40" t="inlineStr">
        <is>
          <t>V16 - Security Logging and Error Handling</t>
        </is>
      </c>
      <c r="C322" s="40" t="inlineStr">
        <is>
          <t>V16.2 - General Logging</t>
        </is>
      </c>
      <c r="D322" s="42" t="n">
        <v>2</v>
      </c>
      <c r="E322" s="40" t="inlineStr">
        <is>
          <t>Verify that each log entry includes necessary metadata (such as when, where, who, what) that would allow for a detailed investigation of the timeline when an event happens.</t>
        </is>
      </c>
      <c r="F322" s="40" t="inlineStr">
        <is>
          <t>Always</t>
        </is>
      </c>
      <c r="G322" s="42" t="inlineStr">
        <is>
          <t>TRUE</t>
        </is>
      </c>
      <c r="H322" s="43">
        <f>IF(AND(TRUE(),D322&lt;=TARGET_LEVEL_NUM),"Applicable","N/A")</f>
        <v/>
      </c>
      <c r="I322" s="42" t="inlineStr">
        <is>
          <t>HB-LOG-02</t>
        </is>
      </c>
      <c r="J322" s="42" t="n"/>
      <c r="K322" s="43">
        <f>IF($I322="Excluded","Excluded",IF(H322="N/A","N/A",IFERROR(INDEX(BL_COVERAGE,MATCH($I322,BL_IDS,0))&amp;"","Mapping error")))</f>
        <v/>
      </c>
    </row>
    <row r="323" ht="39.75" customHeight="1" s="19">
      <c r="A323" s="42" t="inlineStr">
        <is>
          <t>V16.2.2</t>
        </is>
      </c>
      <c r="B323" s="40" t="inlineStr">
        <is>
          <t>V16 - Security Logging and Error Handling</t>
        </is>
      </c>
      <c r="C323" s="40" t="inlineStr">
        <is>
          <t>V16.2 - General Logging</t>
        </is>
      </c>
      <c r="D323" s="42" t="n">
        <v>2</v>
      </c>
      <c r="E323" s="40"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F323" s="40" t="inlineStr">
        <is>
          <t>Always</t>
        </is>
      </c>
      <c r="G323" s="42" t="inlineStr">
        <is>
          <t>TRUE</t>
        </is>
      </c>
      <c r="H323" s="43">
        <f>IF(AND(TRUE(),D323&lt;=TARGET_LEVEL_NUM),"Applicable","N/A")</f>
        <v/>
      </c>
      <c r="I323" s="42" t="inlineStr">
        <is>
          <t>HB-LOG-02</t>
        </is>
      </c>
      <c r="J323" s="42" t="n"/>
      <c r="K323" s="43">
        <f>IF($I323="Excluded","Excluded",IF(H323="N/A","N/A",IFERROR(INDEX(BL_COVERAGE,MATCH($I323,BL_IDS,0))&amp;"","Mapping error")))</f>
        <v/>
      </c>
    </row>
    <row r="324" ht="39.75" customHeight="1" s="19">
      <c r="A324" s="42" t="inlineStr">
        <is>
          <t>V16.2.3</t>
        </is>
      </c>
      <c r="B324" s="40" t="inlineStr">
        <is>
          <t>V16 - Security Logging and Error Handling</t>
        </is>
      </c>
      <c r="C324" s="40" t="inlineStr">
        <is>
          <t>V16.2 - General Logging</t>
        </is>
      </c>
      <c r="D324" s="42" t="n">
        <v>2</v>
      </c>
      <c r="E324" s="40" t="inlineStr">
        <is>
          <t>Verify that the application only stores or broadcasts logs to the files and services that are documented in the log inventory.</t>
        </is>
      </c>
      <c r="F324" s="40" t="inlineStr">
        <is>
          <t>Always</t>
        </is>
      </c>
      <c r="G324" s="42" t="inlineStr">
        <is>
          <t>TRUE</t>
        </is>
      </c>
      <c r="H324" s="43">
        <f>IF(AND(TRUE(),D324&lt;=TARGET_LEVEL_NUM),"Applicable","N/A")</f>
        <v/>
      </c>
      <c r="I324" s="42" t="inlineStr">
        <is>
          <t>HB-LOG-02</t>
        </is>
      </c>
      <c r="J324" s="42" t="n"/>
      <c r="K324" s="43">
        <f>IF($I324="Excluded","Excluded",IF(H324="N/A","N/A",IFERROR(INDEX(BL_COVERAGE,MATCH($I324,BL_IDS,0))&amp;"","Mapping error")))</f>
        <v/>
      </c>
    </row>
    <row r="325" ht="39.75" customHeight="1" s="19">
      <c r="A325" s="42" t="inlineStr">
        <is>
          <t>V16.2.4</t>
        </is>
      </c>
      <c r="B325" s="40" t="inlineStr">
        <is>
          <t>V16 - Security Logging and Error Handling</t>
        </is>
      </c>
      <c r="C325" s="40" t="inlineStr">
        <is>
          <t>V16.2 - General Logging</t>
        </is>
      </c>
      <c r="D325" s="42" t="n">
        <v>2</v>
      </c>
      <c r="E325" s="40" t="inlineStr">
        <is>
          <t>Verify that logs can be read and correlated by the log processor that is in use, preferably by using a common logging format.</t>
        </is>
      </c>
      <c r="F325" s="40" t="inlineStr">
        <is>
          <t>Always</t>
        </is>
      </c>
      <c r="G325" s="42" t="inlineStr">
        <is>
          <t>TRUE</t>
        </is>
      </c>
      <c r="H325" s="43">
        <f>IF(AND(TRUE(),D325&lt;=TARGET_LEVEL_NUM),"Applicable","N/A")</f>
        <v/>
      </c>
      <c r="I325" s="42" t="inlineStr">
        <is>
          <t>HB-LOG-02</t>
        </is>
      </c>
      <c r="J325" s="42" t="n"/>
      <c r="K325" s="43">
        <f>IF($I325="Excluded","Excluded",IF(H325="N/A","N/A",IFERROR(INDEX(BL_COVERAGE,MATCH($I325,BL_IDS,0))&amp;"","Mapping error")))</f>
        <v/>
      </c>
    </row>
    <row r="326" ht="39.75" customHeight="1" s="19">
      <c r="A326" s="42" t="inlineStr">
        <is>
          <t>V16.2.5</t>
        </is>
      </c>
      <c r="B326" s="40" t="inlineStr">
        <is>
          <t>V16 - Security Logging and Error Handling</t>
        </is>
      </c>
      <c r="C326" s="40" t="inlineStr">
        <is>
          <t>V16.2 - General Logging</t>
        </is>
      </c>
      <c r="D326" s="42" t="n">
        <v>2</v>
      </c>
      <c r="E326" s="40"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F326" s="40" t="inlineStr">
        <is>
          <t>Always</t>
        </is>
      </c>
      <c r="G326" s="42" t="inlineStr">
        <is>
          <t>TRUE</t>
        </is>
      </c>
      <c r="H326" s="43">
        <f>IF(AND(TRUE(),D326&lt;=TARGET_LEVEL_NUM),"Applicable","N/A")</f>
        <v/>
      </c>
      <c r="I326" s="42" t="inlineStr">
        <is>
          <t>HB-LOG-02</t>
        </is>
      </c>
      <c r="J326" s="42" t="n"/>
      <c r="K326" s="43">
        <f>IF($I326="Excluded","Excluded",IF(H326="N/A","N/A",IFERROR(INDEX(BL_COVERAGE,MATCH($I326,BL_IDS,0))&amp;"","Mapping error")))</f>
        <v/>
      </c>
    </row>
    <row r="327" ht="39.75" customHeight="1" s="19">
      <c r="A327" s="42" t="inlineStr">
        <is>
          <t>V16.3.1</t>
        </is>
      </c>
      <c r="B327" s="40" t="inlineStr">
        <is>
          <t>V16 - Security Logging and Error Handling</t>
        </is>
      </c>
      <c r="C327" s="40" t="inlineStr">
        <is>
          <t>V16.3 - Security Events</t>
        </is>
      </c>
      <c r="D327" s="42" t="n">
        <v>2</v>
      </c>
      <c r="E327" s="40" t="inlineStr">
        <is>
          <t>Verify that all authentication operations are logged, including successful and unsuccessful attempts. Additional metadata, such as the type of authentication or factors used, should also be collected.</t>
        </is>
      </c>
      <c r="F327" s="40" t="inlineStr">
        <is>
          <t>Always</t>
        </is>
      </c>
      <c r="G327" s="42" t="inlineStr">
        <is>
          <t>TRUE</t>
        </is>
      </c>
      <c r="H327" s="43">
        <f>IF(AND(TRUE(),D327&lt;=TARGET_LEVEL_NUM),"Applicable","N/A")</f>
        <v/>
      </c>
      <c r="I327" s="42" t="inlineStr">
        <is>
          <t>HB-LOG-01</t>
        </is>
      </c>
      <c r="J327" s="42" t="n"/>
      <c r="K327" s="43">
        <f>IF($I327="Excluded","Excluded",IF(H327="N/A","N/A",IFERROR(INDEX(BL_COVERAGE,MATCH($I327,BL_IDS,0))&amp;"","Mapping error")))</f>
        <v/>
      </c>
    </row>
    <row r="328" ht="39.75" customHeight="1" s="19">
      <c r="A328" s="42" t="inlineStr">
        <is>
          <t>V16.3.2</t>
        </is>
      </c>
      <c r="B328" s="40" t="inlineStr">
        <is>
          <t>V16 - Security Logging and Error Handling</t>
        </is>
      </c>
      <c r="C328" s="40" t="inlineStr">
        <is>
          <t>V16.3 - Security Events</t>
        </is>
      </c>
      <c r="D328" s="42" t="n">
        <v>2</v>
      </c>
      <c r="E328" s="40" t="inlineStr">
        <is>
          <t>Verify that failed authorization attempts are logged. For L3, this must include logging all authorization decisions, including logging when sensitive data is accessed (without logging the sensitive data itself).</t>
        </is>
      </c>
      <c r="F328" s="40" t="inlineStr">
        <is>
          <t>Always</t>
        </is>
      </c>
      <c r="G328" s="42" t="inlineStr">
        <is>
          <t>TRUE</t>
        </is>
      </c>
      <c r="H328" s="43">
        <f>IF(AND(TRUE(),D328&lt;=TARGET_LEVEL_NUM),"Applicable","N/A")</f>
        <v/>
      </c>
      <c r="I328" s="42" t="inlineStr">
        <is>
          <t>HB-LOG-01</t>
        </is>
      </c>
      <c r="J328" s="42" t="n"/>
      <c r="K328" s="43">
        <f>IF($I328="Excluded","Excluded",IF(H328="N/A","N/A",IFERROR(INDEX(BL_COVERAGE,MATCH($I328,BL_IDS,0))&amp;"","Mapping error")))</f>
        <v/>
      </c>
    </row>
    <row r="329" ht="39.75" customHeight="1" s="19">
      <c r="A329" s="42" t="inlineStr">
        <is>
          <t>V16.3.3</t>
        </is>
      </c>
      <c r="B329" s="40" t="inlineStr">
        <is>
          <t>V16 - Security Logging and Error Handling</t>
        </is>
      </c>
      <c r="C329" s="40" t="inlineStr">
        <is>
          <t>V16.3 - Security Events</t>
        </is>
      </c>
      <c r="D329" s="42" t="n">
        <v>2</v>
      </c>
      <c r="E329" s="40" t="inlineStr">
        <is>
          <t>Verify that the application logs the security events that are defined in the documentation and also logs attempts to bypass the security controls, such as input validation, business logic, and anti-automation.</t>
        </is>
      </c>
      <c r="F329" s="40" t="inlineStr">
        <is>
          <t>Always</t>
        </is>
      </c>
      <c r="G329" s="42" t="inlineStr">
        <is>
          <t>TRUE</t>
        </is>
      </c>
      <c r="H329" s="43">
        <f>IF(AND(TRUE(),D329&lt;=TARGET_LEVEL_NUM),"Applicable","N/A")</f>
        <v/>
      </c>
      <c r="I329" s="42" t="inlineStr">
        <is>
          <t>HB-LOG-01</t>
        </is>
      </c>
      <c r="J329" s="42" t="n"/>
      <c r="K329" s="43">
        <f>IF($I329="Excluded","Excluded",IF(H329="N/A","N/A",IFERROR(INDEX(BL_COVERAGE,MATCH($I329,BL_IDS,0))&amp;"","Mapping error")))</f>
        <v/>
      </c>
    </row>
    <row r="330" ht="39.75" customHeight="1" s="19">
      <c r="A330" s="42" t="inlineStr">
        <is>
          <t>V16.3.4</t>
        </is>
      </c>
      <c r="B330" s="40" t="inlineStr">
        <is>
          <t>V16 - Security Logging and Error Handling</t>
        </is>
      </c>
      <c r="C330" s="40" t="inlineStr">
        <is>
          <t>V16.3 - Security Events</t>
        </is>
      </c>
      <c r="D330" s="42" t="n">
        <v>2</v>
      </c>
      <c r="E330" s="40" t="inlineStr">
        <is>
          <t>Verify that the application logs unexpected errors and security control failures such as backend TLS failures.</t>
        </is>
      </c>
      <c r="F330" s="40" t="inlineStr">
        <is>
          <t>Always</t>
        </is>
      </c>
      <c r="G330" s="42" t="inlineStr">
        <is>
          <t>TRUE</t>
        </is>
      </c>
      <c r="H330" s="43">
        <f>IF(AND(TRUE(),D330&lt;=TARGET_LEVEL_NUM),"Applicable","N/A")</f>
        <v/>
      </c>
      <c r="I330" s="42" t="inlineStr">
        <is>
          <t>HB-LOG-01</t>
        </is>
      </c>
      <c r="J330" s="42" t="n"/>
      <c r="K330" s="43">
        <f>IF($I330="Excluded","Excluded",IF(H330="N/A","N/A",IFERROR(INDEX(BL_COVERAGE,MATCH($I330,BL_IDS,0))&amp;"","Mapping error")))</f>
        <v/>
      </c>
    </row>
    <row r="331" ht="39.75" customHeight="1" s="19">
      <c r="A331" s="42" t="inlineStr">
        <is>
          <t>V16.4.1</t>
        </is>
      </c>
      <c r="B331" s="40" t="inlineStr">
        <is>
          <t>V16 - Security Logging and Error Handling</t>
        </is>
      </c>
      <c r="C331" s="40" t="inlineStr">
        <is>
          <t>V16.4 - Log Protection</t>
        </is>
      </c>
      <c r="D331" s="42" t="n">
        <v>2</v>
      </c>
      <c r="E331" s="40" t="inlineStr">
        <is>
          <t>Verify that all logging components appropriately encode data to prevent log injection.</t>
        </is>
      </c>
      <c r="F331" s="40" t="inlineStr">
        <is>
          <t>Always</t>
        </is>
      </c>
      <c r="G331" s="42" t="inlineStr">
        <is>
          <t>TRUE</t>
        </is>
      </c>
      <c r="H331" s="43">
        <f>IF(AND(TRUE(),D331&lt;=TARGET_LEVEL_NUM),"Applicable","N/A")</f>
        <v/>
      </c>
      <c r="I331" s="42" t="inlineStr">
        <is>
          <t>HB-LOG-02</t>
        </is>
      </c>
      <c r="J331" s="42" t="n"/>
      <c r="K331" s="43">
        <f>IF($I331="Excluded","Excluded",IF(H331="N/A","N/A",IFERROR(INDEX(BL_COVERAGE,MATCH($I331,BL_IDS,0))&amp;"","Mapping error")))</f>
        <v/>
      </c>
    </row>
    <row r="332" ht="39.75" customHeight="1" s="19">
      <c r="A332" s="42" t="inlineStr">
        <is>
          <t>V16.4.2</t>
        </is>
      </c>
      <c r="B332" s="40" t="inlineStr">
        <is>
          <t>V16 - Security Logging and Error Handling</t>
        </is>
      </c>
      <c r="C332" s="40" t="inlineStr">
        <is>
          <t>V16.4 - Log Protection</t>
        </is>
      </c>
      <c r="D332" s="42" t="n">
        <v>2</v>
      </c>
      <c r="E332" s="40" t="inlineStr">
        <is>
          <t>Verify that logs are protected from unauthorized access and cannot be modified.</t>
        </is>
      </c>
      <c r="F332" s="40" t="inlineStr">
        <is>
          <t>Always</t>
        </is>
      </c>
      <c r="G332" s="42" t="inlineStr">
        <is>
          <t>TRUE</t>
        </is>
      </c>
      <c r="H332" s="43">
        <f>IF(AND(TRUE(),D332&lt;=TARGET_LEVEL_NUM),"Applicable","N/A")</f>
        <v/>
      </c>
      <c r="I332" s="42" t="inlineStr">
        <is>
          <t>HB-LOG-02</t>
        </is>
      </c>
      <c r="J332" s="42" t="n"/>
      <c r="K332" s="43">
        <f>IF($I332="Excluded","Excluded",IF(H332="N/A","N/A",IFERROR(INDEX(BL_COVERAGE,MATCH($I332,BL_IDS,0))&amp;"","Mapping error")))</f>
        <v/>
      </c>
    </row>
    <row r="333" ht="39.75" customHeight="1" s="19">
      <c r="A333" s="42" t="inlineStr">
        <is>
          <t>V16.4.3</t>
        </is>
      </c>
      <c r="B333" s="40" t="inlineStr">
        <is>
          <t>V16 - Security Logging and Error Handling</t>
        </is>
      </c>
      <c r="C333" s="40" t="inlineStr">
        <is>
          <t>V16.4 - Log Protection</t>
        </is>
      </c>
      <c r="D333" s="42" t="n">
        <v>2</v>
      </c>
      <c r="E333" s="40" t="inlineStr">
        <is>
          <t>Verify that logs are securely transmitted to a logically separate system for analysis, detection, alerting, and escalation. The aim is to ensure that if the application is breached, the logs are not compromised.</t>
        </is>
      </c>
      <c r="F333" s="40" t="inlineStr">
        <is>
          <t>Always</t>
        </is>
      </c>
      <c r="G333" s="42" t="inlineStr">
        <is>
          <t>TRUE</t>
        </is>
      </c>
      <c r="H333" s="43">
        <f>IF(AND(TRUE(),D333&lt;=TARGET_LEVEL_NUM),"Applicable","N/A")</f>
        <v/>
      </c>
      <c r="I333" s="42" t="inlineStr">
        <is>
          <t>HB-LOG-02</t>
        </is>
      </c>
      <c r="J333" s="42" t="n"/>
      <c r="K333" s="43">
        <f>IF($I333="Excluded","Excluded",IF(H333="N/A","N/A",IFERROR(INDEX(BL_COVERAGE,MATCH($I333,BL_IDS,0))&amp;"","Mapping error")))</f>
        <v/>
      </c>
    </row>
    <row r="334" ht="39.75" customHeight="1" s="19">
      <c r="A334" s="42" t="inlineStr">
        <is>
          <t>V16.5.1</t>
        </is>
      </c>
      <c r="B334" s="40" t="inlineStr">
        <is>
          <t>V16 - Security Logging and Error Handling</t>
        </is>
      </c>
      <c r="C334" s="40" t="inlineStr">
        <is>
          <t>V16.5 - Error Handling</t>
        </is>
      </c>
      <c r="D334" s="42" t="n">
        <v>2</v>
      </c>
      <c r="E334" s="40" t="inlineStr">
        <is>
          <t>Verify that a generic message is returned to the consumer when an unexpected or security-sensitive error occurs, ensuring no exposure of sensitive internal system data such as stack traces, queries, secret keys, and tokens.</t>
        </is>
      </c>
      <c r="F334" s="40" t="inlineStr">
        <is>
          <t>Always</t>
        </is>
      </c>
      <c r="G334" s="42" t="inlineStr">
        <is>
          <t>TRUE</t>
        </is>
      </c>
      <c r="H334" s="43">
        <f>IF(AND(TRUE(),D334&lt;=TARGET_LEVEL_NUM),"Applicable","N/A")</f>
        <v/>
      </c>
      <c r="I334" s="42" t="inlineStr">
        <is>
          <t>HB-ERR-01</t>
        </is>
      </c>
      <c r="J334" s="42" t="n"/>
      <c r="K334" s="43">
        <f>IF($I334="Excluded","Excluded",IF(H334="N/A","N/A",IFERROR(INDEX(BL_COVERAGE,MATCH($I334,BL_IDS,0))&amp;"","Mapping error")))</f>
        <v/>
      </c>
    </row>
    <row r="335" ht="39.75" customHeight="1" s="19">
      <c r="A335" s="42" t="inlineStr">
        <is>
          <t>V16.5.2</t>
        </is>
      </c>
      <c r="B335" s="40" t="inlineStr">
        <is>
          <t>V16 - Security Logging and Error Handling</t>
        </is>
      </c>
      <c r="C335" s="40" t="inlineStr">
        <is>
          <t>V16.5 - Error Handling</t>
        </is>
      </c>
      <c r="D335" s="42" t="n">
        <v>2</v>
      </c>
      <c r="E335" s="40" t="inlineStr">
        <is>
          <t>Verify that the application continues to operate securely when external resource access fails, for example, by using patterns such as circuit breakers or graceful degradation.</t>
        </is>
      </c>
      <c r="F335" s="40" t="inlineStr">
        <is>
          <t>Always</t>
        </is>
      </c>
      <c r="G335" s="42" t="inlineStr">
        <is>
          <t>TRUE</t>
        </is>
      </c>
      <c r="H335" s="43">
        <f>IF(AND(TRUE(),D335&lt;=TARGET_LEVEL_NUM),"Applicable","N/A")</f>
        <v/>
      </c>
      <c r="I335" s="42" t="inlineStr">
        <is>
          <t>HB-AVAIL-01</t>
        </is>
      </c>
      <c r="J335" s="42" t="n"/>
      <c r="K335" s="43">
        <f>IF($I335="Excluded","Excluded",IF(H335="N/A","N/A",IFERROR(INDEX(BL_COVERAGE,MATCH($I335,BL_IDS,0))&amp;"","Mapping error")))</f>
        <v/>
      </c>
    </row>
    <row r="336" ht="39.75" customHeight="1" s="19">
      <c r="A336" s="42" t="inlineStr">
        <is>
          <t>V16.5.3</t>
        </is>
      </c>
      <c r="B336" s="40" t="inlineStr">
        <is>
          <t>V16 - Security Logging and Error Handling</t>
        </is>
      </c>
      <c r="C336" s="40" t="inlineStr">
        <is>
          <t>V16.5 - Error Handling</t>
        </is>
      </c>
      <c r="D336" s="42" t="n">
        <v>2</v>
      </c>
      <c r="E336" s="40" t="inlineStr">
        <is>
          <t>Verify that the application fails gracefully and securely, including when an exception occurs, preventing fail-open conditions such as processing a transaction despite errors resulting from validation logic.</t>
        </is>
      </c>
      <c r="F336" s="40" t="inlineStr">
        <is>
          <t>Always</t>
        </is>
      </c>
      <c r="G336" s="42" t="inlineStr">
        <is>
          <t>TRUE</t>
        </is>
      </c>
      <c r="H336" s="43">
        <f>IF(AND(TRUE(),D336&lt;=TARGET_LEVEL_NUM),"Applicable","N/A")</f>
        <v/>
      </c>
      <c r="I336" s="42" t="inlineStr">
        <is>
          <t>HB-ERR-01</t>
        </is>
      </c>
      <c r="J336" s="42" t="n"/>
      <c r="K336" s="43">
        <f>IF($I336="Excluded","Excluded",IF(H336="N/A","N/A",IFERROR(INDEX(BL_COVERAGE,MATCH($I336,BL_IDS,0))&amp;"","Mapping error")))</f>
        <v/>
      </c>
    </row>
    <row r="337" ht="39.75" customHeight="1" s="19">
      <c r="A337" s="42" t="inlineStr">
        <is>
          <t>V16.5.4</t>
        </is>
      </c>
      <c r="B337" s="40" t="inlineStr">
        <is>
          <t>V16 - Security Logging and Error Handling</t>
        </is>
      </c>
      <c r="C337" s="40" t="inlineStr">
        <is>
          <t>V16.5 - Error Handling</t>
        </is>
      </c>
      <c r="D337" s="42" t="n">
        <v>3</v>
      </c>
      <c r="E337" s="40"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F337" s="40" t="inlineStr">
        <is>
          <t>Always</t>
        </is>
      </c>
      <c r="G337" s="42" t="inlineStr">
        <is>
          <t>TRUE</t>
        </is>
      </c>
      <c r="H337" s="43">
        <f>IF(AND(TRUE(),D337&lt;=TARGET_LEVEL_NUM),"Applicable","N/A")</f>
        <v/>
      </c>
      <c r="I337" s="42" t="inlineStr">
        <is>
          <t>HB-ERR-01</t>
        </is>
      </c>
      <c r="J337" s="42" t="n"/>
      <c r="K337" s="43">
        <f>IF($I337="Excluded","Excluded",IF(H337="N/A","N/A",IFERROR(INDEX(BL_COVERAGE,MATCH($I337,BL_IDS,0))&amp;"","Mapping error")))</f>
        <v/>
      </c>
    </row>
    <row r="338" ht="39.75" customHeight="1" s="19">
      <c r="A338" s="42" t="inlineStr">
        <is>
          <t>V17.1.1</t>
        </is>
      </c>
      <c r="B338" s="40" t="inlineStr">
        <is>
          <t>V17 - WebRTC</t>
        </is>
      </c>
      <c r="C338" s="40" t="inlineStr">
        <is>
          <t>V17.1 - TURN Server</t>
        </is>
      </c>
      <c r="D338" s="42" t="n">
        <v>2</v>
      </c>
      <c r="E338" s="40" t="inlineStr">
        <is>
          <t>Verify that the Traversal Using Relays around NAT (TURN) service only allows access to IP addresses that are not reserved for special purposes (e.g., internal networks, broadcast, loopback). Note that this applies to both IPv4 and IPv6 addresses.</t>
        </is>
      </c>
      <c r="F338" s="40" t="inlineStr">
        <is>
          <t>If uses WebRTC</t>
        </is>
      </c>
      <c r="G338" s="42" t="inlineStr">
        <is>
          <t>WEBRTC_USED="Yes"</t>
        </is>
      </c>
      <c r="H338" s="43">
        <f>IF(AND(WEBRTC_USED="Yes",D338&lt;=TARGET_LEVEL_NUM),"Applicable","N/A")</f>
        <v/>
      </c>
      <c r="I338" s="42" t="inlineStr">
        <is>
          <t>HB-RTC-01</t>
        </is>
      </c>
      <c r="J338" s="42" t="n"/>
      <c r="K338" s="43">
        <f>IF($I338="Excluded","Excluded",IF(H338="N/A","N/A",IFERROR(INDEX(BL_COVERAGE,MATCH($I338,BL_IDS,0))&amp;"","Mapping error")))</f>
        <v/>
      </c>
    </row>
    <row r="339" ht="39.75" customHeight="1" s="19">
      <c r="A339" s="42" t="inlineStr">
        <is>
          <t>V17.1.2</t>
        </is>
      </c>
      <c r="B339" s="40" t="inlineStr">
        <is>
          <t>V17 - WebRTC</t>
        </is>
      </c>
      <c r="C339" s="40" t="inlineStr">
        <is>
          <t>V17.1 - TURN Server</t>
        </is>
      </c>
      <c r="D339" s="42" t="n">
        <v>3</v>
      </c>
      <c r="E339" s="40" t="inlineStr">
        <is>
          <t>Verify that the Traversal Using Relays around NAT (TURN) service is not susceptible to resource exhaustion when legitimate users attempt to open a large number of ports on the TURN server.</t>
        </is>
      </c>
      <c r="F339" s="40" t="inlineStr">
        <is>
          <t>If uses WebRTC</t>
        </is>
      </c>
      <c r="G339" s="42" t="inlineStr">
        <is>
          <t>WEBRTC_USED="Yes"</t>
        </is>
      </c>
      <c r="H339" s="43">
        <f>IF(AND(WEBRTC_USED="Yes",D339&lt;=TARGET_LEVEL_NUM),"Applicable","N/A")</f>
        <v/>
      </c>
      <c r="I339" s="42" t="inlineStr">
        <is>
          <t>HB-RTC-01</t>
        </is>
      </c>
      <c r="J339" s="42" t="n"/>
      <c r="K339" s="43">
        <f>IF($I339="Excluded","Excluded",IF(H339="N/A","N/A",IFERROR(INDEX(BL_COVERAGE,MATCH($I339,BL_IDS,0))&amp;"","Mapping error")))</f>
        <v/>
      </c>
    </row>
    <row r="340" ht="39.75" customHeight="1" s="19">
      <c r="A340" s="42" t="inlineStr">
        <is>
          <t>V17.2.1</t>
        </is>
      </c>
      <c r="B340" s="40" t="inlineStr">
        <is>
          <t>V17 - WebRTC</t>
        </is>
      </c>
      <c r="C340" s="40" t="inlineStr">
        <is>
          <t>V17.2 - Media</t>
        </is>
      </c>
      <c r="D340" s="42" t="n">
        <v>2</v>
      </c>
      <c r="E340" s="40" t="inlineStr">
        <is>
          <t>Verify that the key for the Datagram Transport Layer Security (DTLS) certificate is managed and protected based on the documented policy for management of cryptographic keys.</t>
        </is>
      </c>
      <c r="F340" s="40" t="inlineStr">
        <is>
          <t>If uses WebRTC</t>
        </is>
      </c>
      <c r="G340" s="42" t="inlineStr">
        <is>
          <t>WEBRTC_USED="Yes"</t>
        </is>
      </c>
      <c r="H340" s="43">
        <f>IF(AND(WEBRTC_USED="Yes",D340&lt;=TARGET_LEVEL_NUM),"Applicable","N/A")</f>
        <v/>
      </c>
      <c r="I340" s="42" t="inlineStr">
        <is>
          <t>HB-RTC-02</t>
        </is>
      </c>
      <c r="J340" s="42" t="n"/>
      <c r="K340" s="43">
        <f>IF($I340="Excluded","Excluded",IF(H340="N/A","N/A",IFERROR(INDEX(BL_COVERAGE,MATCH($I340,BL_IDS,0))&amp;"","Mapping error")))</f>
        <v/>
      </c>
    </row>
    <row r="341" ht="39.75" customHeight="1" s="19">
      <c r="A341" s="42" t="inlineStr">
        <is>
          <t>V17.2.2</t>
        </is>
      </c>
      <c r="B341" s="40" t="inlineStr">
        <is>
          <t>V17 - WebRTC</t>
        </is>
      </c>
      <c r="C341" s="40" t="inlineStr">
        <is>
          <t>V17.2 - Media</t>
        </is>
      </c>
      <c r="D341" s="42" t="n">
        <v>2</v>
      </c>
      <c r="E341" s="40" t="inlineStr">
        <is>
          <t>Verify that the media server is configured to use and support approved Datagram Transport Layer Security (DTLS) cipher suites and a secure protection profile for the DTLS Extension for establishing keys for the Secure Real-time Transport Protocol (DTLS-SRTP).</t>
        </is>
      </c>
      <c r="F341" s="40" t="inlineStr">
        <is>
          <t>If uses WebRTC</t>
        </is>
      </c>
      <c r="G341" s="42" t="inlineStr">
        <is>
          <t>WEBRTC_USED="Yes"</t>
        </is>
      </c>
      <c r="H341" s="43">
        <f>IF(AND(WEBRTC_USED="Yes",D341&lt;=TARGET_LEVEL_NUM),"Applicable","N/A")</f>
        <v/>
      </c>
      <c r="I341" s="42" t="inlineStr">
        <is>
          <t>HB-RTC-02</t>
        </is>
      </c>
      <c r="J341" s="42" t="n"/>
      <c r="K341" s="43">
        <f>IF($I341="Excluded","Excluded",IF(H341="N/A","N/A",IFERROR(INDEX(BL_COVERAGE,MATCH($I341,BL_IDS,0))&amp;"","Mapping error")))</f>
        <v/>
      </c>
    </row>
    <row r="342" ht="39.75" customHeight="1" s="19">
      <c r="A342" s="42" t="inlineStr">
        <is>
          <t>V17.2.3</t>
        </is>
      </c>
      <c r="B342" s="40" t="inlineStr">
        <is>
          <t>V17 - WebRTC</t>
        </is>
      </c>
      <c r="C342" s="40" t="inlineStr">
        <is>
          <t>V17.2 - Media</t>
        </is>
      </c>
      <c r="D342" s="42" t="n">
        <v>2</v>
      </c>
      <c r="E342" s="40"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F342" s="40" t="inlineStr">
        <is>
          <t>If uses WebRTC</t>
        </is>
      </c>
      <c r="G342" s="42" t="inlineStr">
        <is>
          <t>WEBRTC_USED="Yes"</t>
        </is>
      </c>
      <c r="H342" s="43">
        <f>IF(AND(WEBRTC_USED="Yes",D342&lt;=TARGET_LEVEL_NUM),"Applicable","N/A")</f>
        <v/>
      </c>
      <c r="I342" s="42" t="inlineStr">
        <is>
          <t>HB-RTC-02</t>
        </is>
      </c>
      <c r="J342" s="42" t="n"/>
      <c r="K342" s="43">
        <f>IF($I342="Excluded","Excluded",IF(H342="N/A","N/A",IFERROR(INDEX(BL_COVERAGE,MATCH($I342,BL_IDS,0))&amp;"","Mapping error")))</f>
        <v/>
      </c>
    </row>
    <row r="343" ht="39.75" customHeight="1" s="19">
      <c r="A343" s="42" t="inlineStr">
        <is>
          <t>V17.2.4</t>
        </is>
      </c>
      <c r="B343" s="40" t="inlineStr">
        <is>
          <t>V17 - WebRTC</t>
        </is>
      </c>
      <c r="C343" s="40" t="inlineStr">
        <is>
          <t>V17.2 - Media</t>
        </is>
      </c>
      <c r="D343" s="42" t="n">
        <v>2</v>
      </c>
      <c r="E343" s="40" t="inlineStr">
        <is>
          <t>Verify that the media server is able to continue processing incoming media traffic when encountering malformed Secure Real-time Transport Protocol (SRTP) packets.</t>
        </is>
      </c>
      <c r="F343" s="40" t="inlineStr">
        <is>
          <t>If uses WebRTC</t>
        </is>
      </c>
      <c r="G343" s="42" t="inlineStr">
        <is>
          <t>WEBRTC_USED="Yes"</t>
        </is>
      </c>
      <c r="H343" s="43">
        <f>IF(AND(WEBRTC_USED="Yes",D343&lt;=TARGET_LEVEL_NUM),"Applicable","N/A")</f>
        <v/>
      </c>
      <c r="I343" s="42" t="inlineStr">
        <is>
          <t>HB-RTC-02</t>
        </is>
      </c>
      <c r="J343" s="42" t="n"/>
      <c r="K343" s="43">
        <f>IF($I343="Excluded","Excluded",IF(H343="N/A","N/A",IFERROR(INDEX(BL_COVERAGE,MATCH($I343,BL_IDS,0))&amp;"","Mapping error")))</f>
        <v/>
      </c>
    </row>
    <row r="344" ht="39.75" customHeight="1" s="19">
      <c r="A344" s="42" t="inlineStr">
        <is>
          <t>V17.2.5</t>
        </is>
      </c>
      <c r="B344" s="40" t="inlineStr">
        <is>
          <t>V17 - WebRTC</t>
        </is>
      </c>
      <c r="C344" s="40" t="inlineStr">
        <is>
          <t>V17.2 - Media</t>
        </is>
      </c>
      <c r="D344" s="42" t="n">
        <v>3</v>
      </c>
      <c r="E344" s="40" t="inlineStr">
        <is>
          <t>Verify that the media server is able to continue processing incoming media traffic during a flood of Secure Real-time Transport Protocol (SRTP) packets from legitimate users.</t>
        </is>
      </c>
      <c r="F344" s="40" t="inlineStr">
        <is>
          <t>If uses WebRTC</t>
        </is>
      </c>
      <c r="G344" s="42" t="inlineStr">
        <is>
          <t>WEBRTC_USED="Yes"</t>
        </is>
      </c>
      <c r="H344" s="43">
        <f>IF(AND(WEBRTC_USED="Yes",D344&lt;=TARGET_LEVEL_NUM),"Applicable","N/A")</f>
        <v/>
      </c>
      <c r="I344" s="42" t="inlineStr">
        <is>
          <t>HB-RTC-02</t>
        </is>
      </c>
      <c r="J344" s="42" t="n"/>
      <c r="K344" s="43">
        <f>IF($I344="Excluded","Excluded",IF(H344="N/A","N/A",IFERROR(INDEX(BL_COVERAGE,MATCH($I344,BL_IDS,0))&amp;"","Mapping error")))</f>
        <v/>
      </c>
    </row>
    <row r="345" ht="39.75" customHeight="1" s="19">
      <c r="A345" s="42" t="inlineStr">
        <is>
          <t>V17.2.6</t>
        </is>
      </c>
      <c r="B345" s="40" t="inlineStr">
        <is>
          <t>V17 - WebRTC</t>
        </is>
      </c>
      <c r="C345" s="40" t="inlineStr">
        <is>
          <t>V17.2 - Media</t>
        </is>
      </c>
      <c r="D345" s="42" t="n">
        <v>3</v>
      </c>
      <c r="E345" s="40" t="inlineStr">
        <is>
          <t>Verify that the media server is not susceptible to the "ClientHello" Race Condition vulnerability in Datagram Transport Layer Security (DTLS) by checking if the media server is publicly known to be vulnerable or by performing the race condition test.</t>
        </is>
      </c>
      <c r="F345" s="40" t="inlineStr">
        <is>
          <t>If uses WebRTC</t>
        </is>
      </c>
      <c r="G345" s="42" t="inlineStr">
        <is>
          <t>WEBRTC_USED="Yes"</t>
        </is>
      </c>
      <c r="H345" s="43">
        <f>IF(AND(WEBRTC_USED="Yes",D345&lt;=TARGET_LEVEL_NUM),"Applicable","N/A")</f>
        <v/>
      </c>
      <c r="I345" s="42" t="inlineStr">
        <is>
          <t>HB-RTC-02</t>
        </is>
      </c>
      <c r="J345" s="42" t="n"/>
      <c r="K345" s="43">
        <f>IF($I345="Excluded","Excluded",IF(H345="N/A","N/A",IFERROR(INDEX(BL_COVERAGE,MATCH($I345,BL_IDS,0))&amp;"","Mapping error")))</f>
        <v/>
      </c>
    </row>
    <row r="346" ht="39.75" customHeight="1" s="19">
      <c r="A346" s="42" t="inlineStr">
        <is>
          <t>V17.2.7</t>
        </is>
      </c>
      <c r="B346" s="40" t="inlineStr">
        <is>
          <t>V17 - WebRTC</t>
        </is>
      </c>
      <c r="C346" s="40" t="inlineStr">
        <is>
          <t>V17.2 - Media</t>
        </is>
      </c>
      <c r="D346" s="42" t="n">
        <v>3</v>
      </c>
      <c r="E346" s="40" t="inlineStr">
        <is>
          <t>Verify that any audio or video recording mechanisms associated with the media server are able to continue processing incoming media traffic during a flood of Secure Real-time Transport Protocol (SRTP) packets from legitimate users.</t>
        </is>
      </c>
      <c r="F346" s="40" t="inlineStr">
        <is>
          <t>If uses WebRTC</t>
        </is>
      </c>
      <c r="G346" s="42" t="inlineStr">
        <is>
          <t>WEBRTC_USED="Yes"</t>
        </is>
      </c>
      <c r="H346" s="43">
        <f>IF(AND(WEBRTC_USED="Yes",D346&lt;=TARGET_LEVEL_NUM),"Applicable","N/A")</f>
        <v/>
      </c>
      <c r="I346" s="42" t="inlineStr">
        <is>
          <t>HB-RTC-02</t>
        </is>
      </c>
      <c r="J346" s="42" t="n"/>
      <c r="K346" s="43">
        <f>IF($I346="Excluded","Excluded",IF(H346="N/A","N/A",IFERROR(INDEX(BL_COVERAGE,MATCH($I346,BL_IDS,0))&amp;"","Mapping error")))</f>
        <v/>
      </c>
    </row>
    <row r="347" ht="39.75" customHeight="1" s="19">
      <c r="A347" s="42" t="inlineStr">
        <is>
          <t>V17.2.8</t>
        </is>
      </c>
      <c r="B347" s="40" t="inlineStr">
        <is>
          <t>V17 - WebRTC</t>
        </is>
      </c>
      <c r="C347" s="40" t="inlineStr">
        <is>
          <t>V17.2 - Media</t>
        </is>
      </c>
      <c r="D347" s="42" t="n">
        <v>3</v>
      </c>
      <c r="E347" s="40" t="inlineStr">
        <is>
          <t>Verify that the Datagram Transport Layer Security (DTLS) certificate is checked against the Session Description Protocol (SDP) fingerprint attribute, terminating the media stream if the check fails, to ensure the authenticity of the media stream.</t>
        </is>
      </c>
      <c r="F347" s="40" t="inlineStr">
        <is>
          <t>If uses WebRTC</t>
        </is>
      </c>
      <c r="G347" s="42" t="inlineStr">
        <is>
          <t>WEBRTC_USED="Yes"</t>
        </is>
      </c>
      <c r="H347" s="43">
        <f>IF(AND(WEBRTC_USED="Yes",D347&lt;=TARGET_LEVEL_NUM),"Applicable","N/A")</f>
        <v/>
      </c>
      <c r="I347" s="42" t="inlineStr">
        <is>
          <t>HB-RTC-02</t>
        </is>
      </c>
      <c r="J347" s="42" t="n"/>
      <c r="K347" s="43">
        <f>IF($I347="Excluded","Excluded",IF(H347="N/A","N/A",IFERROR(INDEX(BL_COVERAGE,MATCH($I347,BL_IDS,0))&amp;"","Mapping error")))</f>
        <v/>
      </c>
    </row>
    <row r="348" ht="39.75" customHeight="1" s="19">
      <c r="A348" s="42" t="inlineStr">
        <is>
          <t>V17.3.1</t>
        </is>
      </c>
      <c r="B348" s="40" t="inlineStr">
        <is>
          <t>V17 - WebRTC</t>
        </is>
      </c>
      <c r="C348" s="40" t="inlineStr">
        <is>
          <t>V17.3 - Signaling</t>
        </is>
      </c>
      <c r="D348" s="42" t="n">
        <v>2</v>
      </c>
      <c r="E348" s="40" t="inlineStr">
        <is>
          <t>Verify that the signaling server is able to continue processing legitimate incoming signaling messages during a flood attack. This should be achieved by implementing rate limiting at the signaling level.</t>
        </is>
      </c>
      <c r="F348" s="40" t="inlineStr">
        <is>
          <t>If uses WebRTC</t>
        </is>
      </c>
      <c r="G348" s="42" t="inlineStr">
        <is>
          <t>WEBRTC_USED="Yes"</t>
        </is>
      </c>
      <c r="H348" s="43">
        <f>IF(AND(WEBRTC_USED="Yes",D348&lt;=TARGET_LEVEL_NUM),"Applicable","N/A")</f>
        <v/>
      </c>
      <c r="I348" s="42" t="inlineStr">
        <is>
          <t>HB-RTC-01</t>
        </is>
      </c>
      <c r="J348" s="42" t="n"/>
      <c r="K348" s="43">
        <f>IF($I348="Excluded","Excluded",IF(H348="N/A","N/A",IFERROR(INDEX(BL_COVERAGE,MATCH($I348,BL_IDS,0))&amp;"","Mapping error")))</f>
        <v/>
      </c>
    </row>
    <row r="349" ht="39.75" customHeight="1" s="19">
      <c r="A349" s="42" t="inlineStr">
        <is>
          <t>V17.3.2</t>
        </is>
      </c>
      <c r="B349" s="40" t="inlineStr">
        <is>
          <t>V17 - WebRTC</t>
        </is>
      </c>
      <c r="C349" s="40" t="inlineStr">
        <is>
          <t>V17.3 - Signaling</t>
        </is>
      </c>
      <c r="D349" s="42" t="n">
        <v>2</v>
      </c>
      <c r="E349" s="40"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F349" s="40" t="inlineStr">
        <is>
          <t>If uses WebRTC</t>
        </is>
      </c>
      <c r="G349" s="42" t="inlineStr">
        <is>
          <t>WEBRTC_USED="Yes"</t>
        </is>
      </c>
      <c r="H349" s="43">
        <f>IF(AND(WEBRTC_USED="Yes",D349&lt;=TARGET_LEVEL_NUM),"Applicable","N/A")</f>
        <v/>
      </c>
      <c r="I349" s="42" t="inlineStr">
        <is>
          <t>HB-RTC-01</t>
        </is>
      </c>
      <c r="J349" s="42" t="n"/>
      <c r="K349" s="43">
        <f>IF($I349="Excluded","Excluded",IF(H349="N/A","N/A",IFERROR(INDEX(BL_COVERAGE,MATCH($I349,BL_IDS,0))&amp;"","Mapping error")))</f>
        <v/>
      </c>
    </row>
  </sheetData>
  <autoFilter ref="A4:K349"/>
  <mergeCells count="2">
    <mergeCell ref="A2:K2"/>
    <mergeCell ref="A1:K1"/>
  </mergeCells>
  <conditionalFormatting sqref="H5:H349">
    <cfRule type="cellIs" priority="1" operator="equal" dxfId="12">
      <formula>"N/A"</formula>
    </cfRule>
  </conditionalFormatting>
  <conditionalFormatting sqref="K5:K349">
    <cfRule type="cellIs" priority="1" operator="equal" dxfId="12">
      <formula>"N/A"</formula>
    </cfRule>
    <cfRule type="cellIs" priority="2" operator="equal" dxfId="9">
      <formula>"Gap"</formula>
    </cfRule>
    <cfRule type="cellIs" priority="3" operator="equal" dxfId="11">
      <formula>"Partial coverage"</formula>
    </cfRule>
    <cfRule type="cellIs" priority="4" operator="equal" dxfId="13">
      <formula>"Full coverage"</formula>
    </cfRule>
  </conditionalFormatting>
  <conditionalFormatting sqref="I5:K349">
    <cfRule type="cellIs" priority="6" operator="equal" dxfId="20">
      <formula>"Excluded"</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V204"/>
  <sheetViews>
    <sheetView tabSelected="0" workbookViewId="0">
      <pane ySplit="4" topLeftCell="A5" activePane="bottomLeft" state="frozen"/>
      <selection pane="bottomLeft" activeCell="A1" sqref="A1"/>
    </sheetView>
  </sheetViews>
  <sheetFormatPr baseColWidth="8" defaultRowHeight="15"/>
  <cols>
    <col width="14" customWidth="1" style="19" min="1" max="1"/>
    <col width="24" customWidth="1" style="19" min="2" max="2"/>
    <col width="20" customWidth="1" style="19" min="3" max="3"/>
    <col width="7" customWidth="1" style="19" min="4" max="4"/>
    <col width="55" customWidth="1" style="19" min="5" max="5"/>
    <col width="26" customWidth="1" style="19" min="6" max="6"/>
    <col width="24" customWidth="1" style="19" min="7" max="7"/>
    <col width="11" customWidth="1" style="19" min="8" max="8"/>
    <col width="30" customWidth="1" style="19" min="9" max="9"/>
    <col width="18" customWidth="1" style="19" min="10" max="10"/>
    <col width="14" customWidth="1" style="19" min="11" max="11"/>
    <col width="16" customWidth="1" style="19" min="12" max="12"/>
    <col width="22" customWidth="1" style="19" min="13" max="13"/>
    <col width="26" customWidth="1" style="19" min="14" max="14"/>
    <col width="16" customWidth="1" style="19" min="15" max="15"/>
    <col width="14" customWidth="1" style="19" min="16" max="16"/>
    <col width="18" customWidth="1" style="19" min="17" max="17"/>
    <col width="9" customWidth="1" style="19" min="18" max="18"/>
    <col width="11" customWidth="1" style="19" min="19" max="19"/>
    <col width="9" customWidth="1" style="19" min="20" max="20"/>
    <col width="11" customWidth="1" style="19" min="21" max="21"/>
    <col width="22" customWidth="1" style="19" min="22" max="22"/>
  </cols>
  <sheetData>
    <row r="1">
      <c r="A1" s="44" t="inlineStr">
        <is>
          <t>Custom Controls — Company-Specific Additions Beyond OWASP ASVS</t>
        </is>
      </c>
    </row>
    <row r="2" ht="105" customHeight="1" s="19">
      <c r="A2" s="45" t="inlineStr">
        <is>
          <t>Use this sheet for requirements that matter to your organization but aren't part of the OWASP ASVS 345-requirement set (e.g., an internal policy, a contractual/regulatory obligation specific to your company, or a control for a technology ASVS doesn't cover). Never add these rows to 'ASVS Checklist' (a verbatim copy of ASVS) or to 'Hardening Baseline' (the consolidated ASVS controls). Column G is a live formula — edit it to control when a row applies (=TRUE() = always); it may use any characterization key, e.g. SOURCING_MODEL or IS_COTS.
Control IDs: CUSTOM-NN for organization policy / contractual / platform-specific controls; TMX-&lt;AREA&gt;-NNN for controls originated by threat modeling (vendor, compensating, infrastructure). TMX rows are maintained centrally with the threat catalog. EXAMPLE-01 is a worked example — edit or delete it.</t>
        </is>
      </c>
    </row>
    <row r="3"/>
    <row r="4" ht="27.75" customHeight="1" s="19">
      <c r="A4" s="46" t="inlineStr">
        <is>
          <t>Control ID</t>
        </is>
      </c>
      <c r="B4" s="46" t="inlineStr">
        <is>
          <t>Category</t>
        </is>
      </c>
      <c r="C4" s="46" t="inlineStr">
        <is>
          <t>Sub-category</t>
        </is>
      </c>
      <c r="D4" s="46" t="inlineStr">
        <is>
          <t>Level</t>
        </is>
      </c>
      <c r="E4" s="46" t="inlineStr">
        <is>
          <t>Requirement</t>
        </is>
      </c>
      <c r="F4" s="46" t="inlineStr">
        <is>
          <t>Applicability Condition</t>
        </is>
      </c>
      <c r="G4" s="46" t="inlineStr">
        <is>
          <t>Applicability Formula</t>
        </is>
      </c>
      <c r="H4" s="46" t="inlineStr">
        <is>
          <t>Applicable?</t>
        </is>
      </c>
      <c r="I4" s="46" t="inlineStr">
        <is>
          <t>Control Type</t>
        </is>
      </c>
      <c r="J4" s="46" t="inlineStr">
        <is>
          <t>Nature</t>
        </is>
      </c>
      <c r="K4" s="46" t="inlineStr">
        <is>
          <t>Verification Stage</t>
        </is>
      </c>
      <c r="L4" s="46" t="inlineStr">
        <is>
          <t>Coverage Status</t>
        </is>
      </c>
      <c r="M4" s="46" t="inlineStr">
        <is>
          <t>Tool / Evidence</t>
        </is>
      </c>
      <c r="N4" s="46" t="inlineStr">
        <is>
          <t>Notes</t>
        </is>
      </c>
      <c r="O4" s="46" t="inlineStr">
        <is>
          <t>Requirement Impact</t>
        </is>
      </c>
      <c r="P4" s="46" t="inlineStr">
        <is>
          <t>Criticality</t>
        </is>
      </c>
      <c r="Q4" s="46" t="inlineStr">
        <is>
          <t>Remediation Owner</t>
        </is>
      </c>
      <c r="R4" s="46" t="inlineStr">
        <is>
          <t>Linked threats</t>
        </is>
      </c>
      <c r="S4" s="46" t="inlineStr">
        <is>
          <t>Threat priority</t>
        </is>
      </c>
      <c r="T4" s="46" t="inlineStr">
        <is>
          <t>Verify first?</t>
        </is>
      </c>
      <c r="U4" s="46" t="inlineStr">
        <is>
          <t>Backlog priority</t>
        </is>
      </c>
      <c r="V4" s="46" t="inlineStr">
        <is>
          <t>Linked threat IDs</t>
        </is>
      </c>
    </row>
    <row r="5" ht="45" customHeight="1" s="19">
      <c r="A5" s="47" t="inlineStr">
        <is>
          <t>EXAMPLE-01</t>
        </is>
      </c>
      <c r="B5" s="47" t="inlineStr">
        <is>
          <t>Internal Tooling</t>
        </is>
      </c>
      <c r="C5" s="47" t="inlineStr"/>
      <c r="D5" s="48" t="n">
        <v>1</v>
      </c>
      <c r="E5" s="47" t="inlineStr">
        <is>
          <t>EXAMPLE (edit or delete this row) — All internal admin panels must sit behind company SSO, not a local username/password.</t>
        </is>
      </c>
      <c r="F5" s="47" t="inlineStr">
        <is>
          <t>Always applicable</t>
        </is>
      </c>
      <c r="G5" s="47">
        <f>TRUE()</f>
        <v/>
      </c>
      <c r="H5" s="48">
        <f>IF($A5="","",IF(AND(G5,D5&lt;=TARGET_LEVEL_NUM),"Applicable","N/A"))</f>
        <v/>
      </c>
      <c r="I5" s="47" t="inlineStr">
        <is>
          <t>SAST (policy rule) + manual config review</t>
        </is>
      </c>
      <c r="J5" s="47" t="inlineStr">
        <is>
          <t>Deterministic, continuous</t>
        </is>
      </c>
      <c r="K5" s="47" t="inlineStr">
        <is>
          <t>Pipeline</t>
        </is>
      </c>
      <c r="L5" s="47" t="inlineStr">
        <is>
          <t>Not assessed</t>
        </is>
      </c>
      <c r="M5" s="47" t="inlineStr"/>
      <c r="N5" s="47" t="inlineStr">
        <is>
          <t>This is a worked example — replace with your own control, or delete the row.</t>
        </is>
      </c>
      <c r="O5" s="48" t="inlineStr">
        <is>
          <t>High</t>
        </is>
      </c>
      <c r="P5" s="48">
        <f>IF($A5="","",IF(H5="N/A","N/A",IFERROR(INDEX(CRIT_MATRIX,MATCH(O5,CRIT_MATRIX_ROWS,0),MATCH(APP_RISK_TIER,CRIT_MATRIX_COLS,0)),"")))</f>
        <v/>
      </c>
      <c r="Q5" s="47" t="n"/>
      <c r="R5" s="47" cm="1">
        <f t="array" ref="R5">IF($A5="","",COUNTIFS(tblThreatControls[Control ID],$A5,tblThreatControls[Threat applies],"Applies"))</f>
        <v/>
      </c>
      <c r="S5" s="47" cm="1">
        <f t="array" ref="S5">IF($A5="","",IF(R5=0,"",INDEX(RISK_SCALE_NAMES,_xlfn.MAXIFS(tblThreatControls[Threat risk score],tblThreatControls[Control ID],$A5))))</f>
        <v/>
      </c>
      <c r="T5" s="47" cm="1">
        <f t="array" ref="T5">IF($A5="","",IF(AND(H5="Applicable",OR(L5="Not assessed",L5=""),R5&gt;0),"Yes","No"))</f>
        <v/>
      </c>
      <c r="U5" s="47" cm="1">
        <f t="array" ref="U5">IF($A5="","",IF(AND(H5="Applicable",OR(L5="Gap",L5="Partial coverage")),INDEX(RISK_SCALE_NAMES,MAX(IFERROR(MATCH(P5,RISK_SCALE_NAMES,0),1),IFERROR(MATCH(S5,RISK_SCALE_NAMES,0),0))),""))</f>
        <v/>
      </c>
      <c r="V5" s="47" cm="1">
        <f t="array" ref="V5">IF($A5="","",_xlfn.TEXTJOIN("; ",TRUE,_xlfn._xlws.FILTER(tblThreatControls[Threat ID],(tblThreatControls[Control ID]=$A5)*(tblThreatControls[Threat applies]="Applies"),"")))</f>
        <v/>
      </c>
    </row>
    <row r="6" ht="45" customHeight="1" s="19">
      <c r="A6" s="49" t="inlineStr">
        <is>
          <t>TMX-VENDOR-001</t>
        </is>
      </c>
      <c r="B6" s="49" t="inlineStr">
        <is>
          <t>Vendor access (threat modeling)</t>
        </is>
      </c>
      <c r="C6" s="49" t="inlineStr">
        <is>
          <t>Remote access</t>
        </is>
      </c>
      <c r="D6" s="50" t="n">
        <v>1</v>
      </c>
      <c r="E6" s="49" t="inlineStr">
        <is>
          <t>Vendor remote access to the environment goes only through the company PAM solution, is approved per session, and every session is recorded and retained.</t>
        </is>
      </c>
      <c r="F6" s="49" t="inlineStr">
        <is>
          <t>Vendor product where the vendor has (or may have) remote access</t>
        </is>
      </c>
      <c r="G6" s="49">
        <f>AND(IS_COTS,VENDOR_REMOTE_ACCESS&lt;&gt;"No",VENDOR_REMOTE_ACCESS&lt;&gt;"")</f>
        <v/>
      </c>
      <c r="H6" s="50">
        <f>IF($A6="","",IF(AND(G6,D6&lt;=TARGET_LEVEL_NUM),"Applicable","N/A"))</f>
        <v/>
      </c>
      <c r="I6" s="49" t="inlineStr">
        <is>
          <t>PAM configuration review + session log audit</t>
        </is>
      </c>
      <c r="J6" s="49" t="inlineStr">
        <is>
          <t>Manual, periodic</t>
        </is>
      </c>
      <c r="K6" s="49" t="inlineStr">
        <is>
          <t>Periodic review</t>
        </is>
      </c>
      <c r="L6" s="49" t="inlineStr">
        <is>
          <t>Not assessed</t>
        </is>
      </c>
      <c r="M6" s="49" t="n"/>
      <c r="N6" s="49" t="inlineStr">
        <is>
          <t>Draft — starter control from the threat modeling catalog. Review before use.</t>
        </is>
      </c>
      <c r="O6" s="50" t="inlineStr">
        <is>
          <t>High</t>
        </is>
      </c>
      <c r="P6" s="50">
        <f>IF($A6="","",IF(H6="N/A","N/A",IFERROR(INDEX(CRIT_MATRIX,MATCH(O6,CRIT_MATRIX_ROWS,0),MATCH(APP_RISK_TIER,CRIT_MATRIX_COLS,0)),"")))</f>
        <v/>
      </c>
      <c r="Q6" s="49" t="n"/>
      <c r="R6" s="49" cm="1">
        <f t="array" ref="R6">IF($A6="","",COUNTIFS(tblThreatControls[Control ID],$A6,tblThreatControls[Threat applies],"Applies"))</f>
        <v/>
      </c>
      <c r="S6" s="49" cm="1">
        <f t="array" ref="S6">IF($A6="","",IF(R6=0,"",INDEX(RISK_SCALE_NAMES,_xlfn.MAXIFS(tblThreatControls[Threat risk score],tblThreatControls[Control ID],$A6))))</f>
        <v/>
      </c>
      <c r="T6" s="49" cm="1">
        <f t="array" ref="T6">IF($A6="","",IF(AND(H6="Applicable",OR(L6="Not assessed",L6=""),R6&gt;0),"Yes","No"))</f>
        <v/>
      </c>
      <c r="U6" s="49" cm="1">
        <f t="array" ref="U6">IF($A6="","",IF(AND(H6="Applicable",OR(L6="Gap",L6="Partial coverage")),INDEX(RISK_SCALE_NAMES,MAX(IFERROR(MATCH(P6,RISK_SCALE_NAMES,0),1),IFERROR(MATCH(S6,RISK_SCALE_NAMES,0),0))),""))</f>
        <v/>
      </c>
      <c r="V6" s="49" cm="1">
        <f t="array" ref="V6">IF($A6="","",_xlfn.TEXTJOIN("; ",TRUE,_xlfn._xlws.FILTER(tblThreatControls[Threat ID],(tblThreatControls[Control ID]=$A6)*(tblThreatControls[Threat applies]="Applies"),"")))</f>
        <v/>
      </c>
    </row>
    <row r="7" ht="45" customHeight="1" s="19">
      <c r="A7" s="49" t="inlineStr">
        <is>
          <t>TMX-VENDOR-002</t>
        </is>
      </c>
      <c r="B7" s="49" t="inlineStr">
        <is>
          <t>Vendor access (threat modeling)</t>
        </is>
      </c>
      <c r="C7" s="49" t="inlineStr">
        <is>
          <t>Patching</t>
        </is>
      </c>
      <c r="D7" s="50" t="n">
        <v>1</v>
      </c>
      <c r="E7" s="49" t="inlineStr">
        <is>
          <t>The product version in use is supported by the vendor, and the contract defines a security patch SLA that is met; updates are obtained from the vendor's verified channel.</t>
        </is>
      </c>
      <c r="F7" s="49" t="inlineStr">
        <is>
          <t>Vendor product</t>
        </is>
      </c>
      <c r="G7" s="49">
        <f>IS_COTS</f>
        <v/>
      </c>
      <c r="H7" s="50">
        <f>IF($A7="","",IF(AND(G7,D7&lt;=TARGET_LEVEL_NUM),"Applicable","N/A"))</f>
        <v/>
      </c>
      <c r="I7" s="49" t="inlineStr">
        <is>
          <t>Contract review + patch level check</t>
        </is>
      </c>
      <c r="J7" s="49" t="inlineStr">
        <is>
          <t>Manual, periodic</t>
        </is>
      </c>
      <c r="K7" s="49" t="inlineStr">
        <is>
          <t>Periodic review</t>
        </is>
      </c>
      <c r="L7" s="49" t="inlineStr">
        <is>
          <t>Not assessed</t>
        </is>
      </c>
      <c r="M7" s="49" t="n"/>
      <c r="N7" s="49" t="inlineStr">
        <is>
          <t>Draft — starter control from the threat modeling catalog. Review before use.</t>
        </is>
      </c>
      <c r="O7" s="50" t="inlineStr">
        <is>
          <t>High</t>
        </is>
      </c>
      <c r="P7" s="50">
        <f>IF($A7="","",IF(H7="N/A","N/A",IFERROR(INDEX(CRIT_MATRIX,MATCH(O7,CRIT_MATRIX_ROWS,0),MATCH(APP_RISK_TIER,CRIT_MATRIX_COLS,0)),"")))</f>
        <v/>
      </c>
      <c r="Q7" s="49" t="n"/>
      <c r="R7" s="49" cm="1">
        <f t="array" ref="R7">IF($A7="","",COUNTIFS(tblThreatControls[Control ID],$A7,tblThreatControls[Threat applies],"Applies"))</f>
        <v/>
      </c>
      <c r="S7" s="49" cm="1">
        <f t="array" ref="S7">IF($A7="","",IF(R7=0,"",INDEX(RISK_SCALE_NAMES,_xlfn.MAXIFS(tblThreatControls[Threat risk score],tblThreatControls[Control ID],$A7))))</f>
        <v/>
      </c>
      <c r="T7" s="49" cm="1">
        <f t="array" ref="T7">IF($A7="","",IF(AND(H7="Applicable",OR(L7="Not assessed",L7=""),R7&gt;0),"Yes","No"))</f>
        <v/>
      </c>
      <c r="U7" s="49" cm="1">
        <f t="array" ref="U7">IF($A7="","",IF(AND(H7="Applicable",OR(L7="Gap",L7="Partial coverage")),INDEX(RISK_SCALE_NAMES,MAX(IFERROR(MATCH(P7,RISK_SCALE_NAMES,0),1),IFERROR(MATCH(S7,RISK_SCALE_NAMES,0),0))),""))</f>
        <v/>
      </c>
      <c r="V7" s="49" cm="1">
        <f t="array" ref="V7">IF($A7="","",_xlfn.TEXTJOIN("; ",TRUE,_xlfn._xlws.FILTER(tblThreatControls[Threat ID],(tblThreatControls[Control ID]=$A7)*(tblThreatControls[Threat applies]="Applies"),"")))</f>
        <v/>
      </c>
    </row>
    <row r="8" ht="45" customHeight="1" s="19">
      <c r="A8" s="49" t="inlineStr">
        <is>
          <t>TMX-WAF-001</t>
        </is>
      </c>
      <c r="B8" s="49" t="inlineStr">
        <is>
          <t>Compensating (threat modeling)</t>
        </is>
      </c>
      <c r="C8" s="49" t="inlineStr">
        <is>
          <t>WAF / API gateway</t>
        </is>
      </c>
      <c r="D8" s="50" t="n">
        <v>1</v>
      </c>
      <c r="E8" s="49" t="inlineStr">
        <is>
          <t>Internet-facing endpoints are behind a WAF or API gateway with rate limiting and bot protection, including on the login.</t>
        </is>
      </c>
      <c r="F8" s="49" t="inlineStr">
        <is>
          <t>Internet-facing</t>
        </is>
      </c>
      <c r="G8" s="49">
        <f>EXPOSURE="Public internet"</f>
        <v/>
      </c>
      <c r="H8" s="50">
        <f>IF($A8="","",IF(AND(G8,D8&lt;=TARGET_LEVEL_NUM),"Applicable","N/A"))</f>
        <v/>
      </c>
      <c r="I8" s="49" t="inlineStr">
        <is>
          <t>WAF / gateway configuration review</t>
        </is>
      </c>
      <c r="J8" s="49" t="inlineStr">
        <is>
          <t>Deterministic, continuous</t>
        </is>
      </c>
      <c r="K8" s="49" t="inlineStr">
        <is>
          <t>Configuration scan</t>
        </is>
      </c>
      <c r="L8" s="49" t="inlineStr">
        <is>
          <t>Not assessed</t>
        </is>
      </c>
      <c r="M8" s="49" t="n"/>
      <c r="N8" s="49" t="inlineStr">
        <is>
          <t>Draft — starter control from the threat modeling catalog. Review before use.</t>
        </is>
      </c>
      <c r="O8" s="50" t="inlineStr">
        <is>
          <t>Medium</t>
        </is>
      </c>
      <c r="P8" s="50">
        <f>IF($A8="","",IF(H8="N/A","N/A",IFERROR(INDEX(CRIT_MATRIX,MATCH(O8,CRIT_MATRIX_ROWS,0),MATCH(APP_RISK_TIER,CRIT_MATRIX_COLS,0)),"")))</f>
        <v/>
      </c>
      <c r="Q8" s="49" t="n"/>
      <c r="R8" s="49" cm="1">
        <f t="array" ref="R8">IF($A8="","",COUNTIFS(tblThreatControls[Control ID],$A8,tblThreatControls[Threat applies],"Applies"))</f>
        <v/>
      </c>
      <c r="S8" s="49" cm="1">
        <f t="array" ref="S8">IF($A8="","",IF(R8=0,"",INDEX(RISK_SCALE_NAMES,_xlfn.MAXIFS(tblThreatControls[Threat risk score],tblThreatControls[Control ID],$A8))))</f>
        <v/>
      </c>
      <c r="T8" s="49" cm="1">
        <f t="array" ref="T8">IF($A8="","",IF(AND(H8="Applicable",OR(L8="Not assessed",L8=""),R8&gt;0),"Yes","No"))</f>
        <v/>
      </c>
      <c r="U8" s="49" cm="1">
        <f t="array" ref="U8">IF($A8="","",IF(AND(H8="Applicable",OR(L8="Gap",L8="Partial coverage")),INDEX(RISK_SCALE_NAMES,MAX(IFERROR(MATCH(P8,RISK_SCALE_NAMES,0),1),IFERROR(MATCH(S8,RISK_SCALE_NAMES,0),0))),""))</f>
        <v/>
      </c>
      <c r="V8" s="49" cm="1">
        <f t="array" ref="V8">IF($A8="","",_xlfn.TEXTJOIN("; ",TRUE,_xlfn._xlws.FILTER(tblThreatControls[Threat ID],(tblThreatControls[Control ID]=$A8)*(tblThreatControls[Threat applies]="Applies"),"")))</f>
        <v/>
      </c>
    </row>
    <row r="9" ht="45" customHeight="1" s="19">
      <c r="A9" s="49" t="inlineStr">
        <is>
          <t>TMX-EGRESS-001</t>
        </is>
      </c>
      <c r="B9" s="49" t="inlineStr">
        <is>
          <t>Compensating (threat modeling)</t>
        </is>
      </c>
      <c r="C9" s="49" t="inlineStr">
        <is>
          <t>Egress control</t>
        </is>
      </c>
      <c r="D9" s="50" t="n">
        <v>1</v>
      </c>
      <c r="E9" s="49" t="inlineStr">
        <is>
          <t>Outbound connections from the product's hosts are restricted to an allowlist of approved destinations (egress proxy or firewall), including vendor telemetry and update endpoints.</t>
        </is>
      </c>
      <c r="F9" s="49" t="inlineStr">
        <is>
          <t>Vendor product</t>
        </is>
      </c>
      <c r="G9" s="49">
        <f>IS_COTS</f>
        <v/>
      </c>
      <c r="H9" s="50">
        <f>IF($A9="","",IF(AND(G9,D9&lt;=TARGET_LEVEL_NUM),"Applicable","N/A"))</f>
        <v/>
      </c>
      <c r="I9" s="49" t="inlineStr">
        <is>
          <t>Firewall / proxy rule review</t>
        </is>
      </c>
      <c r="J9" s="49" t="inlineStr">
        <is>
          <t>Manual, periodic</t>
        </is>
      </c>
      <c r="K9" s="49" t="inlineStr">
        <is>
          <t>Periodic review</t>
        </is>
      </c>
      <c r="L9" s="49" t="inlineStr">
        <is>
          <t>Not assessed</t>
        </is>
      </c>
      <c r="M9" s="49" t="n"/>
      <c r="N9" s="49" t="inlineStr">
        <is>
          <t>Draft — starter control from the threat modeling catalog. Review before use.</t>
        </is>
      </c>
      <c r="O9" s="50" t="inlineStr">
        <is>
          <t>Medium</t>
        </is>
      </c>
      <c r="P9" s="50">
        <f>IF($A9="","",IF(H9="N/A","N/A",IFERROR(INDEX(CRIT_MATRIX,MATCH(O9,CRIT_MATRIX_ROWS,0),MATCH(APP_RISK_TIER,CRIT_MATRIX_COLS,0)),"")))</f>
        <v/>
      </c>
      <c r="Q9" s="49" t="n"/>
      <c r="R9" s="49" cm="1">
        <f t="array" ref="R9">IF($A9="","",COUNTIFS(tblThreatControls[Control ID],$A9,tblThreatControls[Threat applies],"Applies"))</f>
        <v/>
      </c>
      <c r="S9" s="49" cm="1">
        <f t="array" ref="S9">IF($A9="","",IF(R9=0,"",INDEX(RISK_SCALE_NAMES,_xlfn.MAXIFS(tblThreatControls[Threat risk score],tblThreatControls[Control ID],$A9))))</f>
        <v/>
      </c>
      <c r="T9" s="49" cm="1">
        <f t="array" ref="T9">IF($A9="","",IF(AND(H9="Applicable",OR(L9="Not assessed",L9=""),R9&gt;0),"Yes","No"))</f>
        <v/>
      </c>
      <c r="U9" s="49" cm="1">
        <f t="array" ref="U9">IF($A9="","",IF(AND(H9="Applicable",OR(L9="Gap",L9="Partial coverage")),INDEX(RISK_SCALE_NAMES,MAX(IFERROR(MATCH(P9,RISK_SCALE_NAMES,0),1),IFERROR(MATCH(S9,RISK_SCALE_NAMES,0),0))),""))</f>
        <v/>
      </c>
      <c r="V9" s="49" cm="1">
        <f t="array" ref="V9">IF($A9="","",_xlfn.TEXTJOIN("; ",TRUE,_xlfn._xlws.FILTER(tblThreatControls[Threat ID],(tblThreatControls[Control ID]=$A9)*(tblThreatControls[Threat applies]="Applies"),"")))</f>
        <v/>
      </c>
    </row>
    <row r="10" ht="45" customHeight="1" s="19">
      <c r="A10" s="49" t="n"/>
      <c r="B10" s="49" t="n"/>
      <c r="C10" s="49" t="n"/>
      <c r="D10" s="50" t="n"/>
      <c r="E10" s="49" t="n"/>
      <c r="F10" s="49" t="n"/>
      <c r="G10" s="49">
        <f>TRUE()</f>
        <v/>
      </c>
      <c r="H10" s="50">
        <f>IF($A10="","",IF(AND(G10,D10&lt;=TARGET_LEVEL_NUM),"Applicable","N/A"))</f>
        <v/>
      </c>
      <c r="I10" s="49" t="n"/>
      <c r="J10" s="49" t="n"/>
      <c r="K10" s="49" t="n"/>
      <c r="L10" s="49" t="n"/>
      <c r="M10" s="49" t="n"/>
      <c r="N10" s="49" t="n"/>
      <c r="O10" s="50" t="n"/>
      <c r="P10" s="50">
        <f>IF($A10="","",IF(H10="N/A","N/A",IFERROR(INDEX(CRIT_MATRIX,MATCH(O10,CRIT_MATRIX_ROWS,0),MATCH(APP_RISK_TIER,CRIT_MATRIX_COLS,0)),"")))</f>
        <v/>
      </c>
      <c r="Q10" s="49" t="n"/>
      <c r="R10" s="49" cm="1">
        <f t="array" ref="R10">IF($A10="","",COUNTIFS(tblThreatControls[Control ID],$A10,tblThreatControls[Threat applies],"Applies"))</f>
        <v/>
      </c>
      <c r="S10" s="49" cm="1">
        <f t="array" ref="S10">IF($A10="","",IF(R10=0,"",INDEX(RISK_SCALE_NAMES,_xlfn.MAXIFS(tblThreatControls[Threat risk score],tblThreatControls[Control ID],$A10))))</f>
        <v/>
      </c>
      <c r="T10" s="49" cm="1">
        <f t="array" ref="T10">IF($A10="","",IF(AND(H10="Applicable",OR(L10="Not assessed",L10=""),R10&gt;0),"Yes","No"))</f>
        <v/>
      </c>
      <c r="U10" s="49" cm="1">
        <f t="array" ref="U10">IF($A10="","",IF(AND(H10="Applicable",OR(L10="Gap",L10="Partial coverage")),INDEX(RISK_SCALE_NAMES,MAX(IFERROR(MATCH(P10,RISK_SCALE_NAMES,0),1),IFERROR(MATCH(S10,RISK_SCALE_NAMES,0),0))),""))</f>
        <v/>
      </c>
      <c r="V10" s="49" cm="1">
        <f t="array" ref="V10">IF($A10="","",_xlfn.TEXTJOIN("; ",TRUE,_xlfn._xlws.FILTER(tblThreatControls[Threat ID],(tblThreatControls[Control ID]=$A10)*(tblThreatControls[Threat applies]="Applies"),"")))</f>
        <v/>
      </c>
    </row>
    <row r="11" ht="45" customHeight="1" s="19">
      <c r="A11" s="49" t="n"/>
      <c r="B11" s="49" t="n"/>
      <c r="C11" s="49" t="n"/>
      <c r="D11" s="50" t="n"/>
      <c r="E11" s="49" t="n"/>
      <c r="F11" s="49" t="n"/>
      <c r="G11" s="49">
        <f>TRUE()</f>
        <v/>
      </c>
      <c r="H11" s="50">
        <f>IF($A11="","",IF(AND(G11,D11&lt;=TARGET_LEVEL_NUM),"Applicable","N/A"))</f>
        <v/>
      </c>
      <c r="I11" s="49" t="n"/>
      <c r="J11" s="49" t="n"/>
      <c r="K11" s="49" t="n"/>
      <c r="L11" s="49" t="n"/>
      <c r="M11" s="49" t="n"/>
      <c r="N11" s="49" t="n"/>
      <c r="O11" s="50" t="n"/>
      <c r="P11" s="50">
        <f>IF($A11="","",IF(H11="N/A","N/A",IFERROR(INDEX(CRIT_MATRIX,MATCH(O11,CRIT_MATRIX_ROWS,0),MATCH(APP_RISK_TIER,CRIT_MATRIX_COLS,0)),"")))</f>
        <v/>
      </c>
      <c r="Q11" s="49" t="n"/>
      <c r="R11" s="49" cm="1">
        <f t="array" ref="R11">IF($A11="","",COUNTIFS(tblThreatControls[Control ID],$A11,tblThreatControls[Threat applies],"Applies"))</f>
        <v/>
      </c>
      <c r="S11" s="49" cm="1">
        <f t="array" ref="S11">IF($A11="","",IF(R11=0,"",INDEX(RISK_SCALE_NAMES,_xlfn.MAXIFS(tblThreatControls[Threat risk score],tblThreatControls[Control ID],$A11))))</f>
        <v/>
      </c>
      <c r="T11" s="49" cm="1">
        <f t="array" ref="T11">IF($A11="","",IF(AND(H11="Applicable",OR(L11="Not assessed",L11=""),R11&gt;0),"Yes","No"))</f>
        <v/>
      </c>
      <c r="U11" s="49" cm="1">
        <f t="array" ref="U11">IF($A11="","",IF(AND(H11="Applicable",OR(L11="Gap",L11="Partial coverage")),INDEX(RISK_SCALE_NAMES,MAX(IFERROR(MATCH(P11,RISK_SCALE_NAMES,0),1),IFERROR(MATCH(S11,RISK_SCALE_NAMES,0),0))),""))</f>
        <v/>
      </c>
      <c r="V11" s="49" cm="1">
        <f t="array" ref="V11">IF($A11="","",_xlfn.TEXTJOIN("; ",TRUE,_xlfn._xlws.FILTER(tblThreatControls[Threat ID],(tblThreatControls[Control ID]=$A11)*(tblThreatControls[Threat applies]="Applies"),"")))</f>
        <v/>
      </c>
    </row>
    <row r="12" ht="45" customHeight="1" s="19">
      <c r="A12" s="49" t="n"/>
      <c r="B12" s="49" t="n"/>
      <c r="C12" s="49" t="n"/>
      <c r="D12" s="50" t="n"/>
      <c r="E12" s="49" t="n"/>
      <c r="F12" s="49" t="n"/>
      <c r="G12" s="49">
        <f>TRUE()</f>
        <v/>
      </c>
      <c r="H12" s="50">
        <f>IF($A12="","",IF(AND(G12,D12&lt;=TARGET_LEVEL_NUM),"Applicable","N/A"))</f>
        <v/>
      </c>
      <c r="I12" s="49" t="n"/>
      <c r="J12" s="49" t="n"/>
      <c r="K12" s="49" t="n"/>
      <c r="L12" s="49" t="n"/>
      <c r="M12" s="49" t="n"/>
      <c r="N12" s="49" t="n"/>
      <c r="O12" s="50" t="n"/>
      <c r="P12" s="50">
        <f>IF($A12="","",IF(H12="N/A","N/A",IFERROR(INDEX(CRIT_MATRIX,MATCH(O12,CRIT_MATRIX_ROWS,0),MATCH(APP_RISK_TIER,CRIT_MATRIX_COLS,0)),"")))</f>
        <v/>
      </c>
      <c r="Q12" s="49" t="n"/>
      <c r="R12" s="49" cm="1">
        <f t="array" ref="R12">IF($A12="","",COUNTIFS(tblThreatControls[Control ID],$A12,tblThreatControls[Threat applies],"Applies"))</f>
        <v/>
      </c>
      <c r="S12" s="49" cm="1">
        <f t="array" ref="S12">IF($A12="","",IF(R12=0,"",INDEX(RISK_SCALE_NAMES,_xlfn.MAXIFS(tblThreatControls[Threat risk score],tblThreatControls[Control ID],$A12))))</f>
        <v/>
      </c>
      <c r="T12" s="49" cm="1">
        <f t="array" ref="T12">IF($A12="","",IF(AND(H12="Applicable",OR(L12="Not assessed",L12=""),R12&gt;0),"Yes","No"))</f>
        <v/>
      </c>
      <c r="U12" s="49" cm="1">
        <f t="array" ref="U12">IF($A12="","",IF(AND(H12="Applicable",OR(L12="Gap",L12="Partial coverage")),INDEX(RISK_SCALE_NAMES,MAX(IFERROR(MATCH(P12,RISK_SCALE_NAMES,0),1),IFERROR(MATCH(S12,RISK_SCALE_NAMES,0),0))),""))</f>
        <v/>
      </c>
      <c r="V12" s="49" cm="1">
        <f t="array" ref="V12">IF($A12="","",_xlfn.TEXTJOIN("; ",TRUE,_xlfn._xlws.FILTER(tblThreatControls[Threat ID],(tblThreatControls[Control ID]=$A12)*(tblThreatControls[Threat applies]="Applies"),"")))</f>
        <v/>
      </c>
    </row>
    <row r="13" ht="45" customHeight="1" s="19">
      <c r="A13" s="49" t="n"/>
      <c r="B13" s="49" t="n"/>
      <c r="C13" s="49" t="n"/>
      <c r="D13" s="50" t="n"/>
      <c r="E13" s="49" t="n"/>
      <c r="F13" s="49" t="n"/>
      <c r="G13" s="49">
        <f>TRUE()</f>
        <v/>
      </c>
      <c r="H13" s="50">
        <f>IF($A13="","",IF(AND(G13,D13&lt;=TARGET_LEVEL_NUM),"Applicable","N/A"))</f>
        <v/>
      </c>
      <c r="I13" s="49" t="n"/>
      <c r="J13" s="49" t="n"/>
      <c r="K13" s="49" t="n"/>
      <c r="L13" s="49" t="n"/>
      <c r="M13" s="49" t="n"/>
      <c r="N13" s="49" t="n"/>
      <c r="O13" s="50" t="n"/>
      <c r="P13" s="50">
        <f>IF($A13="","",IF(H13="N/A","N/A",IFERROR(INDEX(CRIT_MATRIX,MATCH(O13,CRIT_MATRIX_ROWS,0),MATCH(APP_RISK_TIER,CRIT_MATRIX_COLS,0)),"")))</f>
        <v/>
      </c>
      <c r="Q13" s="49" t="n"/>
      <c r="R13" s="49" cm="1">
        <f t="array" ref="R13">IF($A13="","",COUNTIFS(tblThreatControls[Control ID],$A13,tblThreatControls[Threat applies],"Applies"))</f>
        <v/>
      </c>
      <c r="S13" s="49" cm="1">
        <f t="array" ref="S13">IF($A13="","",IF(R13=0,"",INDEX(RISK_SCALE_NAMES,_xlfn.MAXIFS(tblThreatControls[Threat risk score],tblThreatControls[Control ID],$A13))))</f>
        <v/>
      </c>
      <c r="T13" s="49" cm="1">
        <f t="array" ref="T13">IF($A13="","",IF(AND(H13="Applicable",OR(L13="Not assessed",L13=""),R13&gt;0),"Yes","No"))</f>
        <v/>
      </c>
      <c r="U13" s="49" cm="1">
        <f t="array" ref="U13">IF($A13="","",IF(AND(H13="Applicable",OR(L13="Gap",L13="Partial coverage")),INDEX(RISK_SCALE_NAMES,MAX(IFERROR(MATCH(P13,RISK_SCALE_NAMES,0),1),IFERROR(MATCH(S13,RISK_SCALE_NAMES,0),0))),""))</f>
        <v/>
      </c>
      <c r="V13" s="49" cm="1">
        <f t="array" ref="V13">IF($A13="","",_xlfn.TEXTJOIN("; ",TRUE,_xlfn._xlws.FILTER(tblThreatControls[Threat ID],(tblThreatControls[Control ID]=$A13)*(tblThreatControls[Threat applies]="Applies"),"")))</f>
        <v/>
      </c>
    </row>
    <row r="14" ht="45" customHeight="1" s="19">
      <c r="A14" s="49" t="n"/>
      <c r="B14" s="49" t="n"/>
      <c r="C14" s="49" t="n"/>
      <c r="D14" s="50" t="n"/>
      <c r="E14" s="49" t="n"/>
      <c r="F14" s="49" t="n"/>
      <c r="G14" s="49">
        <f>TRUE()</f>
        <v/>
      </c>
      <c r="H14" s="50">
        <f>IF($A14="","",IF(AND(G14,D14&lt;=TARGET_LEVEL_NUM),"Applicable","N/A"))</f>
        <v/>
      </c>
      <c r="I14" s="49" t="n"/>
      <c r="J14" s="49" t="n"/>
      <c r="K14" s="49" t="n"/>
      <c r="L14" s="49" t="n"/>
      <c r="M14" s="49" t="n"/>
      <c r="N14" s="49" t="n"/>
      <c r="O14" s="50" t="n"/>
      <c r="P14" s="50">
        <f>IF($A14="","",IF(H14="N/A","N/A",IFERROR(INDEX(CRIT_MATRIX,MATCH(O14,CRIT_MATRIX_ROWS,0),MATCH(APP_RISK_TIER,CRIT_MATRIX_COLS,0)),"")))</f>
        <v/>
      </c>
      <c r="Q14" s="49" t="n"/>
      <c r="R14" s="49" cm="1">
        <f t="array" ref="R14">IF($A14="","",COUNTIFS(tblThreatControls[Control ID],$A14,tblThreatControls[Threat applies],"Applies"))</f>
        <v/>
      </c>
      <c r="S14" s="49" cm="1">
        <f t="array" ref="S14">IF($A14="","",IF(R14=0,"",INDEX(RISK_SCALE_NAMES,_xlfn.MAXIFS(tblThreatControls[Threat risk score],tblThreatControls[Control ID],$A14))))</f>
        <v/>
      </c>
      <c r="T14" s="49" cm="1">
        <f t="array" ref="T14">IF($A14="","",IF(AND(H14="Applicable",OR(L14="Not assessed",L14=""),R14&gt;0),"Yes","No"))</f>
        <v/>
      </c>
      <c r="U14" s="49" cm="1">
        <f t="array" ref="U14">IF($A14="","",IF(AND(H14="Applicable",OR(L14="Gap",L14="Partial coverage")),INDEX(RISK_SCALE_NAMES,MAX(IFERROR(MATCH(P14,RISK_SCALE_NAMES,0),1),IFERROR(MATCH(S14,RISK_SCALE_NAMES,0),0))),""))</f>
        <v/>
      </c>
      <c r="V14" s="49" cm="1">
        <f t="array" ref="V14">IF($A14="","",_xlfn.TEXTJOIN("; ",TRUE,_xlfn._xlws.FILTER(tblThreatControls[Threat ID],(tblThreatControls[Control ID]=$A14)*(tblThreatControls[Threat applies]="Applies"),"")))</f>
        <v/>
      </c>
    </row>
    <row r="15" ht="45" customHeight="1" s="19">
      <c r="A15" s="49" t="n"/>
      <c r="B15" s="49" t="n"/>
      <c r="C15" s="49" t="n"/>
      <c r="D15" s="50" t="n"/>
      <c r="E15" s="49" t="n"/>
      <c r="F15" s="49" t="n"/>
      <c r="G15" s="49">
        <f>TRUE()</f>
        <v/>
      </c>
      <c r="H15" s="50">
        <f>IF($A15="","",IF(AND(G15,D15&lt;=TARGET_LEVEL_NUM),"Applicable","N/A"))</f>
        <v/>
      </c>
      <c r="I15" s="49" t="n"/>
      <c r="J15" s="49" t="n"/>
      <c r="K15" s="49" t="n"/>
      <c r="L15" s="49" t="n"/>
      <c r="M15" s="49" t="n"/>
      <c r="N15" s="49" t="n"/>
      <c r="O15" s="50" t="n"/>
      <c r="P15" s="50">
        <f>IF($A15="","",IF(H15="N/A","N/A",IFERROR(INDEX(CRIT_MATRIX,MATCH(O15,CRIT_MATRIX_ROWS,0),MATCH(APP_RISK_TIER,CRIT_MATRIX_COLS,0)),"")))</f>
        <v/>
      </c>
      <c r="Q15" s="49" t="n"/>
      <c r="R15" s="49" cm="1">
        <f t="array" ref="R15">IF($A15="","",COUNTIFS(tblThreatControls[Control ID],$A15,tblThreatControls[Threat applies],"Applies"))</f>
        <v/>
      </c>
      <c r="S15" s="49" cm="1">
        <f t="array" ref="S15">IF($A15="","",IF(R15=0,"",INDEX(RISK_SCALE_NAMES,_xlfn.MAXIFS(tblThreatControls[Threat risk score],tblThreatControls[Control ID],$A15))))</f>
        <v/>
      </c>
      <c r="T15" s="49" cm="1">
        <f t="array" ref="T15">IF($A15="","",IF(AND(H15="Applicable",OR(L15="Not assessed",L15=""),R15&gt;0),"Yes","No"))</f>
        <v/>
      </c>
      <c r="U15" s="49" cm="1">
        <f t="array" ref="U15">IF($A15="","",IF(AND(H15="Applicable",OR(L15="Gap",L15="Partial coverage")),INDEX(RISK_SCALE_NAMES,MAX(IFERROR(MATCH(P15,RISK_SCALE_NAMES,0),1),IFERROR(MATCH(S15,RISK_SCALE_NAMES,0),0))),""))</f>
        <v/>
      </c>
      <c r="V15" s="49" cm="1">
        <f t="array" ref="V15">IF($A15="","",_xlfn.TEXTJOIN("; ",TRUE,_xlfn._xlws.FILTER(tblThreatControls[Threat ID],(tblThreatControls[Control ID]=$A15)*(tblThreatControls[Threat applies]="Applies"),"")))</f>
        <v/>
      </c>
    </row>
    <row r="16" ht="45" customHeight="1" s="19">
      <c r="A16" s="49" t="n"/>
      <c r="B16" s="49" t="n"/>
      <c r="C16" s="49" t="n"/>
      <c r="D16" s="50" t="n"/>
      <c r="E16" s="49" t="n"/>
      <c r="F16" s="49" t="n"/>
      <c r="G16" s="49">
        <f>TRUE()</f>
        <v/>
      </c>
      <c r="H16" s="50">
        <f>IF($A16="","",IF(AND(G16,D16&lt;=TARGET_LEVEL_NUM),"Applicable","N/A"))</f>
        <v/>
      </c>
      <c r="I16" s="49" t="n"/>
      <c r="J16" s="49" t="n"/>
      <c r="K16" s="49" t="n"/>
      <c r="L16" s="49" t="n"/>
      <c r="M16" s="49" t="n"/>
      <c r="N16" s="49" t="n"/>
      <c r="O16" s="50" t="n"/>
      <c r="P16" s="50">
        <f>IF($A16="","",IF(H16="N/A","N/A",IFERROR(INDEX(CRIT_MATRIX,MATCH(O16,CRIT_MATRIX_ROWS,0),MATCH(APP_RISK_TIER,CRIT_MATRIX_COLS,0)),"")))</f>
        <v/>
      </c>
      <c r="Q16" s="49" t="n"/>
      <c r="R16" s="49" cm="1">
        <f t="array" ref="R16">IF($A16="","",COUNTIFS(tblThreatControls[Control ID],$A16,tblThreatControls[Threat applies],"Applies"))</f>
        <v/>
      </c>
      <c r="S16" s="49" cm="1">
        <f t="array" ref="S16">IF($A16="","",IF(R16=0,"",INDEX(RISK_SCALE_NAMES,_xlfn.MAXIFS(tblThreatControls[Threat risk score],tblThreatControls[Control ID],$A16))))</f>
        <v/>
      </c>
      <c r="T16" s="49" cm="1">
        <f t="array" ref="T16">IF($A16="","",IF(AND(H16="Applicable",OR(L16="Not assessed",L16=""),R16&gt;0),"Yes","No"))</f>
        <v/>
      </c>
      <c r="U16" s="49" cm="1">
        <f t="array" ref="U16">IF($A16="","",IF(AND(H16="Applicable",OR(L16="Gap",L16="Partial coverage")),INDEX(RISK_SCALE_NAMES,MAX(IFERROR(MATCH(P16,RISK_SCALE_NAMES,0),1),IFERROR(MATCH(S16,RISK_SCALE_NAMES,0),0))),""))</f>
        <v/>
      </c>
      <c r="V16" s="49" cm="1">
        <f t="array" ref="V16">IF($A16="","",_xlfn.TEXTJOIN("; ",TRUE,_xlfn._xlws.FILTER(tblThreatControls[Threat ID],(tblThreatControls[Control ID]=$A16)*(tblThreatControls[Threat applies]="Applies"),"")))</f>
        <v/>
      </c>
    </row>
    <row r="17" ht="45" customHeight="1" s="19">
      <c r="A17" s="49" t="n"/>
      <c r="B17" s="49" t="n"/>
      <c r="C17" s="49" t="n"/>
      <c r="D17" s="50" t="n"/>
      <c r="E17" s="49" t="n"/>
      <c r="F17" s="49" t="n"/>
      <c r="G17" s="49">
        <f>TRUE()</f>
        <v/>
      </c>
      <c r="H17" s="50">
        <f>IF($A17="","",IF(AND(G17,D17&lt;=TARGET_LEVEL_NUM),"Applicable","N/A"))</f>
        <v/>
      </c>
      <c r="I17" s="49" t="n"/>
      <c r="J17" s="49" t="n"/>
      <c r="K17" s="49" t="n"/>
      <c r="L17" s="49" t="n"/>
      <c r="M17" s="49" t="n"/>
      <c r="N17" s="49" t="n"/>
      <c r="O17" s="50" t="n"/>
      <c r="P17" s="50">
        <f>IF($A17="","",IF(H17="N/A","N/A",IFERROR(INDEX(CRIT_MATRIX,MATCH(O17,CRIT_MATRIX_ROWS,0),MATCH(APP_RISK_TIER,CRIT_MATRIX_COLS,0)),"")))</f>
        <v/>
      </c>
      <c r="Q17" s="49" t="n"/>
      <c r="R17" s="49" cm="1">
        <f t="array" ref="R17">IF($A17="","",COUNTIFS(tblThreatControls[Control ID],$A17,tblThreatControls[Threat applies],"Applies"))</f>
        <v/>
      </c>
      <c r="S17" s="49" cm="1">
        <f t="array" ref="S17">IF($A17="","",IF(R17=0,"",INDEX(RISK_SCALE_NAMES,_xlfn.MAXIFS(tblThreatControls[Threat risk score],tblThreatControls[Control ID],$A17))))</f>
        <v/>
      </c>
      <c r="T17" s="49" cm="1">
        <f t="array" ref="T17">IF($A17="","",IF(AND(H17="Applicable",OR(L17="Not assessed",L17=""),R17&gt;0),"Yes","No"))</f>
        <v/>
      </c>
      <c r="U17" s="49" cm="1">
        <f t="array" ref="U17">IF($A17="","",IF(AND(H17="Applicable",OR(L17="Gap",L17="Partial coverage")),INDEX(RISK_SCALE_NAMES,MAX(IFERROR(MATCH(P17,RISK_SCALE_NAMES,0),1),IFERROR(MATCH(S17,RISK_SCALE_NAMES,0),0))),""))</f>
        <v/>
      </c>
      <c r="V17" s="49" cm="1">
        <f t="array" ref="V17">IF($A17="","",_xlfn.TEXTJOIN("; ",TRUE,_xlfn._xlws.FILTER(tblThreatControls[Threat ID],(tblThreatControls[Control ID]=$A17)*(tblThreatControls[Threat applies]="Applies"),"")))</f>
        <v/>
      </c>
    </row>
    <row r="18" ht="45" customHeight="1" s="19">
      <c r="A18" s="49" t="n"/>
      <c r="B18" s="49" t="n"/>
      <c r="C18" s="49" t="n"/>
      <c r="D18" s="50" t="n"/>
      <c r="E18" s="49" t="n"/>
      <c r="F18" s="49" t="n"/>
      <c r="G18" s="49">
        <f>TRUE()</f>
        <v/>
      </c>
      <c r="H18" s="50">
        <f>IF($A18="","",IF(AND(G18,D18&lt;=TARGET_LEVEL_NUM),"Applicable","N/A"))</f>
        <v/>
      </c>
      <c r="I18" s="49" t="n"/>
      <c r="J18" s="49" t="n"/>
      <c r="K18" s="49" t="n"/>
      <c r="L18" s="49" t="n"/>
      <c r="M18" s="49" t="n"/>
      <c r="N18" s="49" t="n"/>
      <c r="O18" s="50" t="n"/>
      <c r="P18" s="50">
        <f>IF($A18="","",IF(H18="N/A","N/A",IFERROR(INDEX(CRIT_MATRIX,MATCH(O18,CRIT_MATRIX_ROWS,0),MATCH(APP_RISK_TIER,CRIT_MATRIX_COLS,0)),"")))</f>
        <v/>
      </c>
      <c r="Q18" s="49" t="n"/>
      <c r="R18" s="49" cm="1">
        <f t="array" ref="R18">IF($A18="","",COUNTIFS(tblThreatControls[Control ID],$A18,tblThreatControls[Threat applies],"Applies"))</f>
        <v/>
      </c>
      <c r="S18" s="49" cm="1">
        <f t="array" ref="S18">IF($A18="","",IF(R18=0,"",INDEX(RISK_SCALE_NAMES,_xlfn.MAXIFS(tblThreatControls[Threat risk score],tblThreatControls[Control ID],$A18))))</f>
        <v/>
      </c>
      <c r="T18" s="49" cm="1">
        <f t="array" ref="T18">IF($A18="","",IF(AND(H18="Applicable",OR(L18="Not assessed",L18=""),R18&gt;0),"Yes","No"))</f>
        <v/>
      </c>
      <c r="U18" s="49" cm="1">
        <f t="array" ref="U18">IF($A18="","",IF(AND(H18="Applicable",OR(L18="Gap",L18="Partial coverage")),INDEX(RISK_SCALE_NAMES,MAX(IFERROR(MATCH(P18,RISK_SCALE_NAMES,0),1),IFERROR(MATCH(S18,RISK_SCALE_NAMES,0),0))),""))</f>
        <v/>
      </c>
      <c r="V18" s="49" cm="1">
        <f t="array" ref="V18">IF($A18="","",_xlfn.TEXTJOIN("; ",TRUE,_xlfn._xlws.FILTER(tblThreatControls[Threat ID],(tblThreatControls[Control ID]=$A18)*(tblThreatControls[Threat applies]="Applies"),"")))</f>
        <v/>
      </c>
    </row>
    <row r="19" ht="45" customHeight="1" s="19">
      <c r="A19" s="49" t="n"/>
      <c r="B19" s="49" t="n"/>
      <c r="C19" s="49" t="n"/>
      <c r="D19" s="50" t="n"/>
      <c r="E19" s="49" t="n"/>
      <c r="F19" s="49" t="n"/>
      <c r="G19" s="49">
        <f>TRUE()</f>
        <v/>
      </c>
      <c r="H19" s="50">
        <f>IF($A19="","",IF(AND(G19,D19&lt;=TARGET_LEVEL_NUM),"Applicable","N/A"))</f>
        <v/>
      </c>
      <c r="I19" s="49" t="n"/>
      <c r="J19" s="49" t="n"/>
      <c r="K19" s="49" t="n"/>
      <c r="L19" s="49" t="n"/>
      <c r="M19" s="49" t="n"/>
      <c r="N19" s="49" t="n"/>
      <c r="O19" s="50" t="n"/>
      <c r="P19" s="50">
        <f>IF($A19="","",IF(H19="N/A","N/A",IFERROR(INDEX(CRIT_MATRIX,MATCH(O19,CRIT_MATRIX_ROWS,0),MATCH(APP_RISK_TIER,CRIT_MATRIX_COLS,0)),"")))</f>
        <v/>
      </c>
      <c r="Q19" s="49" t="n"/>
      <c r="R19" s="49" cm="1">
        <f t="array" ref="R19">IF($A19="","",COUNTIFS(tblThreatControls[Control ID],$A19,tblThreatControls[Threat applies],"Applies"))</f>
        <v/>
      </c>
      <c r="S19" s="49" cm="1">
        <f t="array" ref="S19">IF($A19="","",IF(R19=0,"",INDEX(RISK_SCALE_NAMES,_xlfn.MAXIFS(tblThreatControls[Threat risk score],tblThreatControls[Control ID],$A19))))</f>
        <v/>
      </c>
      <c r="T19" s="49" cm="1">
        <f t="array" ref="T19">IF($A19="","",IF(AND(H19="Applicable",OR(L19="Not assessed",L19=""),R19&gt;0),"Yes","No"))</f>
        <v/>
      </c>
      <c r="U19" s="49" cm="1">
        <f t="array" ref="U19">IF($A19="","",IF(AND(H19="Applicable",OR(L19="Gap",L19="Partial coverage")),INDEX(RISK_SCALE_NAMES,MAX(IFERROR(MATCH(P19,RISK_SCALE_NAMES,0),1),IFERROR(MATCH(S19,RISK_SCALE_NAMES,0),0))),""))</f>
        <v/>
      </c>
      <c r="V19" s="49" cm="1">
        <f t="array" ref="V19">IF($A19="","",_xlfn.TEXTJOIN("; ",TRUE,_xlfn._xlws.FILTER(tblThreatControls[Threat ID],(tblThreatControls[Control ID]=$A19)*(tblThreatControls[Threat applies]="Applies"),"")))</f>
        <v/>
      </c>
    </row>
    <row r="20" ht="45" customHeight="1" s="19">
      <c r="A20" s="49" t="n"/>
      <c r="B20" s="49" t="n"/>
      <c r="C20" s="49" t="n"/>
      <c r="D20" s="50" t="n"/>
      <c r="E20" s="49" t="n"/>
      <c r="F20" s="49" t="n"/>
      <c r="G20" s="49">
        <f>TRUE()</f>
        <v/>
      </c>
      <c r="H20" s="50">
        <f>IF($A20="","",IF(AND(G20,D20&lt;=TARGET_LEVEL_NUM),"Applicable","N/A"))</f>
        <v/>
      </c>
      <c r="I20" s="49" t="n"/>
      <c r="J20" s="49" t="n"/>
      <c r="K20" s="49" t="n"/>
      <c r="L20" s="49" t="n"/>
      <c r="M20" s="49" t="n"/>
      <c r="N20" s="49" t="n"/>
      <c r="O20" s="50" t="n"/>
      <c r="P20" s="50">
        <f>IF($A20="","",IF(H20="N/A","N/A",IFERROR(INDEX(CRIT_MATRIX,MATCH(O20,CRIT_MATRIX_ROWS,0),MATCH(APP_RISK_TIER,CRIT_MATRIX_COLS,0)),"")))</f>
        <v/>
      </c>
      <c r="Q20" s="49" t="n"/>
      <c r="R20" s="49" cm="1">
        <f t="array" ref="R20">IF($A20="","",COUNTIFS(tblThreatControls[Control ID],$A20,tblThreatControls[Threat applies],"Applies"))</f>
        <v/>
      </c>
      <c r="S20" s="49" cm="1">
        <f t="array" ref="S20">IF($A20="","",IF(R20=0,"",INDEX(RISK_SCALE_NAMES,_xlfn.MAXIFS(tblThreatControls[Threat risk score],tblThreatControls[Control ID],$A20))))</f>
        <v/>
      </c>
      <c r="T20" s="49" cm="1">
        <f t="array" ref="T20">IF($A20="","",IF(AND(H20="Applicable",OR(L20="Not assessed",L20=""),R20&gt;0),"Yes","No"))</f>
        <v/>
      </c>
      <c r="U20" s="49" cm="1">
        <f t="array" ref="U20">IF($A20="","",IF(AND(H20="Applicable",OR(L20="Gap",L20="Partial coverage")),INDEX(RISK_SCALE_NAMES,MAX(IFERROR(MATCH(P20,RISK_SCALE_NAMES,0),1),IFERROR(MATCH(S20,RISK_SCALE_NAMES,0),0))),""))</f>
        <v/>
      </c>
      <c r="V20" s="49" cm="1">
        <f t="array" ref="V20">IF($A20="","",_xlfn.TEXTJOIN("; ",TRUE,_xlfn._xlws.FILTER(tblThreatControls[Threat ID],(tblThreatControls[Control ID]=$A20)*(tblThreatControls[Threat applies]="Applies"),"")))</f>
        <v/>
      </c>
    </row>
    <row r="21" ht="45" customHeight="1" s="19">
      <c r="A21" s="49" t="n"/>
      <c r="B21" s="49" t="n"/>
      <c r="C21" s="49" t="n"/>
      <c r="D21" s="50" t="n"/>
      <c r="E21" s="49" t="n"/>
      <c r="F21" s="49" t="n"/>
      <c r="G21" s="49">
        <f>TRUE()</f>
        <v/>
      </c>
      <c r="H21" s="50">
        <f>IF($A21="","",IF(AND(G21,D21&lt;=TARGET_LEVEL_NUM),"Applicable","N/A"))</f>
        <v/>
      </c>
      <c r="I21" s="49" t="n"/>
      <c r="J21" s="49" t="n"/>
      <c r="K21" s="49" t="n"/>
      <c r="L21" s="49" t="n"/>
      <c r="M21" s="49" t="n"/>
      <c r="N21" s="49" t="n"/>
      <c r="O21" s="50" t="n"/>
      <c r="P21" s="50">
        <f>IF($A21="","",IF(H21="N/A","N/A",IFERROR(INDEX(CRIT_MATRIX,MATCH(O21,CRIT_MATRIX_ROWS,0),MATCH(APP_RISK_TIER,CRIT_MATRIX_COLS,0)),"")))</f>
        <v/>
      </c>
      <c r="Q21" s="49" t="n"/>
      <c r="R21" s="49" cm="1">
        <f t="array" ref="R21">IF($A21="","",COUNTIFS(tblThreatControls[Control ID],$A21,tblThreatControls[Threat applies],"Applies"))</f>
        <v/>
      </c>
      <c r="S21" s="49" cm="1">
        <f t="array" ref="S21">IF($A21="","",IF(R21=0,"",INDEX(RISK_SCALE_NAMES,_xlfn.MAXIFS(tblThreatControls[Threat risk score],tblThreatControls[Control ID],$A21))))</f>
        <v/>
      </c>
      <c r="T21" s="49" cm="1">
        <f t="array" ref="T21">IF($A21="","",IF(AND(H21="Applicable",OR(L21="Not assessed",L21=""),R21&gt;0),"Yes","No"))</f>
        <v/>
      </c>
      <c r="U21" s="49" cm="1">
        <f t="array" ref="U21">IF($A21="","",IF(AND(H21="Applicable",OR(L21="Gap",L21="Partial coverage")),INDEX(RISK_SCALE_NAMES,MAX(IFERROR(MATCH(P21,RISK_SCALE_NAMES,0),1),IFERROR(MATCH(S21,RISK_SCALE_NAMES,0),0))),""))</f>
        <v/>
      </c>
      <c r="V21" s="49" cm="1">
        <f t="array" ref="V21">IF($A21="","",_xlfn.TEXTJOIN("; ",TRUE,_xlfn._xlws.FILTER(tblThreatControls[Threat ID],(tblThreatControls[Control ID]=$A21)*(tblThreatControls[Threat applies]="Applies"),"")))</f>
        <v/>
      </c>
    </row>
    <row r="22" ht="45" customHeight="1" s="19">
      <c r="A22" s="49" t="n"/>
      <c r="B22" s="49" t="n"/>
      <c r="C22" s="49" t="n"/>
      <c r="D22" s="50" t="n"/>
      <c r="E22" s="49" t="n"/>
      <c r="F22" s="49" t="n"/>
      <c r="G22" s="49">
        <f>TRUE()</f>
        <v/>
      </c>
      <c r="H22" s="50">
        <f>IF($A22="","",IF(AND(G22,D22&lt;=TARGET_LEVEL_NUM),"Applicable","N/A"))</f>
        <v/>
      </c>
      <c r="I22" s="49" t="n"/>
      <c r="J22" s="49" t="n"/>
      <c r="K22" s="49" t="n"/>
      <c r="L22" s="49" t="n"/>
      <c r="M22" s="49" t="n"/>
      <c r="N22" s="49" t="n"/>
      <c r="O22" s="50" t="n"/>
      <c r="P22" s="50">
        <f>IF($A22="","",IF(H22="N/A","N/A",IFERROR(INDEX(CRIT_MATRIX,MATCH(O22,CRIT_MATRIX_ROWS,0),MATCH(APP_RISK_TIER,CRIT_MATRIX_COLS,0)),"")))</f>
        <v/>
      </c>
      <c r="Q22" s="49" t="n"/>
      <c r="R22" s="49" cm="1">
        <f t="array" ref="R22">IF($A22="","",COUNTIFS(tblThreatControls[Control ID],$A22,tblThreatControls[Threat applies],"Applies"))</f>
        <v/>
      </c>
      <c r="S22" s="49" cm="1">
        <f t="array" ref="S22">IF($A22="","",IF(R22=0,"",INDEX(RISK_SCALE_NAMES,_xlfn.MAXIFS(tblThreatControls[Threat risk score],tblThreatControls[Control ID],$A22))))</f>
        <v/>
      </c>
      <c r="T22" s="49" cm="1">
        <f t="array" ref="T22">IF($A22="","",IF(AND(H22="Applicable",OR(L22="Not assessed",L22=""),R22&gt;0),"Yes","No"))</f>
        <v/>
      </c>
      <c r="U22" s="49" cm="1">
        <f t="array" ref="U22">IF($A22="","",IF(AND(H22="Applicable",OR(L22="Gap",L22="Partial coverage")),INDEX(RISK_SCALE_NAMES,MAX(IFERROR(MATCH(P22,RISK_SCALE_NAMES,0),1),IFERROR(MATCH(S22,RISK_SCALE_NAMES,0),0))),""))</f>
        <v/>
      </c>
      <c r="V22" s="49" cm="1">
        <f t="array" ref="V22">IF($A22="","",_xlfn.TEXTJOIN("; ",TRUE,_xlfn._xlws.FILTER(tblThreatControls[Threat ID],(tblThreatControls[Control ID]=$A22)*(tblThreatControls[Threat applies]="Applies"),"")))</f>
        <v/>
      </c>
    </row>
    <row r="23" ht="45" customHeight="1" s="19">
      <c r="A23" s="49" t="n"/>
      <c r="B23" s="49" t="n"/>
      <c r="C23" s="49" t="n"/>
      <c r="D23" s="50" t="n"/>
      <c r="E23" s="49" t="n"/>
      <c r="F23" s="49" t="n"/>
      <c r="G23" s="49">
        <f>TRUE()</f>
        <v/>
      </c>
      <c r="H23" s="50">
        <f>IF($A23="","",IF(AND(G23,D23&lt;=TARGET_LEVEL_NUM),"Applicable","N/A"))</f>
        <v/>
      </c>
      <c r="I23" s="49" t="n"/>
      <c r="J23" s="49" t="n"/>
      <c r="K23" s="49" t="n"/>
      <c r="L23" s="49" t="n"/>
      <c r="M23" s="49" t="n"/>
      <c r="N23" s="49" t="n"/>
      <c r="O23" s="50" t="n"/>
      <c r="P23" s="50">
        <f>IF($A23="","",IF(H23="N/A","N/A",IFERROR(INDEX(CRIT_MATRIX,MATCH(O23,CRIT_MATRIX_ROWS,0),MATCH(APP_RISK_TIER,CRIT_MATRIX_COLS,0)),"")))</f>
        <v/>
      </c>
      <c r="Q23" s="49" t="n"/>
      <c r="R23" s="49" cm="1">
        <f t="array" ref="R23">IF($A23="","",COUNTIFS(tblThreatControls[Control ID],$A23,tblThreatControls[Threat applies],"Applies"))</f>
        <v/>
      </c>
      <c r="S23" s="49" cm="1">
        <f t="array" ref="S23">IF($A23="","",IF(R23=0,"",INDEX(RISK_SCALE_NAMES,_xlfn.MAXIFS(tblThreatControls[Threat risk score],tblThreatControls[Control ID],$A23))))</f>
        <v/>
      </c>
      <c r="T23" s="49" cm="1">
        <f t="array" ref="T23">IF($A23="","",IF(AND(H23="Applicable",OR(L23="Not assessed",L23=""),R23&gt;0),"Yes","No"))</f>
        <v/>
      </c>
      <c r="U23" s="49" cm="1">
        <f t="array" ref="U23">IF($A23="","",IF(AND(H23="Applicable",OR(L23="Gap",L23="Partial coverage")),INDEX(RISK_SCALE_NAMES,MAX(IFERROR(MATCH(P23,RISK_SCALE_NAMES,0),1),IFERROR(MATCH(S23,RISK_SCALE_NAMES,0),0))),""))</f>
        <v/>
      </c>
      <c r="V23" s="49" cm="1">
        <f t="array" ref="V23">IF($A23="","",_xlfn.TEXTJOIN("; ",TRUE,_xlfn._xlws.FILTER(tblThreatControls[Threat ID],(tblThreatControls[Control ID]=$A23)*(tblThreatControls[Threat applies]="Applies"),"")))</f>
        <v/>
      </c>
    </row>
    <row r="24" ht="45" customHeight="1" s="19">
      <c r="A24" s="49" t="n"/>
      <c r="B24" s="49" t="n"/>
      <c r="C24" s="49" t="n"/>
      <c r="D24" s="50" t="n"/>
      <c r="E24" s="49" t="n"/>
      <c r="F24" s="49" t="n"/>
      <c r="G24" s="49">
        <f>TRUE()</f>
        <v/>
      </c>
      <c r="H24" s="50">
        <f>IF($A24="","",IF(AND(G24,D24&lt;=TARGET_LEVEL_NUM),"Applicable","N/A"))</f>
        <v/>
      </c>
      <c r="I24" s="49" t="n"/>
      <c r="J24" s="49" t="n"/>
      <c r="K24" s="49" t="n"/>
      <c r="L24" s="49" t="n"/>
      <c r="M24" s="49" t="n"/>
      <c r="N24" s="49" t="n"/>
      <c r="O24" s="50" t="n"/>
      <c r="P24" s="50">
        <f>IF($A24="","",IF(H24="N/A","N/A",IFERROR(INDEX(CRIT_MATRIX,MATCH(O24,CRIT_MATRIX_ROWS,0),MATCH(APP_RISK_TIER,CRIT_MATRIX_COLS,0)),"")))</f>
        <v/>
      </c>
      <c r="Q24" s="49" t="n"/>
      <c r="R24" s="49" cm="1">
        <f t="array" ref="R24">IF($A24="","",COUNTIFS(tblThreatControls[Control ID],$A24,tblThreatControls[Threat applies],"Applies"))</f>
        <v/>
      </c>
      <c r="S24" s="49" cm="1">
        <f t="array" ref="S24">IF($A24="","",IF(R24=0,"",INDEX(RISK_SCALE_NAMES,_xlfn.MAXIFS(tblThreatControls[Threat risk score],tblThreatControls[Control ID],$A24))))</f>
        <v/>
      </c>
      <c r="T24" s="49" cm="1">
        <f t="array" ref="T24">IF($A24="","",IF(AND(H24="Applicable",OR(L24="Not assessed",L24=""),R24&gt;0),"Yes","No"))</f>
        <v/>
      </c>
      <c r="U24" s="49" cm="1">
        <f t="array" ref="U24">IF($A24="","",IF(AND(H24="Applicable",OR(L24="Gap",L24="Partial coverage")),INDEX(RISK_SCALE_NAMES,MAX(IFERROR(MATCH(P24,RISK_SCALE_NAMES,0),1),IFERROR(MATCH(S24,RISK_SCALE_NAMES,0),0))),""))</f>
        <v/>
      </c>
      <c r="V24" s="49" cm="1">
        <f t="array" ref="V24">IF($A24="","",_xlfn.TEXTJOIN("; ",TRUE,_xlfn._xlws.FILTER(tblThreatControls[Threat ID],(tblThreatControls[Control ID]=$A24)*(tblThreatControls[Threat applies]="Applies"),"")))</f>
        <v/>
      </c>
    </row>
    <row r="25" ht="45" customHeight="1" s="19">
      <c r="A25" s="49" t="n"/>
      <c r="B25" s="49" t="n"/>
      <c r="C25" s="49" t="n"/>
      <c r="D25" s="50" t="n"/>
      <c r="E25" s="49" t="n"/>
      <c r="F25" s="49" t="n"/>
      <c r="G25" s="49">
        <f>TRUE()</f>
        <v/>
      </c>
      <c r="H25" s="50">
        <f>IF($A25="","",IF(AND(G25,D25&lt;=TARGET_LEVEL_NUM),"Applicable","N/A"))</f>
        <v/>
      </c>
      <c r="I25" s="49" t="n"/>
      <c r="J25" s="49" t="n"/>
      <c r="K25" s="49" t="n"/>
      <c r="L25" s="49" t="n"/>
      <c r="M25" s="49" t="n"/>
      <c r="N25" s="49" t="n"/>
      <c r="O25" s="50" t="n"/>
      <c r="P25" s="50">
        <f>IF($A25="","",IF(H25="N/A","N/A",IFERROR(INDEX(CRIT_MATRIX,MATCH(O25,CRIT_MATRIX_ROWS,0),MATCH(APP_RISK_TIER,CRIT_MATRIX_COLS,0)),"")))</f>
        <v/>
      </c>
      <c r="Q25" s="49" t="n"/>
      <c r="R25" s="49" cm="1">
        <f t="array" ref="R25">IF($A25="","",COUNTIFS(tblThreatControls[Control ID],$A25,tblThreatControls[Threat applies],"Applies"))</f>
        <v/>
      </c>
      <c r="S25" s="49" cm="1">
        <f t="array" ref="S25">IF($A25="","",IF(R25=0,"",INDEX(RISK_SCALE_NAMES,_xlfn.MAXIFS(tblThreatControls[Threat risk score],tblThreatControls[Control ID],$A25))))</f>
        <v/>
      </c>
      <c r="T25" s="49" cm="1">
        <f t="array" ref="T25">IF($A25="","",IF(AND(H25="Applicable",OR(L25="Not assessed",L25=""),R25&gt;0),"Yes","No"))</f>
        <v/>
      </c>
      <c r="U25" s="49" cm="1">
        <f t="array" ref="U25">IF($A25="","",IF(AND(H25="Applicable",OR(L25="Gap",L25="Partial coverage")),INDEX(RISK_SCALE_NAMES,MAX(IFERROR(MATCH(P25,RISK_SCALE_NAMES,0),1),IFERROR(MATCH(S25,RISK_SCALE_NAMES,0),0))),""))</f>
        <v/>
      </c>
      <c r="V25" s="49" cm="1">
        <f t="array" ref="V25">IF($A25="","",_xlfn.TEXTJOIN("; ",TRUE,_xlfn._xlws.FILTER(tblThreatControls[Threat ID],(tblThreatControls[Control ID]=$A25)*(tblThreatControls[Threat applies]="Applies"),"")))</f>
        <v/>
      </c>
    </row>
    <row r="26" ht="45" customHeight="1" s="19">
      <c r="A26" s="49" t="n"/>
      <c r="B26" s="49" t="n"/>
      <c r="C26" s="49" t="n"/>
      <c r="D26" s="50" t="n"/>
      <c r="E26" s="49" t="n"/>
      <c r="F26" s="49" t="n"/>
      <c r="G26" s="49">
        <f>TRUE()</f>
        <v/>
      </c>
      <c r="H26" s="50">
        <f>IF($A26="","",IF(AND(G26,D26&lt;=TARGET_LEVEL_NUM),"Applicable","N/A"))</f>
        <v/>
      </c>
      <c r="I26" s="49" t="n"/>
      <c r="J26" s="49" t="n"/>
      <c r="K26" s="49" t="n"/>
      <c r="L26" s="49" t="n"/>
      <c r="M26" s="49" t="n"/>
      <c r="N26" s="49" t="n"/>
      <c r="O26" s="50" t="n"/>
      <c r="P26" s="50">
        <f>IF($A26="","",IF(H26="N/A","N/A",IFERROR(INDEX(CRIT_MATRIX,MATCH(O26,CRIT_MATRIX_ROWS,0),MATCH(APP_RISK_TIER,CRIT_MATRIX_COLS,0)),"")))</f>
        <v/>
      </c>
      <c r="Q26" s="49" t="n"/>
      <c r="R26" s="49" cm="1">
        <f t="array" ref="R26">IF($A26="","",COUNTIFS(tblThreatControls[Control ID],$A26,tblThreatControls[Threat applies],"Applies"))</f>
        <v/>
      </c>
      <c r="S26" s="49" cm="1">
        <f t="array" ref="S26">IF($A26="","",IF(R26=0,"",INDEX(RISK_SCALE_NAMES,_xlfn.MAXIFS(tblThreatControls[Threat risk score],tblThreatControls[Control ID],$A26))))</f>
        <v/>
      </c>
      <c r="T26" s="49" cm="1">
        <f t="array" ref="T26">IF($A26="","",IF(AND(H26="Applicable",OR(L26="Not assessed",L26=""),R26&gt;0),"Yes","No"))</f>
        <v/>
      </c>
      <c r="U26" s="49" cm="1">
        <f t="array" ref="U26">IF($A26="","",IF(AND(H26="Applicable",OR(L26="Gap",L26="Partial coverage")),INDEX(RISK_SCALE_NAMES,MAX(IFERROR(MATCH(P26,RISK_SCALE_NAMES,0),1),IFERROR(MATCH(S26,RISK_SCALE_NAMES,0),0))),""))</f>
        <v/>
      </c>
      <c r="V26" s="49" cm="1">
        <f t="array" ref="V26">IF($A26="","",_xlfn.TEXTJOIN("; ",TRUE,_xlfn._xlws.FILTER(tblThreatControls[Threat ID],(tblThreatControls[Control ID]=$A26)*(tblThreatControls[Threat applies]="Applies"),"")))</f>
        <v/>
      </c>
    </row>
    <row r="27" ht="45" customHeight="1" s="19">
      <c r="A27" s="49" t="n"/>
      <c r="B27" s="49" t="n"/>
      <c r="C27" s="49" t="n"/>
      <c r="D27" s="50" t="n"/>
      <c r="E27" s="49" t="n"/>
      <c r="F27" s="49" t="n"/>
      <c r="G27" s="49">
        <f>TRUE()</f>
        <v/>
      </c>
      <c r="H27" s="50">
        <f>IF($A27="","",IF(AND(G27,D27&lt;=TARGET_LEVEL_NUM),"Applicable","N/A"))</f>
        <v/>
      </c>
      <c r="I27" s="49" t="n"/>
      <c r="J27" s="49" t="n"/>
      <c r="K27" s="49" t="n"/>
      <c r="L27" s="49" t="n"/>
      <c r="M27" s="49" t="n"/>
      <c r="N27" s="49" t="n"/>
      <c r="O27" s="50" t="n"/>
      <c r="P27" s="50">
        <f>IF($A27="","",IF(H27="N/A","N/A",IFERROR(INDEX(CRIT_MATRIX,MATCH(O27,CRIT_MATRIX_ROWS,0),MATCH(APP_RISK_TIER,CRIT_MATRIX_COLS,0)),"")))</f>
        <v/>
      </c>
      <c r="Q27" s="49" t="n"/>
      <c r="R27" s="49" cm="1">
        <f t="array" ref="R27">IF($A27="","",COUNTIFS(tblThreatControls[Control ID],$A27,tblThreatControls[Threat applies],"Applies"))</f>
        <v/>
      </c>
      <c r="S27" s="49" cm="1">
        <f t="array" ref="S27">IF($A27="","",IF(R27=0,"",INDEX(RISK_SCALE_NAMES,_xlfn.MAXIFS(tblThreatControls[Threat risk score],tblThreatControls[Control ID],$A27))))</f>
        <v/>
      </c>
      <c r="T27" s="49" cm="1">
        <f t="array" ref="T27">IF($A27="","",IF(AND(H27="Applicable",OR(L27="Not assessed",L27=""),R27&gt;0),"Yes","No"))</f>
        <v/>
      </c>
      <c r="U27" s="49" cm="1">
        <f t="array" ref="U27">IF($A27="","",IF(AND(H27="Applicable",OR(L27="Gap",L27="Partial coverage")),INDEX(RISK_SCALE_NAMES,MAX(IFERROR(MATCH(P27,RISK_SCALE_NAMES,0),1),IFERROR(MATCH(S27,RISK_SCALE_NAMES,0),0))),""))</f>
        <v/>
      </c>
      <c r="V27" s="49" cm="1">
        <f t="array" ref="V27">IF($A27="","",_xlfn.TEXTJOIN("; ",TRUE,_xlfn._xlws.FILTER(tblThreatControls[Threat ID],(tblThreatControls[Control ID]=$A27)*(tblThreatControls[Threat applies]="Applies"),"")))</f>
        <v/>
      </c>
    </row>
    <row r="28" ht="45" customHeight="1" s="19">
      <c r="A28" s="49" t="n"/>
      <c r="B28" s="49" t="n"/>
      <c r="C28" s="49" t="n"/>
      <c r="D28" s="50" t="n"/>
      <c r="E28" s="49" t="n"/>
      <c r="F28" s="49" t="n"/>
      <c r="G28" s="49">
        <f>TRUE()</f>
        <v/>
      </c>
      <c r="H28" s="50">
        <f>IF($A28="","",IF(AND(G28,D28&lt;=TARGET_LEVEL_NUM),"Applicable","N/A"))</f>
        <v/>
      </c>
      <c r="I28" s="49" t="n"/>
      <c r="J28" s="49" t="n"/>
      <c r="K28" s="49" t="n"/>
      <c r="L28" s="49" t="n"/>
      <c r="M28" s="49" t="n"/>
      <c r="N28" s="49" t="n"/>
      <c r="O28" s="50" t="n"/>
      <c r="P28" s="50">
        <f>IF($A28="","",IF(H28="N/A","N/A",IFERROR(INDEX(CRIT_MATRIX,MATCH(O28,CRIT_MATRIX_ROWS,0),MATCH(APP_RISK_TIER,CRIT_MATRIX_COLS,0)),"")))</f>
        <v/>
      </c>
      <c r="Q28" s="49" t="n"/>
      <c r="R28" s="49" cm="1">
        <f t="array" ref="R28">IF($A28="","",COUNTIFS(tblThreatControls[Control ID],$A28,tblThreatControls[Threat applies],"Applies"))</f>
        <v/>
      </c>
      <c r="S28" s="49" cm="1">
        <f t="array" ref="S28">IF($A28="","",IF(R28=0,"",INDEX(RISK_SCALE_NAMES,_xlfn.MAXIFS(tblThreatControls[Threat risk score],tblThreatControls[Control ID],$A28))))</f>
        <v/>
      </c>
      <c r="T28" s="49" cm="1">
        <f t="array" ref="T28">IF($A28="","",IF(AND(H28="Applicable",OR(L28="Not assessed",L28=""),R28&gt;0),"Yes","No"))</f>
        <v/>
      </c>
      <c r="U28" s="49" cm="1">
        <f t="array" ref="U28">IF($A28="","",IF(AND(H28="Applicable",OR(L28="Gap",L28="Partial coverage")),INDEX(RISK_SCALE_NAMES,MAX(IFERROR(MATCH(P28,RISK_SCALE_NAMES,0),1),IFERROR(MATCH(S28,RISK_SCALE_NAMES,0),0))),""))</f>
        <v/>
      </c>
      <c r="V28" s="49" cm="1">
        <f t="array" ref="V28">IF($A28="","",_xlfn.TEXTJOIN("; ",TRUE,_xlfn._xlws.FILTER(tblThreatControls[Threat ID],(tblThreatControls[Control ID]=$A28)*(tblThreatControls[Threat applies]="Applies"),"")))</f>
        <v/>
      </c>
    </row>
    <row r="29" ht="45" customHeight="1" s="19">
      <c r="A29" s="49" t="n"/>
      <c r="B29" s="49" t="n"/>
      <c r="C29" s="49" t="n"/>
      <c r="D29" s="50" t="n"/>
      <c r="E29" s="49" t="n"/>
      <c r="F29" s="49" t="n"/>
      <c r="G29" s="49">
        <f>TRUE()</f>
        <v/>
      </c>
      <c r="H29" s="50">
        <f>IF($A29="","",IF(AND(G29,D29&lt;=TARGET_LEVEL_NUM),"Applicable","N/A"))</f>
        <v/>
      </c>
      <c r="I29" s="49" t="n"/>
      <c r="J29" s="49" t="n"/>
      <c r="K29" s="49" t="n"/>
      <c r="L29" s="49" t="n"/>
      <c r="M29" s="49" t="n"/>
      <c r="N29" s="49" t="n"/>
      <c r="O29" s="50" t="n"/>
      <c r="P29" s="50">
        <f>IF($A29="","",IF(H29="N/A","N/A",IFERROR(INDEX(CRIT_MATRIX,MATCH(O29,CRIT_MATRIX_ROWS,0),MATCH(APP_RISK_TIER,CRIT_MATRIX_COLS,0)),"")))</f>
        <v/>
      </c>
      <c r="Q29" s="49" t="n"/>
      <c r="R29" s="49" cm="1">
        <f t="array" ref="R29">IF($A29="","",COUNTIFS(tblThreatControls[Control ID],$A29,tblThreatControls[Threat applies],"Applies"))</f>
        <v/>
      </c>
      <c r="S29" s="49" cm="1">
        <f t="array" ref="S29">IF($A29="","",IF(R29=0,"",INDEX(RISK_SCALE_NAMES,_xlfn.MAXIFS(tblThreatControls[Threat risk score],tblThreatControls[Control ID],$A29))))</f>
        <v/>
      </c>
      <c r="T29" s="49" cm="1">
        <f t="array" ref="T29">IF($A29="","",IF(AND(H29="Applicable",OR(L29="Not assessed",L29=""),R29&gt;0),"Yes","No"))</f>
        <v/>
      </c>
      <c r="U29" s="49" cm="1">
        <f t="array" ref="U29">IF($A29="","",IF(AND(H29="Applicable",OR(L29="Gap",L29="Partial coverage")),INDEX(RISK_SCALE_NAMES,MAX(IFERROR(MATCH(P29,RISK_SCALE_NAMES,0),1),IFERROR(MATCH(S29,RISK_SCALE_NAMES,0),0))),""))</f>
        <v/>
      </c>
      <c r="V29" s="49" cm="1">
        <f t="array" ref="V29">IF($A29="","",_xlfn.TEXTJOIN("; ",TRUE,_xlfn._xlws.FILTER(tblThreatControls[Threat ID],(tblThreatControls[Control ID]=$A29)*(tblThreatControls[Threat applies]="Applies"),"")))</f>
        <v/>
      </c>
    </row>
    <row r="30" ht="45" customHeight="1" s="19">
      <c r="A30" s="49" t="n"/>
      <c r="B30" s="49" t="n"/>
      <c r="C30" s="49" t="n"/>
      <c r="D30" s="50" t="n"/>
      <c r="E30" s="49" t="n"/>
      <c r="F30" s="49" t="n"/>
      <c r="G30" s="49">
        <f>TRUE()</f>
        <v/>
      </c>
      <c r="H30" s="50">
        <f>IF($A30="","",IF(AND(G30,D30&lt;=TARGET_LEVEL_NUM),"Applicable","N/A"))</f>
        <v/>
      </c>
      <c r="I30" s="49" t="n"/>
      <c r="J30" s="49" t="n"/>
      <c r="K30" s="49" t="n"/>
      <c r="L30" s="49" t="n"/>
      <c r="M30" s="49" t="n"/>
      <c r="N30" s="49" t="n"/>
      <c r="O30" s="50" t="n"/>
      <c r="P30" s="50">
        <f>IF($A30="","",IF(H30="N/A","N/A",IFERROR(INDEX(CRIT_MATRIX,MATCH(O30,CRIT_MATRIX_ROWS,0),MATCH(APP_RISK_TIER,CRIT_MATRIX_COLS,0)),"")))</f>
        <v/>
      </c>
      <c r="Q30" s="49" t="n"/>
      <c r="R30" s="49" cm="1">
        <f t="array" ref="R30">IF($A30="","",COUNTIFS(tblThreatControls[Control ID],$A30,tblThreatControls[Threat applies],"Applies"))</f>
        <v/>
      </c>
      <c r="S30" s="49" cm="1">
        <f t="array" ref="S30">IF($A30="","",IF(R30=0,"",INDEX(RISK_SCALE_NAMES,_xlfn.MAXIFS(tblThreatControls[Threat risk score],tblThreatControls[Control ID],$A30))))</f>
        <v/>
      </c>
      <c r="T30" s="49" cm="1">
        <f t="array" ref="T30">IF($A30="","",IF(AND(H30="Applicable",OR(L30="Not assessed",L30=""),R30&gt;0),"Yes","No"))</f>
        <v/>
      </c>
      <c r="U30" s="49" cm="1">
        <f t="array" ref="U30">IF($A30="","",IF(AND(H30="Applicable",OR(L30="Gap",L30="Partial coverage")),INDEX(RISK_SCALE_NAMES,MAX(IFERROR(MATCH(P30,RISK_SCALE_NAMES,0),1),IFERROR(MATCH(S30,RISK_SCALE_NAMES,0),0))),""))</f>
        <v/>
      </c>
      <c r="V30" s="49" cm="1">
        <f t="array" ref="V30">IF($A30="","",_xlfn.TEXTJOIN("; ",TRUE,_xlfn._xlws.FILTER(tblThreatControls[Threat ID],(tblThreatControls[Control ID]=$A30)*(tblThreatControls[Threat applies]="Applies"),"")))</f>
        <v/>
      </c>
    </row>
    <row r="31" ht="45" customHeight="1" s="19">
      <c r="A31" s="49" t="n"/>
      <c r="B31" s="49" t="n"/>
      <c r="C31" s="49" t="n"/>
      <c r="D31" s="50" t="n"/>
      <c r="E31" s="49" t="n"/>
      <c r="F31" s="49" t="n"/>
      <c r="G31" s="49">
        <f>TRUE()</f>
        <v/>
      </c>
      <c r="H31" s="50">
        <f>IF($A31="","",IF(AND(G31,D31&lt;=TARGET_LEVEL_NUM),"Applicable","N/A"))</f>
        <v/>
      </c>
      <c r="I31" s="49" t="n"/>
      <c r="J31" s="49" t="n"/>
      <c r="K31" s="49" t="n"/>
      <c r="L31" s="49" t="n"/>
      <c r="M31" s="49" t="n"/>
      <c r="N31" s="49" t="n"/>
      <c r="O31" s="50" t="n"/>
      <c r="P31" s="50">
        <f>IF($A31="","",IF(H31="N/A","N/A",IFERROR(INDEX(CRIT_MATRIX,MATCH(O31,CRIT_MATRIX_ROWS,0),MATCH(APP_RISK_TIER,CRIT_MATRIX_COLS,0)),"")))</f>
        <v/>
      </c>
      <c r="Q31" s="49" t="n"/>
      <c r="R31" s="49" cm="1">
        <f t="array" ref="R31">IF($A31="","",COUNTIFS(tblThreatControls[Control ID],$A31,tblThreatControls[Threat applies],"Applies"))</f>
        <v/>
      </c>
      <c r="S31" s="49" cm="1">
        <f t="array" ref="S31">IF($A31="","",IF(R31=0,"",INDEX(RISK_SCALE_NAMES,_xlfn.MAXIFS(tblThreatControls[Threat risk score],tblThreatControls[Control ID],$A31))))</f>
        <v/>
      </c>
      <c r="T31" s="49" cm="1">
        <f t="array" ref="T31">IF($A31="","",IF(AND(H31="Applicable",OR(L31="Not assessed",L31=""),R31&gt;0),"Yes","No"))</f>
        <v/>
      </c>
      <c r="U31" s="49" cm="1">
        <f t="array" ref="U31">IF($A31="","",IF(AND(H31="Applicable",OR(L31="Gap",L31="Partial coverage")),INDEX(RISK_SCALE_NAMES,MAX(IFERROR(MATCH(P31,RISK_SCALE_NAMES,0),1),IFERROR(MATCH(S31,RISK_SCALE_NAMES,0),0))),""))</f>
        <v/>
      </c>
      <c r="V31" s="49" cm="1">
        <f t="array" ref="V31">IF($A31="","",_xlfn.TEXTJOIN("; ",TRUE,_xlfn._xlws.FILTER(tblThreatControls[Threat ID],(tblThreatControls[Control ID]=$A31)*(tblThreatControls[Threat applies]="Applies"),"")))</f>
        <v/>
      </c>
    </row>
    <row r="32" ht="45" customHeight="1" s="19">
      <c r="A32" s="49" t="n"/>
      <c r="B32" s="49" t="n"/>
      <c r="C32" s="49" t="n"/>
      <c r="D32" s="50" t="n"/>
      <c r="E32" s="49" t="n"/>
      <c r="F32" s="49" t="n"/>
      <c r="G32" s="49">
        <f>TRUE()</f>
        <v/>
      </c>
      <c r="H32" s="50">
        <f>IF($A32="","",IF(AND(G32,D32&lt;=TARGET_LEVEL_NUM),"Applicable","N/A"))</f>
        <v/>
      </c>
      <c r="I32" s="49" t="n"/>
      <c r="J32" s="49" t="n"/>
      <c r="K32" s="49" t="n"/>
      <c r="L32" s="49" t="n"/>
      <c r="M32" s="49" t="n"/>
      <c r="N32" s="49" t="n"/>
      <c r="O32" s="50" t="n"/>
      <c r="P32" s="50">
        <f>IF($A32="","",IF(H32="N/A","N/A",IFERROR(INDEX(CRIT_MATRIX,MATCH(O32,CRIT_MATRIX_ROWS,0),MATCH(APP_RISK_TIER,CRIT_MATRIX_COLS,0)),"")))</f>
        <v/>
      </c>
      <c r="Q32" s="49" t="n"/>
      <c r="R32" s="49" cm="1">
        <f t="array" ref="R32">IF($A32="","",COUNTIFS(tblThreatControls[Control ID],$A32,tblThreatControls[Threat applies],"Applies"))</f>
        <v/>
      </c>
      <c r="S32" s="49" cm="1">
        <f t="array" ref="S32">IF($A32="","",IF(R32=0,"",INDEX(RISK_SCALE_NAMES,_xlfn.MAXIFS(tblThreatControls[Threat risk score],tblThreatControls[Control ID],$A32))))</f>
        <v/>
      </c>
      <c r="T32" s="49" cm="1">
        <f t="array" ref="T32">IF($A32="","",IF(AND(H32="Applicable",OR(L32="Not assessed",L32=""),R32&gt;0),"Yes","No"))</f>
        <v/>
      </c>
      <c r="U32" s="49" cm="1">
        <f t="array" ref="U32">IF($A32="","",IF(AND(H32="Applicable",OR(L32="Gap",L32="Partial coverage")),INDEX(RISK_SCALE_NAMES,MAX(IFERROR(MATCH(P32,RISK_SCALE_NAMES,0),1),IFERROR(MATCH(S32,RISK_SCALE_NAMES,0),0))),""))</f>
        <v/>
      </c>
      <c r="V32" s="49" cm="1">
        <f t="array" ref="V32">IF($A32="","",_xlfn.TEXTJOIN("; ",TRUE,_xlfn._xlws.FILTER(tblThreatControls[Threat ID],(tblThreatControls[Control ID]=$A32)*(tblThreatControls[Threat applies]="Applies"),"")))</f>
        <v/>
      </c>
    </row>
    <row r="33" ht="45" customHeight="1" s="19">
      <c r="A33" s="49" t="n"/>
      <c r="B33" s="49" t="n"/>
      <c r="C33" s="49" t="n"/>
      <c r="D33" s="50" t="n"/>
      <c r="E33" s="49" t="n"/>
      <c r="F33" s="49" t="n"/>
      <c r="G33" s="49">
        <f>TRUE()</f>
        <v/>
      </c>
      <c r="H33" s="50">
        <f>IF($A33="","",IF(AND(G33,D33&lt;=TARGET_LEVEL_NUM),"Applicable","N/A"))</f>
        <v/>
      </c>
      <c r="I33" s="49" t="n"/>
      <c r="J33" s="49" t="n"/>
      <c r="K33" s="49" t="n"/>
      <c r="L33" s="49" t="n"/>
      <c r="M33" s="49" t="n"/>
      <c r="N33" s="49" t="n"/>
      <c r="O33" s="50" t="n"/>
      <c r="P33" s="50">
        <f>IF($A33="","",IF(H33="N/A","N/A",IFERROR(INDEX(CRIT_MATRIX,MATCH(O33,CRIT_MATRIX_ROWS,0),MATCH(APP_RISK_TIER,CRIT_MATRIX_COLS,0)),"")))</f>
        <v/>
      </c>
      <c r="Q33" s="49" t="n"/>
      <c r="R33" s="49" cm="1">
        <f t="array" ref="R33">IF($A33="","",COUNTIFS(tblThreatControls[Control ID],$A33,tblThreatControls[Threat applies],"Applies"))</f>
        <v/>
      </c>
      <c r="S33" s="49" cm="1">
        <f t="array" ref="S33">IF($A33="","",IF(R33=0,"",INDEX(RISK_SCALE_NAMES,_xlfn.MAXIFS(tblThreatControls[Threat risk score],tblThreatControls[Control ID],$A33))))</f>
        <v/>
      </c>
      <c r="T33" s="49" cm="1">
        <f t="array" ref="T33">IF($A33="","",IF(AND(H33="Applicable",OR(L33="Not assessed",L33=""),R33&gt;0),"Yes","No"))</f>
        <v/>
      </c>
      <c r="U33" s="49" cm="1">
        <f t="array" ref="U33">IF($A33="","",IF(AND(H33="Applicable",OR(L33="Gap",L33="Partial coverage")),INDEX(RISK_SCALE_NAMES,MAX(IFERROR(MATCH(P33,RISK_SCALE_NAMES,0),1),IFERROR(MATCH(S33,RISK_SCALE_NAMES,0),0))),""))</f>
        <v/>
      </c>
      <c r="V33" s="49" cm="1">
        <f t="array" ref="V33">IF($A33="","",_xlfn.TEXTJOIN("; ",TRUE,_xlfn._xlws.FILTER(tblThreatControls[Threat ID],(tblThreatControls[Control ID]=$A33)*(tblThreatControls[Threat applies]="Applies"),"")))</f>
        <v/>
      </c>
    </row>
    <row r="34" ht="45" customHeight="1" s="19">
      <c r="A34" s="49" t="n"/>
      <c r="B34" s="49" t="n"/>
      <c r="C34" s="49" t="n"/>
      <c r="D34" s="50" t="n"/>
      <c r="E34" s="49" t="n"/>
      <c r="F34" s="49" t="n"/>
      <c r="G34" s="49">
        <f>TRUE()</f>
        <v/>
      </c>
      <c r="H34" s="50">
        <f>IF($A34="","",IF(AND(G34,D34&lt;=TARGET_LEVEL_NUM),"Applicable","N/A"))</f>
        <v/>
      </c>
      <c r="I34" s="49" t="n"/>
      <c r="J34" s="49" t="n"/>
      <c r="K34" s="49" t="n"/>
      <c r="L34" s="49" t="n"/>
      <c r="M34" s="49" t="n"/>
      <c r="N34" s="49" t="n"/>
      <c r="O34" s="50" t="n"/>
      <c r="P34" s="50">
        <f>IF($A34="","",IF(H34="N/A","N/A",IFERROR(INDEX(CRIT_MATRIX,MATCH(O34,CRIT_MATRIX_ROWS,0),MATCH(APP_RISK_TIER,CRIT_MATRIX_COLS,0)),"")))</f>
        <v/>
      </c>
      <c r="Q34" s="49" t="n"/>
      <c r="R34" s="49" cm="1">
        <f t="array" ref="R34">IF($A34="","",COUNTIFS(tblThreatControls[Control ID],$A34,tblThreatControls[Threat applies],"Applies"))</f>
        <v/>
      </c>
      <c r="S34" s="49" cm="1">
        <f t="array" ref="S34">IF($A34="","",IF(R34=0,"",INDEX(RISK_SCALE_NAMES,_xlfn.MAXIFS(tblThreatControls[Threat risk score],tblThreatControls[Control ID],$A34))))</f>
        <v/>
      </c>
      <c r="T34" s="49" cm="1">
        <f t="array" ref="T34">IF($A34="","",IF(AND(H34="Applicable",OR(L34="Not assessed",L34=""),R34&gt;0),"Yes","No"))</f>
        <v/>
      </c>
      <c r="U34" s="49" cm="1">
        <f t="array" ref="U34">IF($A34="","",IF(AND(H34="Applicable",OR(L34="Gap",L34="Partial coverage")),INDEX(RISK_SCALE_NAMES,MAX(IFERROR(MATCH(P34,RISK_SCALE_NAMES,0),1),IFERROR(MATCH(S34,RISK_SCALE_NAMES,0),0))),""))</f>
        <v/>
      </c>
      <c r="V34" s="49" cm="1">
        <f t="array" ref="V34">IF($A34="","",_xlfn.TEXTJOIN("; ",TRUE,_xlfn._xlws.FILTER(tblThreatControls[Threat ID],(tblThreatControls[Control ID]=$A34)*(tblThreatControls[Threat applies]="Applies"),"")))</f>
        <v/>
      </c>
    </row>
    <row r="35" ht="45" customHeight="1" s="19">
      <c r="A35" s="49" t="n"/>
      <c r="B35" s="49" t="n"/>
      <c r="C35" s="49" t="n"/>
      <c r="D35" s="50" t="n"/>
      <c r="E35" s="49" t="n"/>
      <c r="F35" s="49" t="n"/>
      <c r="G35" s="49">
        <f>TRUE()</f>
        <v/>
      </c>
      <c r="H35" s="50">
        <f>IF($A35="","",IF(AND(G35,D35&lt;=TARGET_LEVEL_NUM),"Applicable","N/A"))</f>
        <v/>
      </c>
      <c r="I35" s="49" t="n"/>
      <c r="J35" s="49" t="n"/>
      <c r="K35" s="49" t="n"/>
      <c r="L35" s="49" t="n"/>
      <c r="M35" s="49" t="n"/>
      <c r="N35" s="49" t="n"/>
      <c r="O35" s="50" t="n"/>
      <c r="P35" s="50">
        <f>IF($A35="","",IF(H35="N/A","N/A",IFERROR(INDEX(CRIT_MATRIX,MATCH(O35,CRIT_MATRIX_ROWS,0),MATCH(APP_RISK_TIER,CRIT_MATRIX_COLS,0)),"")))</f>
        <v/>
      </c>
      <c r="Q35" s="49" t="n"/>
      <c r="R35" s="49" cm="1">
        <f t="array" ref="R35">IF($A35="","",COUNTIFS(tblThreatControls[Control ID],$A35,tblThreatControls[Threat applies],"Applies"))</f>
        <v/>
      </c>
      <c r="S35" s="49" cm="1">
        <f t="array" ref="S35">IF($A35="","",IF(R35=0,"",INDEX(RISK_SCALE_NAMES,_xlfn.MAXIFS(tblThreatControls[Threat risk score],tblThreatControls[Control ID],$A35))))</f>
        <v/>
      </c>
      <c r="T35" s="49" cm="1">
        <f t="array" ref="T35">IF($A35="","",IF(AND(H35="Applicable",OR(L35="Not assessed",L35=""),R35&gt;0),"Yes","No"))</f>
        <v/>
      </c>
      <c r="U35" s="49" cm="1">
        <f t="array" ref="U35">IF($A35="","",IF(AND(H35="Applicable",OR(L35="Gap",L35="Partial coverage")),INDEX(RISK_SCALE_NAMES,MAX(IFERROR(MATCH(P35,RISK_SCALE_NAMES,0),1),IFERROR(MATCH(S35,RISK_SCALE_NAMES,0),0))),""))</f>
        <v/>
      </c>
      <c r="V35" s="49" cm="1">
        <f t="array" ref="V35">IF($A35="","",_xlfn.TEXTJOIN("; ",TRUE,_xlfn._xlws.FILTER(tblThreatControls[Threat ID],(tblThreatControls[Control ID]=$A35)*(tblThreatControls[Threat applies]="Applies"),"")))</f>
        <v/>
      </c>
    </row>
    <row r="36" ht="45" customHeight="1" s="19">
      <c r="A36" s="49" t="n"/>
      <c r="B36" s="49" t="n"/>
      <c r="C36" s="49" t="n"/>
      <c r="D36" s="50" t="n"/>
      <c r="E36" s="49" t="n"/>
      <c r="F36" s="49" t="n"/>
      <c r="G36" s="49">
        <f>TRUE()</f>
        <v/>
      </c>
      <c r="H36" s="50">
        <f>IF($A36="","",IF(AND(G36,D36&lt;=TARGET_LEVEL_NUM),"Applicable","N/A"))</f>
        <v/>
      </c>
      <c r="I36" s="49" t="n"/>
      <c r="J36" s="49" t="n"/>
      <c r="K36" s="49" t="n"/>
      <c r="L36" s="49" t="n"/>
      <c r="M36" s="49" t="n"/>
      <c r="N36" s="49" t="n"/>
      <c r="O36" s="50" t="n"/>
      <c r="P36" s="50">
        <f>IF($A36="","",IF(H36="N/A","N/A",IFERROR(INDEX(CRIT_MATRIX,MATCH(O36,CRIT_MATRIX_ROWS,0),MATCH(APP_RISK_TIER,CRIT_MATRIX_COLS,0)),"")))</f>
        <v/>
      </c>
      <c r="Q36" s="49" t="n"/>
      <c r="R36" s="49" cm="1">
        <f t="array" ref="R36">IF($A36="","",COUNTIFS(tblThreatControls[Control ID],$A36,tblThreatControls[Threat applies],"Applies"))</f>
        <v/>
      </c>
      <c r="S36" s="49" cm="1">
        <f t="array" ref="S36">IF($A36="","",IF(R36=0,"",INDEX(RISK_SCALE_NAMES,_xlfn.MAXIFS(tblThreatControls[Threat risk score],tblThreatControls[Control ID],$A36))))</f>
        <v/>
      </c>
      <c r="T36" s="49" cm="1">
        <f t="array" ref="T36">IF($A36="","",IF(AND(H36="Applicable",OR(L36="Not assessed",L36=""),R36&gt;0),"Yes","No"))</f>
        <v/>
      </c>
      <c r="U36" s="49" cm="1">
        <f t="array" ref="U36">IF($A36="","",IF(AND(H36="Applicable",OR(L36="Gap",L36="Partial coverage")),INDEX(RISK_SCALE_NAMES,MAX(IFERROR(MATCH(P36,RISK_SCALE_NAMES,0),1),IFERROR(MATCH(S36,RISK_SCALE_NAMES,0),0))),""))</f>
        <v/>
      </c>
      <c r="V36" s="49" cm="1">
        <f t="array" ref="V36">IF($A36="","",_xlfn.TEXTJOIN("; ",TRUE,_xlfn._xlws.FILTER(tblThreatControls[Threat ID],(tblThreatControls[Control ID]=$A36)*(tblThreatControls[Threat applies]="Applies"),"")))</f>
        <v/>
      </c>
    </row>
    <row r="37" ht="45" customHeight="1" s="19">
      <c r="A37" s="49" t="n"/>
      <c r="B37" s="49" t="n"/>
      <c r="C37" s="49" t="n"/>
      <c r="D37" s="50" t="n"/>
      <c r="E37" s="49" t="n"/>
      <c r="F37" s="49" t="n"/>
      <c r="G37" s="49">
        <f>TRUE()</f>
        <v/>
      </c>
      <c r="H37" s="50">
        <f>IF($A37="","",IF(AND(G37,D37&lt;=TARGET_LEVEL_NUM),"Applicable","N/A"))</f>
        <v/>
      </c>
      <c r="I37" s="49" t="n"/>
      <c r="J37" s="49" t="n"/>
      <c r="K37" s="49" t="n"/>
      <c r="L37" s="49" t="n"/>
      <c r="M37" s="49" t="n"/>
      <c r="N37" s="49" t="n"/>
      <c r="O37" s="50" t="n"/>
      <c r="P37" s="50">
        <f>IF($A37="","",IF(H37="N/A","N/A",IFERROR(INDEX(CRIT_MATRIX,MATCH(O37,CRIT_MATRIX_ROWS,0),MATCH(APP_RISK_TIER,CRIT_MATRIX_COLS,0)),"")))</f>
        <v/>
      </c>
      <c r="Q37" s="49" t="n"/>
      <c r="R37" s="49" cm="1">
        <f t="array" ref="R37">IF($A37="","",COUNTIFS(tblThreatControls[Control ID],$A37,tblThreatControls[Threat applies],"Applies"))</f>
        <v/>
      </c>
      <c r="S37" s="49" cm="1">
        <f t="array" ref="S37">IF($A37="","",IF(R37=0,"",INDEX(RISK_SCALE_NAMES,_xlfn.MAXIFS(tblThreatControls[Threat risk score],tblThreatControls[Control ID],$A37))))</f>
        <v/>
      </c>
      <c r="T37" s="49" cm="1">
        <f t="array" ref="T37">IF($A37="","",IF(AND(H37="Applicable",OR(L37="Not assessed",L37=""),R37&gt;0),"Yes","No"))</f>
        <v/>
      </c>
      <c r="U37" s="49" cm="1">
        <f t="array" ref="U37">IF($A37="","",IF(AND(H37="Applicable",OR(L37="Gap",L37="Partial coverage")),INDEX(RISK_SCALE_NAMES,MAX(IFERROR(MATCH(P37,RISK_SCALE_NAMES,0),1),IFERROR(MATCH(S37,RISK_SCALE_NAMES,0),0))),""))</f>
        <v/>
      </c>
      <c r="V37" s="49" cm="1">
        <f t="array" ref="V37">IF($A37="","",_xlfn.TEXTJOIN("; ",TRUE,_xlfn._xlws.FILTER(tblThreatControls[Threat ID],(tblThreatControls[Control ID]=$A37)*(tblThreatControls[Threat applies]="Applies"),"")))</f>
        <v/>
      </c>
    </row>
    <row r="38" ht="45" customHeight="1" s="19">
      <c r="A38" s="49" t="n"/>
      <c r="B38" s="49" t="n"/>
      <c r="C38" s="49" t="n"/>
      <c r="D38" s="50" t="n"/>
      <c r="E38" s="49" t="n"/>
      <c r="F38" s="49" t="n"/>
      <c r="G38" s="49">
        <f>TRUE()</f>
        <v/>
      </c>
      <c r="H38" s="50">
        <f>IF($A38="","",IF(AND(G38,D38&lt;=TARGET_LEVEL_NUM),"Applicable","N/A"))</f>
        <v/>
      </c>
      <c r="I38" s="49" t="n"/>
      <c r="J38" s="49" t="n"/>
      <c r="K38" s="49" t="n"/>
      <c r="L38" s="49" t="n"/>
      <c r="M38" s="49" t="n"/>
      <c r="N38" s="49" t="n"/>
      <c r="O38" s="50" t="n"/>
      <c r="P38" s="50">
        <f>IF($A38="","",IF(H38="N/A","N/A",IFERROR(INDEX(CRIT_MATRIX,MATCH(O38,CRIT_MATRIX_ROWS,0),MATCH(APP_RISK_TIER,CRIT_MATRIX_COLS,0)),"")))</f>
        <v/>
      </c>
      <c r="Q38" s="49" t="n"/>
      <c r="R38" s="49" cm="1">
        <f t="array" ref="R38">IF($A38="","",COUNTIFS(tblThreatControls[Control ID],$A38,tblThreatControls[Threat applies],"Applies"))</f>
        <v/>
      </c>
      <c r="S38" s="49" cm="1">
        <f t="array" ref="S38">IF($A38="","",IF(R38=0,"",INDEX(RISK_SCALE_NAMES,_xlfn.MAXIFS(tblThreatControls[Threat risk score],tblThreatControls[Control ID],$A38))))</f>
        <v/>
      </c>
      <c r="T38" s="49" cm="1">
        <f t="array" ref="T38">IF($A38="","",IF(AND(H38="Applicable",OR(L38="Not assessed",L38=""),R38&gt;0),"Yes","No"))</f>
        <v/>
      </c>
      <c r="U38" s="49" cm="1">
        <f t="array" ref="U38">IF($A38="","",IF(AND(H38="Applicable",OR(L38="Gap",L38="Partial coverage")),INDEX(RISK_SCALE_NAMES,MAX(IFERROR(MATCH(P38,RISK_SCALE_NAMES,0),1),IFERROR(MATCH(S38,RISK_SCALE_NAMES,0),0))),""))</f>
        <v/>
      </c>
      <c r="V38" s="49" cm="1">
        <f t="array" ref="V38">IF($A38="","",_xlfn.TEXTJOIN("; ",TRUE,_xlfn._xlws.FILTER(tblThreatControls[Threat ID],(tblThreatControls[Control ID]=$A38)*(tblThreatControls[Threat applies]="Applies"),"")))</f>
        <v/>
      </c>
    </row>
    <row r="39" ht="45" customHeight="1" s="19">
      <c r="A39" s="49" t="n"/>
      <c r="B39" s="49" t="n"/>
      <c r="C39" s="49" t="n"/>
      <c r="D39" s="50" t="n"/>
      <c r="E39" s="49" t="n"/>
      <c r="F39" s="49" t="n"/>
      <c r="G39" s="49">
        <f>TRUE()</f>
        <v/>
      </c>
      <c r="H39" s="50">
        <f>IF($A39="","",IF(AND(G39,D39&lt;=TARGET_LEVEL_NUM),"Applicable","N/A"))</f>
        <v/>
      </c>
      <c r="I39" s="49" t="n"/>
      <c r="J39" s="49" t="n"/>
      <c r="K39" s="49" t="n"/>
      <c r="L39" s="49" t="n"/>
      <c r="M39" s="49" t="n"/>
      <c r="N39" s="49" t="n"/>
      <c r="O39" s="50" t="n"/>
      <c r="P39" s="50">
        <f>IF($A39="","",IF(H39="N/A","N/A",IFERROR(INDEX(CRIT_MATRIX,MATCH(O39,CRIT_MATRIX_ROWS,0),MATCH(APP_RISK_TIER,CRIT_MATRIX_COLS,0)),"")))</f>
        <v/>
      </c>
      <c r="Q39" s="49" t="n"/>
      <c r="R39" s="49" cm="1">
        <f t="array" ref="R39">IF($A39="","",COUNTIFS(tblThreatControls[Control ID],$A39,tblThreatControls[Threat applies],"Applies"))</f>
        <v/>
      </c>
      <c r="S39" s="49" cm="1">
        <f t="array" ref="S39">IF($A39="","",IF(R39=0,"",INDEX(RISK_SCALE_NAMES,_xlfn.MAXIFS(tblThreatControls[Threat risk score],tblThreatControls[Control ID],$A39))))</f>
        <v/>
      </c>
      <c r="T39" s="49" cm="1">
        <f t="array" ref="T39">IF($A39="","",IF(AND(H39="Applicable",OR(L39="Not assessed",L39=""),R39&gt;0),"Yes","No"))</f>
        <v/>
      </c>
      <c r="U39" s="49" cm="1">
        <f t="array" ref="U39">IF($A39="","",IF(AND(H39="Applicable",OR(L39="Gap",L39="Partial coverage")),INDEX(RISK_SCALE_NAMES,MAX(IFERROR(MATCH(P39,RISK_SCALE_NAMES,0),1),IFERROR(MATCH(S39,RISK_SCALE_NAMES,0),0))),""))</f>
        <v/>
      </c>
      <c r="V39" s="49" cm="1">
        <f t="array" ref="V39">IF($A39="","",_xlfn.TEXTJOIN("; ",TRUE,_xlfn._xlws.FILTER(tblThreatControls[Threat ID],(tblThreatControls[Control ID]=$A39)*(tblThreatControls[Threat applies]="Applies"),"")))</f>
        <v/>
      </c>
    </row>
    <row r="40" ht="45" customHeight="1" s="19">
      <c r="A40" s="49" t="n"/>
      <c r="B40" s="49" t="n"/>
      <c r="C40" s="49" t="n"/>
      <c r="D40" s="50" t="n"/>
      <c r="E40" s="49" t="n"/>
      <c r="F40" s="49" t="n"/>
      <c r="G40" s="49">
        <f>TRUE()</f>
        <v/>
      </c>
      <c r="H40" s="50">
        <f>IF($A40="","",IF(AND(G40,D40&lt;=TARGET_LEVEL_NUM),"Applicable","N/A"))</f>
        <v/>
      </c>
      <c r="I40" s="49" t="n"/>
      <c r="J40" s="49" t="n"/>
      <c r="K40" s="49" t="n"/>
      <c r="L40" s="49" t="n"/>
      <c r="M40" s="49" t="n"/>
      <c r="N40" s="49" t="n"/>
      <c r="O40" s="50" t="n"/>
      <c r="P40" s="50">
        <f>IF($A40="","",IF(H40="N/A","N/A",IFERROR(INDEX(CRIT_MATRIX,MATCH(O40,CRIT_MATRIX_ROWS,0),MATCH(APP_RISK_TIER,CRIT_MATRIX_COLS,0)),"")))</f>
        <v/>
      </c>
      <c r="Q40" s="49" t="n"/>
      <c r="R40" s="49" cm="1">
        <f t="array" ref="R40">IF($A40="","",COUNTIFS(tblThreatControls[Control ID],$A40,tblThreatControls[Threat applies],"Applies"))</f>
        <v/>
      </c>
      <c r="S40" s="49" cm="1">
        <f t="array" ref="S40">IF($A40="","",IF(R40=0,"",INDEX(RISK_SCALE_NAMES,_xlfn.MAXIFS(tblThreatControls[Threat risk score],tblThreatControls[Control ID],$A40))))</f>
        <v/>
      </c>
      <c r="T40" s="49" cm="1">
        <f t="array" ref="T40">IF($A40="","",IF(AND(H40="Applicable",OR(L40="Not assessed",L40=""),R40&gt;0),"Yes","No"))</f>
        <v/>
      </c>
      <c r="U40" s="49" cm="1">
        <f t="array" ref="U40">IF($A40="","",IF(AND(H40="Applicable",OR(L40="Gap",L40="Partial coverage")),INDEX(RISK_SCALE_NAMES,MAX(IFERROR(MATCH(P40,RISK_SCALE_NAMES,0),1),IFERROR(MATCH(S40,RISK_SCALE_NAMES,0),0))),""))</f>
        <v/>
      </c>
      <c r="V40" s="49" cm="1">
        <f t="array" ref="V40">IF($A40="","",_xlfn.TEXTJOIN("; ",TRUE,_xlfn._xlws.FILTER(tblThreatControls[Threat ID],(tblThreatControls[Control ID]=$A40)*(tblThreatControls[Threat applies]="Applies"),"")))</f>
        <v/>
      </c>
    </row>
    <row r="41" ht="45" customHeight="1" s="19">
      <c r="A41" s="49" t="n"/>
      <c r="B41" s="49" t="n"/>
      <c r="C41" s="49" t="n"/>
      <c r="D41" s="50" t="n"/>
      <c r="E41" s="49" t="n"/>
      <c r="F41" s="49" t="n"/>
      <c r="G41" s="49">
        <f>TRUE()</f>
        <v/>
      </c>
      <c r="H41" s="50">
        <f>IF($A41="","",IF(AND(G41,D41&lt;=TARGET_LEVEL_NUM),"Applicable","N/A"))</f>
        <v/>
      </c>
      <c r="I41" s="49" t="n"/>
      <c r="J41" s="49" t="n"/>
      <c r="K41" s="49" t="n"/>
      <c r="L41" s="49" t="n"/>
      <c r="M41" s="49" t="n"/>
      <c r="N41" s="49" t="n"/>
      <c r="O41" s="50" t="n"/>
      <c r="P41" s="50">
        <f>IF($A41="","",IF(H41="N/A","N/A",IFERROR(INDEX(CRIT_MATRIX,MATCH(O41,CRIT_MATRIX_ROWS,0),MATCH(APP_RISK_TIER,CRIT_MATRIX_COLS,0)),"")))</f>
        <v/>
      </c>
      <c r="Q41" s="49" t="n"/>
      <c r="R41" s="49" cm="1">
        <f t="array" ref="R41">IF($A41="","",COUNTIFS(tblThreatControls[Control ID],$A41,tblThreatControls[Threat applies],"Applies"))</f>
        <v/>
      </c>
      <c r="S41" s="49" cm="1">
        <f t="array" ref="S41">IF($A41="","",IF(R41=0,"",INDEX(RISK_SCALE_NAMES,_xlfn.MAXIFS(tblThreatControls[Threat risk score],tblThreatControls[Control ID],$A41))))</f>
        <v/>
      </c>
      <c r="T41" s="49" cm="1">
        <f t="array" ref="T41">IF($A41="","",IF(AND(H41="Applicable",OR(L41="Not assessed",L41=""),R41&gt;0),"Yes","No"))</f>
        <v/>
      </c>
      <c r="U41" s="49" cm="1">
        <f t="array" ref="U41">IF($A41="","",IF(AND(H41="Applicable",OR(L41="Gap",L41="Partial coverage")),INDEX(RISK_SCALE_NAMES,MAX(IFERROR(MATCH(P41,RISK_SCALE_NAMES,0),1),IFERROR(MATCH(S41,RISK_SCALE_NAMES,0),0))),""))</f>
        <v/>
      </c>
      <c r="V41" s="49" cm="1">
        <f t="array" ref="V41">IF($A41="","",_xlfn.TEXTJOIN("; ",TRUE,_xlfn._xlws.FILTER(tblThreatControls[Threat ID],(tblThreatControls[Control ID]=$A41)*(tblThreatControls[Threat applies]="Applies"),"")))</f>
        <v/>
      </c>
    </row>
    <row r="42" ht="45" customHeight="1" s="19">
      <c r="A42" s="49" t="n"/>
      <c r="B42" s="49" t="n"/>
      <c r="C42" s="49" t="n"/>
      <c r="D42" s="50" t="n"/>
      <c r="E42" s="49" t="n"/>
      <c r="F42" s="49" t="n"/>
      <c r="G42" s="49">
        <f>TRUE()</f>
        <v/>
      </c>
      <c r="H42" s="50">
        <f>IF($A42="","",IF(AND(G42,D42&lt;=TARGET_LEVEL_NUM),"Applicable","N/A"))</f>
        <v/>
      </c>
      <c r="I42" s="49" t="n"/>
      <c r="J42" s="49" t="n"/>
      <c r="K42" s="49" t="n"/>
      <c r="L42" s="49" t="n"/>
      <c r="M42" s="49" t="n"/>
      <c r="N42" s="49" t="n"/>
      <c r="O42" s="50" t="n"/>
      <c r="P42" s="50">
        <f>IF($A42="","",IF(H42="N/A","N/A",IFERROR(INDEX(CRIT_MATRIX,MATCH(O42,CRIT_MATRIX_ROWS,0),MATCH(APP_RISK_TIER,CRIT_MATRIX_COLS,0)),"")))</f>
        <v/>
      </c>
      <c r="Q42" s="49" t="n"/>
      <c r="R42" s="49" cm="1">
        <f t="array" ref="R42">IF($A42="","",COUNTIFS(tblThreatControls[Control ID],$A42,tblThreatControls[Threat applies],"Applies"))</f>
        <v/>
      </c>
      <c r="S42" s="49" cm="1">
        <f t="array" ref="S42">IF($A42="","",IF(R42=0,"",INDEX(RISK_SCALE_NAMES,_xlfn.MAXIFS(tblThreatControls[Threat risk score],tblThreatControls[Control ID],$A42))))</f>
        <v/>
      </c>
      <c r="T42" s="49" cm="1">
        <f t="array" ref="T42">IF($A42="","",IF(AND(H42="Applicable",OR(L42="Not assessed",L42=""),R42&gt;0),"Yes","No"))</f>
        <v/>
      </c>
      <c r="U42" s="49" cm="1">
        <f t="array" ref="U42">IF($A42="","",IF(AND(H42="Applicable",OR(L42="Gap",L42="Partial coverage")),INDEX(RISK_SCALE_NAMES,MAX(IFERROR(MATCH(P42,RISK_SCALE_NAMES,0),1),IFERROR(MATCH(S42,RISK_SCALE_NAMES,0),0))),""))</f>
        <v/>
      </c>
      <c r="V42" s="49" cm="1">
        <f t="array" ref="V42">IF($A42="","",_xlfn.TEXTJOIN("; ",TRUE,_xlfn._xlws.FILTER(tblThreatControls[Threat ID],(tblThreatControls[Control ID]=$A42)*(tblThreatControls[Threat applies]="Applies"),"")))</f>
        <v/>
      </c>
    </row>
    <row r="43" ht="45" customHeight="1" s="19">
      <c r="A43" s="49" t="n"/>
      <c r="B43" s="49" t="n"/>
      <c r="C43" s="49" t="n"/>
      <c r="D43" s="50" t="n"/>
      <c r="E43" s="49" t="n"/>
      <c r="F43" s="49" t="n"/>
      <c r="G43" s="49">
        <f>TRUE()</f>
        <v/>
      </c>
      <c r="H43" s="50">
        <f>IF($A43="","",IF(AND(G43,D43&lt;=TARGET_LEVEL_NUM),"Applicable","N/A"))</f>
        <v/>
      </c>
      <c r="I43" s="49" t="n"/>
      <c r="J43" s="49" t="n"/>
      <c r="K43" s="49" t="n"/>
      <c r="L43" s="49" t="n"/>
      <c r="M43" s="49" t="n"/>
      <c r="N43" s="49" t="n"/>
      <c r="O43" s="50" t="n"/>
      <c r="P43" s="50">
        <f>IF($A43="","",IF(H43="N/A","N/A",IFERROR(INDEX(CRIT_MATRIX,MATCH(O43,CRIT_MATRIX_ROWS,0),MATCH(APP_RISK_TIER,CRIT_MATRIX_COLS,0)),"")))</f>
        <v/>
      </c>
      <c r="Q43" s="49" t="n"/>
      <c r="R43" s="49" cm="1">
        <f t="array" ref="R43">IF($A43="","",COUNTIFS(tblThreatControls[Control ID],$A43,tblThreatControls[Threat applies],"Applies"))</f>
        <v/>
      </c>
      <c r="S43" s="49" cm="1">
        <f t="array" ref="S43">IF($A43="","",IF(R43=0,"",INDEX(RISK_SCALE_NAMES,_xlfn.MAXIFS(tblThreatControls[Threat risk score],tblThreatControls[Control ID],$A43))))</f>
        <v/>
      </c>
      <c r="T43" s="49" cm="1">
        <f t="array" ref="T43">IF($A43="","",IF(AND(H43="Applicable",OR(L43="Not assessed",L43=""),R43&gt;0),"Yes","No"))</f>
        <v/>
      </c>
      <c r="U43" s="49" cm="1">
        <f t="array" ref="U43">IF($A43="","",IF(AND(H43="Applicable",OR(L43="Gap",L43="Partial coverage")),INDEX(RISK_SCALE_NAMES,MAX(IFERROR(MATCH(P43,RISK_SCALE_NAMES,0),1),IFERROR(MATCH(S43,RISK_SCALE_NAMES,0),0))),""))</f>
        <v/>
      </c>
      <c r="V43" s="49" cm="1">
        <f t="array" ref="V43">IF($A43="","",_xlfn.TEXTJOIN("; ",TRUE,_xlfn._xlws.FILTER(tblThreatControls[Threat ID],(tblThreatControls[Control ID]=$A43)*(tblThreatControls[Threat applies]="Applies"),"")))</f>
        <v/>
      </c>
    </row>
    <row r="44" ht="45" customHeight="1" s="19">
      <c r="A44" s="49" t="n"/>
      <c r="B44" s="49" t="n"/>
      <c r="C44" s="49" t="n"/>
      <c r="D44" s="50" t="n"/>
      <c r="E44" s="49" t="n"/>
      <c r="F44" s="49" t="n"/>
      <c r="G44" s="49">
        <f>TRUE()</f>
        <v/>
      </c>
      <c r="H44" s="50">
        <f>IF($A44="","",IF(AND(G44,D44&lt;=TARGET_LEVEL_NUM),"Applicable","N/A"))</f>
        <v/>
      </c>
      <c r="I44" s="49" t="n"/>
      <c r="J44" s="49" t="n"/>
      <c r="K44" s="49" t="n"/>
      <c r="L44" s="49" t="n"/>
      <c r="M44" s="49" t="n"/>
      <c r="N44" s="49" t="n"/>
      <c r="O44" s="50" t="n"/>
      <c r="P44" s="50">
        <f>IF($A44="","",IF(H44="N/A","N/A",IFERROR(INDEX(CRIT_MATRIX,MATCH(O44,CRIT_MATRIX_ROWS,0),MATCH(APP_RISK_TIER,CRIT_MATRIX_COLS,0)),"")))</f>
        <v/>
      </c>
      <c r="Q44" s="49" t="n"/>
      <c r="R44" s="49" cm="1">
        <f t="array" ref="R44">IF($A44="","",COUNTIFS(tblThreatControls[Control ID],$A44,tblThreatControls[Threat applies],"Applies"))</f>
        <v/>
      </c>
      <c r="S44" s="49" cm="1">
        <f t="array" ref="S44">IF($A44="","",IF(R44=0,"",INDEX(RISK_SCALE_NAMES,_xlfn.MAXIFS(tblThreatControls[Threat risk score],tblThreatControls[Control ID],$A44))))</f>
        <v/>
      </c>
      <c r="T44" s="49" cm="1">
        <f t="array" ref="T44">IF($A44="","",IF(AND(H44="Applicable",OR(L44="Not assessed",L44=""),R44&gt;0),"Yes","No"))</f>
        <v/>
      </c>
      <c r="U44" s="49" cm="1">
        <f t="array" ref="U44">IF($A44="","",IF(AND(H44="Applicable",OR(L44="Gap",L44="Partial coverage")),INDEX(RISK_SCALE_NAMES,MAX(IFERROR(MATCH(P44,RISK_SCALE_NAMES,0),1),IFERROR(MATCH(S44,RISK_SCALE_NAMES,0),0))),""))</f>
        <v/>
      </c>
      <c r="V44" s="49" cm="1">
        <f t="array" ref="V44">IF($A44="","",_xlfn.TEXTJOIN("; ",TRUE,_xlfn._xlws.FILTER(tblThreatControls[Threat ID],(tblThreatControls[Control ID]=$A44)*(tblThreatControls[Threat applies]="Applies"),"")))</f>
        <v/>
      </c>
    </row>
    <row r="45" ht="45" customHeight="1" s="19">
      <c r="A45" s="49" t="n"/>
      <c r="B45" s="49" t="n"/>
      <c r="C45" s="49" t="n"/>
      <c r="D45" s="50" t="n"/>
      <c r="E45" s="49" t="n"/>
      <c r="F45" s="49" t="n"/>
      <c r="G45" s="49">
        <f>TRUE()</f>
        <v/>
      </c>
      <c r="H45" s="50">
        <f>IF($A45="","",IF(AND(G45,D45&lt;=TARGET_LEVEL_NUM),"Applicable","N/A"))</f>
        <v/>
      </c>
      <c r="I45" s="49" t="n"/>
      <c r="J45" s="49" t="n"/>
      <c r="K45" s="49" t="n"/>
      <c r="L45" s="49" t="n"/>
      <c r="M45" s="49" t="n"/>
      <c r="N45" s="49" t="n"/>
      <c r="O45" s="50" t="n"/>
      <c r="P45" s="50">
        <f>IF($A45="","",IF(H45="N/A","N/A",IFERROR(INDEX(CRIT_MATRIX,MATCH(O45,CRIT_MATRIX_ROWS,0),MATCH(APP_RISK_TIER,CRIT_MATRIX_COLS,0)),"")))</f>
        <v/>
      </c>
      <c r="Q45" s="49" t="n"/>
      <c r="R45" s="49" cm="1">
        <f t="array" ref="R45">IF($A45="","",COUNTIFS(tblThreatControls[Control ID],$A45,tblThreatControls[Threat applies],"Applies"))</f>
        <v/>
      </c>
      <c r="S45" s="49" cm="1">
        <f t="array" ref="S45">IF($A45="","",IF(R45=0,"",INDEX(RISK_SCALE_NAMES,_xlfn.MAXIFS(tblThreatControls[Threat risk score],tblThreatControls[Control ID],$A45))))</f>
        <v/>
      </c>
      <c r="T45" s="49" cm="1">
        <f t="array" ref="T45">IF($A45="","",IF(AND(H45="Applicable",OR(L45="Not assessed",L45=""),R45&gt;0),"Yes","No"))</f>
        <v/>
      </c>
      <c r="U45" s="49" cm="1">
        <f t="array" ref="U45">IF($A45="","",IF(AND(H45="Applicable",OR(L45="Gap",L45="Partial coverage")),INDEX(RISK_SCALE_NAMES,MAX(IFERROR(MATCH(P45,RISK_SCALE_NAMES,0),1),IFERROR(MATCH(S45,RISK_SCALE_NAMES,0),0))),""))</f>
        <v/>
      </c>
      <c r="V45" s="49" cm="1">
        <f t="array" ref="V45">IF($A45="","",_xlfn.TEXTJOIN("; ",TRUE,_xlfn._xlws.FILTER(tblThreatControls[Threat ID],(tblThreatControls[Control ID]=$A45)*(tblThreatControls[Threat applies]="Applies"),"")))</f>
        <v/>
      </c>
    </row>
    <row r="46" ht="45" customHeight="1" s="19">
      <c r="A46" s="49" t="n"/>
      <c r="B46" s="49" t="n"/>
      <c r="C46" s="49" t="n"/>
      <c r="D46" s="50" t="n"/>
      <c r="E46" s="49" t="n"/>
      <c r="F46" s="49" t="n"/>
      <c r="G46" s="49">
        <f>TRUE()</f>
        <v/>
      </c>
      <c r="H46" s="50">
        <f>IF($A46="","",IF(AND(G46,D46&lt;=TARGET_LEVEL_NUM),"Applicable","N/A"))</f>
        <v/>
      </c>
      <c r="I46" s="49" t="n"/>
      <c r="J46" s="49" t="n"/>
      <c r="K46" s="49" t="n"/>
      <c r="L46" s="49" t="n"/>
      <c r="M46" s="49" t="n"/>
      <c r="N46" s="49" t="n"/>
      <c r="O46" s="50" t="n"/>
      <c r="P46" s="50">
        <f>IF($A46="","",IF(H46="N/A","N/A",IFERROR(INDEX(CRIT_MATRIX,MATCH(O46,CRIT_MATRIX_ROWS,0),MATCH(APP_RISK_TIER,CRIT_MATRIX_COLS,0)),"")))</f>
        <v/>
      </c>
      <c r="Q46" s="49" t="n"/>
      <c r="R46" s="49" cm="1">
        <f t="array" ref="R46">IF($A46="","",COUNTIFS(tblThreatControls[Control ID],$A46,tblThreatControls[Threat applies],"Applies"))</f>
        <v/>
      </c>
      <c r="S46" s="49" cm="1">
        <f t="array" ref="S46">IF($A46="","",IF(R46=0,"",INDEX(RISK_SCALE_NAMES,_xlfn.MAXIFS(tblThreatControls[Threat risk score],tblThreatControls[Control ID],$A46))))</f>
        <v/>
      </c>
      <c r="T46" s="49" cm="1">
        <f t="array" ref="T46">IF($A46="","",IF(AND(H46="Applicable",OR(L46="Not assessed",L46=""),R46&gt;0),"Yes","No"))</f>
        <v/>
      </c>
      <c r="U46" s="49" cm="1">
        <f t="array" ref="U46">IF($A46="","",IF(AND(H46="Applicable",OR(L46="Gap",L46="Partial coverage")),INDEX(RISK_SCALE_NAMES,MAX(IFERROR(MATCH(P46,RISK_SCALE_NAMES,0),1),IFERROR(MATCH(S46,RISK_SCALE_NAMES,0),0))),""))</f>
        <v/>
      </c>
      <c r="V46" s="49" cm="1">
        <f t="array" ref="V46">IF($A46="","",_xlfn.TEXTJOIN("; ",TRUE,_xlfn._xlws.FILTER(tblThreatControls[Threat ID],(tblThreatControls[Control ID]=$A46)*(tblThreatControls[Threat applies]="Applies"),"")))</f>
        <v/>
      </c>
    </row>
    <row r="47" ht="45" customHeight="1" s="19">
      <c r="A47" s="49" t="n"/>
      <c r="B47" s="49" t="n"/>
      <c r="C47" s="49" t="n"/>
      <c r="D47" s="50" t="n"/>
      <c r="E47" s="49" t="n"/>
      <c r="F47" s="49" t="n"/>
      <c r="G47" s="49">
        <f>TRUE()</f>
        <v/>
      </c>
      <c r="H47" s="50">
        <f>IF($A47="","",IF(AND(G47,D47&lt;=TARGET_LEVEL_NUM),"Applicable","N/A"))</f>
        <v/>
      </c>
      <c r="I47" s="49" t="n"/>
      <c r="J47" s="49" t="n"/>
      <c r="K47" s="49" t="n"/>
      <c r="L47" s="49" t="n"/>
      <c r="M47" s="49" t="n"/>
      <c r="N47" s="49" t="n"/>
      <c r="O47" s="50" t="n"/>
      <c r="P47" s="50">
        <f>IF($A47="","",IF(H47="N/A","N/A",IFERROR(INDEX(CRIT_MATRIX,MATCH(O47,CRIT_MATRIX_ROWS,0),MATCH(APP_RISK_TIER,CRIT_MATRIX_COLS,0)),"")))</f>
        <v/>
      </c>
      <c r="Q47" s="49" t="n"/>
      <c r="R47" s="49" cm="1">
        <f t="array" ref="R47">IF($A47="","",COUNTIFS(tblThreatControls[Control ID],$A47,tblThreatControls[Threat applies],"Applies"))</f>
        <v/>
      </c>
      <c r="S47" s="49" cm="1">
        <f t="array" ref="S47">IF($A47="","",IF(R47=0,"",INDEX(RISK_SCALE_NAMES,_xlfn.MAXIFS(tblThreatControls[Threat risk score],tblThreatControls[Control ID],$A47))))</f>
        <v/>
      </c>
      <c r="T47" s="49" cm="1">
        <f t="array" ref="T47">IF($A47="","",IF(AND(H47="Applicable",OR(L47="Not assessed",L47=""),R47&gt;0),"Yes","No"))</f>
        <v/>
      </c>
      <c r="U47" s="49" cm="1">
        <f t="array" ref="U47">IF($A47="","",IF(AND(H47="Applicable",OR(L47="Gap",L47="Partial coverage")),INDEX(RISK_SCALE_NAMES,MAX(IFERROR(MATCH(P47,RISK_SCALE_NAMES,0),1),IFERROR(MATCH(S47,RISK_SCALE_NAMES,0),0))),""))</f>
        <v/>
      </c>
      <c r="V47" s="49" cm="1">
        <f t="array" ref="V47">IF($A47="","",_xlfn.TEXTJOIN("; ",TRUE,_xlfn._xlws.FILTER(tblThreatControls[Threat ID],(tblThreatControls[Control ID]=$A47)*(tblThreatControls[Threat applies]="Applies"),"")))</f>
        <v/>
      </c>
    </row>
    <row r="48" ht="45" customHeight="1" s="19">
      <c r="A48" s="49" t="n"/>
      <c r="B48" s="49" t="n"/>
      <c r="C48" s="49" t="n"/>
      <c r="D48" s="50" t="n"/>
      <c r="E48" s="49" t="n"/>
      <c r="F48" s="49" t="n"/>
      <c r="G48" s="49">
        <f>TRUE()</f>
        <v/>
      </c>
      <c r="H48" s="50">
        <f>IF($A48="","",IF(AND(G48,D48&lt;=TARGET_LEVEL_NUM),"Applicable","N/A"))</f>
        <v/>
      </c>
      <c r="I48" s="49" t="n"/>
      <c r="J48" s="49" t="n"/>
      <c r="K48" s="49" t="n"/>
      <c r="L48" s="49" t="n"/>
      <c r="M48" s="49" t="n"/>
      <c r="N48" s="49" t="n"/>
      <c r="O48" s="50" t="n"/>
      <c r="P48" s="50">
        <f>IF($A48="","",IF(H48="N/A","N/A",IFERROR(INDEX(CRIT_MATRIX,MATCH(O48,CRIT_MATRIX_ROWS,0),MATCH(APP_RISK_TIER,CRIT_MATRIX_COLS,0)),"")))</f>
        <v/>
      </c>
      <c r="Q48" s="49" t="n"/>
      <c r="R48" s="49" cm="1">
        <f t="array" ref="R48">IF($A48="","",COUNTIFS(tblThreatControls[Control ID],$A48,tblThreatControls[Threat applies],"Applies"))</f>
        <v/>
      </c>
      <c r="S48" s="49" cm="1">
        <f t="array" ref="S48">IF($A48="","",IF(R48=0,"",INDEX(RISK_SCALE_NAMES,_xlfn.MAXIFS(tblThreatControls[Threat risk score],tblThreatControls[Control ID],$A48))))</f>
        <v/>
      </c>
      <c r="T48" s="49" cm="1">
        <f t="array" ref="T48">IF($A48="","",IF(AND(H48="Applicable",OR(L48="Not assessed",L48=""),R48&gt;0),"Yes","No"))</f>
        <v/>
      </c>
      <c r="U48" s="49" cm="1">
        <f t="array" ref="U48">IF($A48="","",IF(AND(H48="Applicable",OR(L48="Gap",L48="Partial coverage")),INDEX(RISK_SCALE_NAMES,MAX(IFERROR(MATCH(P48,RISK_SCALE_NAMES,0),1),IFERROR(MATCH(S48,RISK_SCALE_NAMES,0),0))),""))</f>
        <v/>
      </c>
      <c r="V48" s="49" cm="1">
        <f t="array" ref="V48">IF($A48="","",_xlfn.TEXTJOIN("; ",TRUE,_xlfn._xlws.FILTER(tblThreatControls[Threat ID],(tblThreatControls[Control ID]=$A48)*(tblThreatControls[Threat applies]="Applies"),"")))</f>
        <v/>
      </c>
    </row>
    <row r="49" ht="45" customHeight="1" s="19">
      <c r="A49" s="49" t="n"/>
      <c r="B49" s="49" t="n"/>
      <c r="C49" s="49" t="n"/>
      <c r="D49" s="50" t="n"/>
      <c r="E49" s="49" t="n"/>
      <c r="F49" s="49" t="n"/>
      <c r="G49" s="49">
        <f>TRUE()</f>
        <v/>
      </c>
      <c r="H49" s="50">
        <f>IF($A49="","",IF(AND(G49,D49&lt;=TARGET_LEVEL_NUM),"Applicable","N/A"))</f>
        <v/>
      </c>
      <c r="I49" s="49" t="n"/>
      <c r="J49" s="49" t="n"/>
      <c r="K49" s="49" t="n"/>
      <c r="L49" s="49" t="n"/>
      <c r="M49" s="49" t="n"/>
      <c r="N49" s="49" t="n"/>
      <c r="O49" s="50" t="n"/>
      <c r="P49" s="50">
        <f>IF($A49="","",IF(H49="N/A","N/A",IFERROR(INDEX(CRIT_MATRIX,MATCH(O49,CRIT_MATRIX_ROWS,0),MATCH(APP_RISK_TIER,CRIT_MATRIX_COLS,0)),"")))</f>
        <v/>
      </c>
      <c r="Q49" s="49" t="n"/>
      <c r="R49" s="49" cm="1">
        <f t="array" ref="R49">IF($A49="","",COUNTIFS(tblThreatControls[Control ID],$A49,tblThreatControls[Threat applies],"Applies"))</f>
        <v/>
      </c>
      <c r="S49" s="49" cm="1">
        <f t="array" ref="S49">IF($A49="","",IF(R49=0,"",INDEX(RISK_SCALE_NAMES,_xlfn.MAXIFS(tblThreatControls[Threat risk score],tblThreatControls[Control ID],$A49))))</f>
        <v/>
      </c>
      <c r="T49" s="49" cm="1">
        <f t="array" ref="T49">IF($A49="","",IF(AND(H49="Applicable",OR(L49="Not assessed",L49=""),R49&gt;0),"Yes","No"))</f>
        <v/>
      </c>
      <c r="U49" s="49" cm="1">
        <f t="array" ref="U49">IF($A49="","",IF(AND(H49="Applicable",OR(L49="Gap",L49="Partial coverage")),INDEX(RISK_SCALE_NAMES,MAX(IFERROR(MATCH(P49,RISK_SCALE_NAMES,0),1),IFERROR(MATCH(S49,RISK_SCALE_NAMES,0),0))),""))</f>
        <v/>
      </c>
      <c r="V49" s="49" cm="1">
        <f t="array" ref="V49">IF($A49="","",_xlfn.TEXTJOIN("; ",TRUE,_xlfn._xlws.FILTER(tblThreatControls[Threat ID],(tblThreatControls[Control ID]=$A49)*(tblThreatControls[Threat applies]="Applies"),"")))</f>
        <v/>
      </c>
    </row>
    <row r="50" ht="45" customHeight="1" s="19">
      <c r="A50" s="49" t="n"/>
      <c r="B50" s="49" t="n"/>
      <c r="C50" s="49" t="n"/>
      <c r="D50" s="50" t="n"/>
      <c r="E50" s="49" t="n"/>
      <c r="F50" s="49" t="n"/>
      <c r="G50" s="49">
        <f>TRUE()</f>
        <v/>
      </c>
      <c r="H50" s="50">
        <f>IF($A50="","",IF(AND(G50,D50&lt;=TARGET_LEVEL_NUM),"Applicable","N/A"))</f>
        <v/>
      </c>
      <c r="I50" s="49" t="n"/>
      <c r="J50" s="49" t="n"/>
      <c r="K50" s="49" t="n"/>
      <c r="L50" s="49" t="n"/>
      <c r="M50" s="49" t="n"/>
      <c r="N50" s="49" t="n"/>
      <c r="O50" s="50" t="n"/>
      <c r="P50" s="50">
        <f>IF($A50="","",IF(H50="N/A","N/A",IFERROR(INDEX(CRIT_MATRIX,MATCH(O50,CRIT_MATRIX_ROWS,0),MATCH(APP_RISK_TIER,CRIT_MATRIX_COLS,0)),"")))</f>
        <v/>
      </c>
      <c r="Q50" s="49" t="n"/>
      <c r="R50" s="49" cm="1">
        <f t="array" ref="R50">IF($A50="","",COUNTIFS(tblThreatControls[Control ID],$A50,tblThreatControls[Threat applies],"Applies"))</f>
        <v/>
      </c>
      <c r="S50" s="49" cm="1">
        <f t="array" ref="S50">IF($A50="","",IF(R50=0,"",INDEX(RISK_SCALE_NAMES,_xlfn.MAXIFS(tblThreatControls[Threat risk score],tblThreatControls[Control ID],$A50))))</f>
        <v/>
      </c>
      <c r="T50" s="49" cm="1">
        <f t="array" ref="T50">IF($A50="","",IF(AND(H50="Applicable",OR(L50="Not assessed",L50=""),R50&gt;0),"Yes","No"))</f>
        <v/>
      </c>
      <c r="U50" s="49" cm="1">
        <f t="array" ref="U50">IF($A50="","",IF(AND(H50="Applicable",OR(L50="Gap",L50="Partial coverage")),INDEX(RISK_SCALE_NAMES,MAX(IFERROR(MATCH(P50,RISK_SCALE_NAMES,0),1),IFERROR(MATCH(S50,RISK_SCALE_NAMES,0),0))),""))</f>
        <v/>
      </c>
      <c r="V50" s="49" cm="1">
        <f t="array" ref="V50">IF($A50="","",_xlfn.TEXTJOIN("; ",TRUE,_xlfn._xlws.FILTER(tblThreatControls[Threat ID],(tblThreatControls[Control ID]=$A50)*(tblThreatControls[Threat applies]="Applies"),"")))</f>
        <v/>
      </c>
    </row>
    <row r="51" ht="45" customHeight="1" s="19">
      <c r="A51" s="49" t="n"/>
      <c r="B51" s="49" t="n"/>
      <c r="C51" s="49" t="n"/>
      <c r="D51" s="50" t="n"/>
      <c r="E51" s="49" t="n"/>
      <c r="F51" s="49" t="n"/>
      <c r="G51" s="49">
        <f>TRUE()</f>
        <v/>
      </c>
      <c r="H51" s="50">
        <f>IF($A51="","",IF(AND(G51,D51&lt;=TARGET_LEVEL_NUM),"Applicable","N/A"))</f>
        <v/>
      </c>
      <c r="I51" s="49" t="n"/>
      <c r="J51" s="49" t="n"/>
      <c r="K51" s="49" t="n"/>
      <c r="L51" s="49" t="n"/>
      <c r="M51" s="49" t="n"/>
      <c r="N51" s="49" t="n"/>
      <c r="O51" s="50" t="n"/>
      <c r="P51" s="50">
        <f>IF($A51="","",IF(H51="N/A","N/A",IFERROR(INDEX(CRIT_MATRIX,MATCH(O51,CRIT_MATRIX_ROWS,0),MATCH(APP_RISK_TIER,CRIT_MATRIX_COLS,0)),"")))</f>
        <v/>
      </c>
      <c r="Q51" s="49" t="n"/>
      <c r="R51" s="49" cm="1">
        <f t="array" ref="R51">IF($A51="","",COUNTIFS(tblThreatControls[Control ID],$A51,tblThreatControls[Threat applies],"Applies"))</f>
        <v/>
      </c>
      <c r="S51" s="49" cm="1">
        <f t="array" ref="S51">IF($A51="","",IF(R51=0,"",INDEX(RISK_SCALE_NAMES,_xlfn.MAXIFS(tblThreatControls[Threat risk score],tblThreatControls[Control ID],$A51))))</f>
        <v/>
      </c>
      <c r="T51" s="49" cm="1">
        <f t="array" ref="T51">IF($A51="","",IF(AND(H51="Applicable",OR(L51="Not assessed",L51=""),R51&gt;0),"Yes","No"))</f>
        <v/>
      </c>
      <c r="U51" s="49" cm="1">
        <f t="array" ref="U51">IF($A51="","",IF(AND(H51="Applicable",OR(L51="Gap",L51="Partial coverage")),INDEX(RISK_SCALE_NAMES,MAX(IFERROR(MATCH(P51,RISK_SCALE_NAMES,0),1),IFERROR(MATCH(S51,RISK_SCALE_NAMES,0),0))),""))</f>
        <v/>
      </c>
      <c r="V51" s="49" cm="1">
        <f t="array" ref="V51">IF($A51="","",_xlfn.TEXTJOIN("; ",TRUE,_xlfn._xlws.FILTER(tblThreatControls[Threat ID],(tblThreatControls[Control ID]=$A51)*(tblThreatControls[Threat applies]="Applies"),"")))</f>
        <v/>
      </c>
    </row>
    <row r="52" ht="45" customHeight="1" s="19">
      <c r="A52" s="49" t="n"/>
      <c r="B52" s="49" t="n"/>
      <c r="C52" s="49" t="n"/>
      <c r="D52" s="50" t="n"/>
      <c r="E52" s="49" t="n"/>
      <c r="F52" s="49" t="n"/>
      <c r="G52" s="49">
        <f>TRUE()</f>
        <v/>
      </c>
      <c r="H52" s="50">
        <f>IF($A52="","",IF(AND(G52,D52&lt;=TARGET_LEVEL_NUM),"Applicable","N/A"))</f>
        <v/>
      </c>
      <c r="I52" s="49" t="n"/>
      <c r="J52" s="49" t="n"/>
      <c r="K52" s="49" t="n"/>
      <c r="L52" s="49" t="n"/>
      <c r="M52" s="49" t="n"/>
      <c r="N52" s="49" t="n"/>
      <c r="O52" s="50" t="n"/>
      <c r="P52" s="50">
        <f>IF($A52="","",IF(H52="N/A","N/A",IFERROR(INDEX(CRIT_MATRIX,MATCH(O52,CRIT_MATRIX_ROWS,0),MATCH(APP_RISK_TIER,CRIT_MATRIX_COLS,0)),"")))</f>
        <v/>
      </c>
      <c r="Q52" s="49" t="n"/>
      <c r="R52" s="49" cm="1">
        <f t="array" ref="R52">IF($A52="","",COUNTIFS(tblThreatControls[Control ID],$A52,tblThreatControls[Threat applies],"Applies"))</f>
        <v/>
      </c>
      <c r="S52" s="49" cm="1">
        <f t="array" ref="S52">IF($A52="","",IF(R52=0,"",INDEX(RISK_SCALE_NAMES,_xlfn.MAXIFS(tblThreatControls[Threat risk score],tblThreatControls[Control ID],$A52))))</f>
        <v/>
      </c>
      <c r="T52" s="49" cm="1">
        <f t="array" ref="T52">IF($A52="","",IF(AND(H52="Applicable",OR(L52="Not assessed",L52=""),R52&gt;0),"Yes","No"))</f>
        <v/>
      </c>
      <c r="U52" s="49" cm="1">
        <f t="array" ref="U52">IF($A52="","",IF(AND(H52="Applicable",OR(L52="Gap",L52="Partial coverage")),INDEX(RISK_SCALE_NAMES,MAX(IFERROR(MATCH(P52,RISK_SCALE_NAMES,0),1),IFERROR(MATCH(S52,RISK_SCALE_NAMES,0),0))),""))</f>
        <v/>
      </c>
      <c r="V52" s="49" cm="1">
        <f t="array" ref="V52">IF($A52="","",_xlfn.TEXTJOIN("; ",TRUE,_xlfn._xlws.FILTER(tblThreatControls[Threat ID],(tblThreatControls[Control ID]=$A52)*(tblThreatControls[Threat applies]="Applies"),"")))</f>
        <v/>
      </c>
    </row>
    <row r="53" ht="45" customHeight="1" s="19">
      <c r="A53" s="49" t="n"/>
      <c r="B53" s="49" t="n"/>
      <c r="C53" s="49" t="n"/>
      <c r="D53" s="50" t="n"/>
      <c r="E53" s="49" t="n"/>
      <c r="F53" s="49" t="n"/>
      <c r="G53" s="49">
        <f>TRUE()</f>
        <v/>
      </c>
      <c r="H53" s="50">
        <f>IF($A53="","",IF(AND(G53,D53&lt;=TARGET_LEVEL_NUM),"Applicable","N/A"))</f>
        <v/>
      </c>
      <c r="I53" s="49" t="n"/>
      <c r="J53" s="49" t="n"/>
      <c r="K53" s="49" t="n"/>
      <c r="L53" s="49" t="n"/>
      <c r="M53" s="49" t="n"/>
      <c r="N53" s="49" t="n"/>
      <c r="O53" s="50" t="n"/>
      <c r="P53" s="50">
        <f>IF($A53="","",IF(H53="N/A","N/A",IFERROR(INDEX(CRIT_MATRIX,MATCH(O53,CRIT_MATRIX_ROWS,0),MATCH(APP_RISK_TIER,CRIT_MATRIX_COLS,0)),"")))</f>
        <v/>
      </c>
      <c r="Q53" s="49" t="n"/>
      <c r="R53" s="49" cm="1">
        <f t="array" ref="R53">IF($A53="","",COUNTIFS(tblThreatControls[Control ID],$A53,tblThreatControls[Threat applies],"Applies"))</f>
        <v/>
      </c>
      <c r="S53" s="49" cm="1">
        <f t="array" ref="S53">IF($A53="","",IF(R53=0,"",INDEX(RISK_SCALE_NAMES,_xlfn.MAXIFS(tblThreatControls[Threat risk score],tblThreatControls[Control ID],$A53))))</f>
        <v/>
      </c>
      <c r="T53" s="49" cm="1">
        <f t="array" ref="T53">IF($A53="","",IF(AND(H53="Applicable",OR(L53="Not assessed",L53=""),R53&gt;0),"Yes","No"))</f>
        <v/>
      </c>
      <c r="U53" s="49" cm="1">
        <f t="array" ref="U53">IF($A53="","",IF(AND(H53="Applicable",OR(L53="Gap",L53="Partial coverage")),INDEX(RISK_SCALE_NAMES,MAX(IFERROR(MATCH(P53,RISK_SCALE_NAMES,0),1),IFERROR(MATCH(S53,RISK_SCALE_NAMES,0),0))),""))</f>
        <v/>
      </c>
      <c r="V53" s="49" cm="1">
        <f t="array" ref="V53">IF($A53="","",_xlfn.TEXTJOIN("; ",TRUE,_xlfn._xlws.FILTER(tblThreatControls[Threat ID],(tblThreatControls[Control ID]=$A53)*(tblThreatControls[Threat applies]="Applies"),"")))</f>
        <v/>
      </c>
    </row>
    <row r="54" ht="45" customHeight="1" s="19">
      <c r="A54" s="49" t="n"/>
      <c r="B54" s="49" t="n"/>
      <c r="C54" s="49" t="n"/>
      <c r="D54" s="50" t="n"/>
      <c r="E54" s="49" t="n"/>
      <c r="F54" s="49" t="n"/>
      <c r="G54" s="49">
        <f>TRUE()</f>
        <v/>
      </c>
      <c r="H54" s="50">
        <f>IF($A54="","",IF(AND(G54,D54&lt;=TARGET_LEVEL_NUM),"Applicable","N/A"))</f>
        <v/>
      </c>
      <c r="I54" s="49" t="n"/>
      <c r="J54" s="49" t="n"/>
      <c r="K54" s="49" t="n"/>
      <c r="L54" s="49" t="n"/>
      <c r="M54" s="49" t="n"/>
      <c r="N54" s="49" t="n"/>
      <c r="O54" s="50" t="n"/>
      <c r="P54" s="50">
        <f>IF($A54="","",IF(H54="N/A","N/A",IFERROR(INDEX(CRIT_MATRIX,MATCH(O54,CRIT_MATRIX_ROWS,0),MATCH(APP_RISK_TIER,CRIT_MATRIX_COLS,0)),"")))</f>
        <v/>
      </c>
      <c r="Q54" s="49" t="n"/>
      <c r="R54" s="49" cm="1">
        <f t="array" ref="R54">IF($A54="","",COUNTIFS(tblThreatControls[Control ID],$A54,tblThreatControls[Threat applies],"Applies"))</f>
        <v/>
      </c>
      <c r="S54" s="49" cm="1">
        <f t="array" ref="S54">IF($A54="","",IF(R54=0,"",INDEX(RISK_SCALE_NAMES,_xlfn.MAXIFS(tblThreatControls[Threat risk score],tblThreatControls[Control ID],$A54))))</f>
        <v/>
      </c>
      <c r="T54" s="49" cm="1">
        <f t="array" ref="T54">IF($A54="","",IF(AND(H54="Applicable",OR(L54="Not assessed",L54=""),R54&gt;0),"Yes","No"))</f>
        <v/>
      </c>
      <c r="U54" s="49" cm="1">
        <f t="array" ref="U54">IF($A54="","",IF(AND(H54="Applicable",OR(L54="Gap",L54="Partial coverage")),INDEX(RISK_SCALE_NAMES,MAX(IFERROR(MATCH(P54,RISK_SCALE_NAMES,0),1),IFERROR(MATCH(S54,RISK_SCALE_NAMES,0),0))),""))</f>
        <v/>
      </c>
      <c r="V54" s="49" cm="1">
        <f t="array" ref="V54">IF($A54="","",_xlfn.TEXTJOIN("; ",TRUE,_xlfn._xlws.FILTER(tblThreatControls[Threat ID],(tblThreatControls[Control ID]=$A54)*(tblThreatControls[Threat applies]="Applies"),"")))</f>
        <v/>
      </c>
    </row>
    <row r="55" ht="45" customHeight="1" s="19">
      <c r="A55" s="49" t="n"/>
      <c r="B55" s="49" t="n"/>
      <c r="C55" s="49" t="n"/>
      <c r="D55" s="50" t="n"/>
      <c r="E55" s="49" t="n"/>
      <c r="F55" s="49" t="n"/>
      <c r="G55" s="49">
        <f>TRUE()</f>
        <v/>
      </c>
      <c r="H55" s="50">
        <f>IF($A55="","",IF(AND(G55,D55&lt;=TARGET_LEVEL_NUM),"Applicable","N/A"))</f>
        <v/>
      </c>
      <c r="I55" s="49" t="n"/>
      <c r="J55" s="49" t="n"/>
      <c r="K55" s="49" t="n"/>
      <c r="L55" s="49" t="n"/>
      <c r="M55" s="49" t="n"/>
      <c r="N55" s="49" t="n"/>
      <c r="O55" s="50" t="n"/>
      <c r="P55" s="50">
        <f>IF($A55="","",IF(H55="N/A","N/A",IFERROR(INDEX(CRIT_MATRIX,MATCH(O55,CRIT_MATRIX_ROWS,0),MATCH(APP_RISK_TIER,CRIT_MATRIX_COLS,0)),"")))</f>
        <v/>
      </c>
      <c r="Q55" s="49" t="n"/>
      <c r="R55" s="49" cm="1">
        <f t="array" ref="R55">IF($A55="","",COUNTIFS(tblThreatControls[Control ID],$A55,tblThreatControls[Threat applies],"Applies"))</f>
        <v/>
      </c>
      <c r="S55" s="49" cm="1">
        <f t="array" ref="S55">IF($A55="","",IF(R55=0,"",INDEX(RISK_SCALE_NAMES,_xlfn.MAXIFS(tblThreatControls[Threat risk score],tblThreatControls[Control ID],$A55))))</f>
        <v/>
      </c>
      <c r="T55" s="49" cm="1">
        <f t="array" ref="T55">IF($A55="","",IF(AND(H55="Applicable",OR(L55="Not assessed",L55=""),R55&gt;0),"Yes","No"))</f>
        <v/>
      </c>
      <c r="U55" s="49" cm="1">
        <f t="array" ref="U55">IF($A55="","",IF(AND(H55="Applicable",OR(L55="Gap",L55="Partial coverage")),INDEX(RISK_SCALE_NAMES,MAX(IFERROR(MATCH(P55,RISK_SCALE_NAMES,0),1),IFERROR(MATCH(S55,RISK_SCALE_NAMES,0),0))),""))</f>
        <v/>
      </c>
      <c r="V55" s="49" cm="1">
        <f t="array" ref="V55">IF($A55="","",_xlfn.TEXTJOIN("; ",TRUE,_xlfn._xlws.FILTER(tblThreatControls[Threat ID],(tblThreatControls[Control ID]=$A55)*(tblThreatControls[Threat applies]="Applies"),"")))</f>
        <v/>
      </c>
    </row>
    <row r="56" ht="45" customHeight="1" s="19">
      <c r="A56" s="49" t="n"/>
      <c r="B56" s="49" t="n"/>
      <c r="C56" s="49" t="n"/>
      <c r="D56" s="50" t="n"/>
      <c r="E56" s="49" t="n"/>
      <c r="F56" s="49" t="n"/>
      <c r="G56" s="49">
        <f>TRUE()</f>
        <v/>
      </c>
      <c r="H56" s="50">
        <f>IF($A56="","",IF(AND(G56,D56&lt;=TARGET_LEVEL_NUM),"Applicable","N/A"))</f>
        <v/>
      </c>
      <c r="I56" s="49" t="n"/>
      <c r="J56" s="49" t="n"/>
      <c r="K56" s="49" t="n"/>
      <c r="L56" s="49" t="n"/>
      <c r="M56" s="49" t="n"/>
      <c r="N56" s="49" t="n"/>
      <c r="O56" s="50" t="n"/>
      <c r="P56" s="50">
        <f>IF($A56="","",IF(H56="N/A","N/A",IFERROR(INDEX(CRIT_MATRIX,MATCH(O56,CRIT_MATRIX_ROWS,0),MATCH(APP_RISK_TIER,CRIT_MATRIX_COLS,0)),"")))</f>
        <v/>
      </c>
      <c r="Q56" s="49" t="n"/>
      <c r="R56" s="49" cm="1">
        <f t="array" ref="R56">IF($A56="","",COUNTIFS(tblThreatControls[Control ID],$A56,tblThreatControls[Threat applies],"Applies"))</f>
        <v/>
      </c>
      <c r="S56" s="49" cm="1">
        <f t="array" ref="S56">IF($A56="","",IF(R56=0,"",INDEX(RISK_SCALE_NAMES,_xlfn.MAXIFS(tblThreatControls[Threat risk score],tblThreatControls[Control ID],$A56))))</f>
        <v/>
      </c>
      <c r="T56" s="49" cm="1">
        <f t="array" ref="T56">IF($A56="","",IF(AND(H56="Applicable",OR(L56="Not assessed",L56=""),R56&gt;0),"Yes","No"))</f>
        <v/>
      </c>
      <c r="U56" s="49" cm="1">
        <f t="array" ref="U56">IF($A56="","",IF(AND(H56="Applicable",OR(L56="Gap",L56="Partial coverage")),INDEX(RISK_SCALE_NAMES,MAX(IFERROR(MATCH(P56,RISK_SCALE_NAMES,0),1),IFERROR(MATCH(S56,RISK_SCALE_NAMES,0),0))),""))</f>
        <v/>
      </c>
      <c r="V56" s="49" cm="1">
        <f t="array" ref="V56">IF($A56="","",_xlfn.TEXTJOIN("; ",TRUE,_xlfn._xlws.FILTER(tblThreatControls[Threat ID],(tblThreatControls[Control ID]=$A56)*(tblThreatControls[Threat applies]="Applies"),"")))</f>
        <v/>
      </c>
    </row>
    <row r="57" ht="45" customHeight="1" s="19">
      <c r="A57" s="49" t="n"/>
      <c r="B57" s="49" t="n"/>
      <c r="C57" s="49" t="n"/>
      <c r="D57" s="50" t="n"/>
      <c r="E57" s="49" t="n"/>
      <c r="F57" s="49" t="n"/>
      <c r="G57" s="49">
        <f>TRUE()</f>
        <v/>
      </c>
      <c r="H57" s="50">
        <f>IF($A57="","",IF(AND(G57,D57&lt;=TARGET_LEVEL_NUM),"Applicable","N/A"))</f>
        <v/>
      </c>
      <c r="I57" s="49" t="n"/>
      <c r="J57" s="49" t="n"/>
      <c r="K57" s="49" t="n"/>
      <c r="L57" s="49" t="n"/>
      <c r="M57" s="49" t="n"/>
      <c r="N57" s="49" t="n"/>
      <c r="O57" s="50" t="n"/>
      <c r="P57" s="50">
        <f>IF($A57="","",IF(H57="N/A","N/A",IFERROR(INDEX(CRIT_MATRIX,MATCH(O57,CRIT_MATRIX_ROWS,0),MATCH(APP_RISK_TIER,CRIT_MATRIX_COLS,0)),"")))</f>
        <v/>
      </c>
      <c r="Q57" s="49" t="n"/>
      <c r="R57" s="49" cm="1">
        <f t="array" ref="R57">IF($A57="","",COUNTIFS(tblThreatControls[Control ID],$A57,tblThreatControls[Threat applies],"Applies"))</f>
        <v/>
      </c>
      <c r="S57" s="49" cm="1">
        <f t="array" ref="S57">IF($A57="","",IF(R57=0,"",INDEX(RISK_SCALE_NAMES,_xlfn.MAXIFS(tblThreatControls[Threat risk score],tblThreatControls[Control ID],$A57))))</f>
        <v/>
      </c>
      <c r="T57" s="49" cm="1">
        <f t="array" ref="T57">IF($A57="","",IF(AND(H57="Applicable",OR(L57="Not assessed",L57=""),R57&gt;0),"Yes","No"))</f>
        <v/>
      </c>
      <c r="U57" s="49" cm="1">
        <f t="array" ref="U57">IF($A57="","",IF(AND(H57="Applicable",OR(L57="Gap",L57="Partial coverage")),INDEX(RISK_SCALE_NAMES,MAX(IFERROR(MATCH(P57,RISK_SCALE_NAMES,0),1),IFERROR(MATCH(S57,RISK_SCALE_NAMES,0),0))),""))</f>
        <v/>
      </c>
      <c r="V57" s="49" cm="1">
        <f t="array" ref="V57">IF($A57="","",_xlfn.TEXTJOIN("; ",TRUE,_xlfn._xlws.FILTER(tblThreatControls[Threat ID],(tblThreatControls[Control ID]=$A57)*(tblThreatControls[Threat applies]="Applies"),"")))</f>
        <v/>
      </c>
    </row>
    <row r="58" ht="45" customHeight="1" s="19">
      <c r="A58" s="49" t="n"/>
      <c r="B58" s="49" t="n"/>
      <c r="C58" s="49" t="n"/>
      <c r="D58" s="50" t="n"/>
      <c r="E58" s="49" t="n"/>
      <c r="F58" s="49" t="n"/>
      <c r="G58" s="49">
        <f>TRUE()</f>
        <v/>
      </c>
      <c r="H58" s="50">
        <f>IF($A58="","",IF(AND(G58,D58&lt;=TARGET_LEVEL_NUM),"Applicable","N/A"))</f>
        <v/>
      </c>
      <c r="I58" s="49" t="n"/>
      <c r="J58" s="49" t="n"/>
      <c r="K58" s="49" t="n"/>
      <c r="L58" s="49" t="n"/>
      <c r="M58" s="49" t="n"/>
      <c r="N58" s="49" t="n"/>
      <c r="O58" s="50" t="n"/>
      <c r="P58" s="50">
        <f>IF($A58="","",IF(H58="N/A","N/A",IFERROR(INDEX(CRIT_MATRIX,MATCH(O58,CRIT_MATRIX_ROWS,0),MATCH(APP_RISK_TIER,CRIT_MATRIX_COLS,0)),"")))</f>
        <v/>
      </c>
      <c r="Q58" s="49" t="n"/>
      <c r="R58" s="49" cm="1">
        <f t="array" ref="R58">IF($A58="","",COUNTIFS(tblThreatControls[Control ID],$A58,tblThreatControls[Threat applies],"Applies"))</f>
        <v/>
      </c>
      <c r="S58" s="49" cm="1">
        <f t="array" ref="S58">IF($A58="","",IF(R58=0,"",INDEX(RISK_SCALE_NAMES,_xlfn.MAXIFS(tblThreatControls[Threat risk score],tblThreatControls[Control ID],$A58))))</f>
        <v/>
      </c>
      <c r="T58" s="49" cm="1">
        <f t="array" ref="T58">IF($A58="","",IF(AND(H58="Applicable",OR(L58="Not assessed",L58=""),R58&gt;0),"Yes","No"))</f>
        <v/>
      </c>
      <c r="U58" s="49" cm="1">
        <f t="array" ref="U58">IF($A58="","",IF(AND(H58="Applicable",OR(L58="Gap",L58="Partial coverage")),INDEX(RISK_SCALE_NAMES,MAX(IFERROR(MATCH(P58,RISK_SCALE_NAMES,0),1),IFERROR(MATCH(S58,RISK_SCALE_NAMES,0),0))),""))</f>
        <v/>
      </c>
      <c r="V58" s="49" cm="1">
        <f t="array" ref="V58">IF($A58="","",_xlfn.TEXTJOIN("; ",TRUE,_xlfn._xlws.FILTER(tblThreatControls[Threat ID],(tblThreatControls[Control ID]=$A58)*(tblThreatControls[Threat applies]="Applies"),"")))</f>
        <v/>
      </c>
    </row>
    <row r="59" ht="45" customHeight="1" s="19">
      <c r="A59" s="49" t="n"/>
      <c r="B59" s="49" t="n"/>
      <c r="C59" s="49" t="n"/>
      <c r="D59" s="50" t="n"/>
      <c r="E59" s="49" t="n"/>
      <c r="F59" s="49" t="n"/>
      <c r="G59" s="49">
        <f>TRUE()</f>
        <v/>
      </c>
      <c r="H59" s="50">
        <f>IF($A59="","",IF(AND(G59,D59&lt;=TARGET_LEVEL_NUM),"Applicable","N/A"))</f>
        <v/>
      </c>
      <c r="I59" s="49" t="n"/>
      <c r="J59" s="49" t="n"/>
      <c r="K59" s="49" t="n"/>
      <c r="L59" s="49" t="n"/>
      <c r="M59" s="49" t="n"/>
      <c r="N59" s="49" t="n"/>
      <c r="O59" s="50" t="n"/>
      <c r="P59" s="50">
        <f>IF($A59="","",IF(H59="N/A","N/A",IFERROR(INDEX(CRIT_MATRIX,MATCH(O59,CRIT_MATRIX_ROWS,0),MATCH(APP_RISK_TIER,CRIT_MATRIX_COLS,0)),"")))</f>
        <v/>
      </c>
      <c r="Q59" s="49" t="n"/>
      <c r="R59" s="49" cm="1">
        <f t="array" ref="R59">IF($A59="","",COUNTIFS(tblThreatControls[Control ID],$A59,tblThreatControls[Threat applies],"Applies"))</f>
        <v/>
      </c>
      <c r="S59" s="49" cm="1">
        <f t="array" ref="S59">IF($A59="","",IF(R59=0,"",INDEX(RISK_SCALE_NAMES,_xlfn.MAXIFS(tblThreatControls[Threat risk score],tblThreatControls[Control ID],$A59))))</f>
        <v/>
      </c>
      <c r="T59" s="49" cm="1">
        <f t="array" ref="T59">IF($A59="","",IF(AND(H59="Applicable",OR(L59="Not assessed",L59=""),R59&gt;0),"Yes","No"))</f>
        <v/>
      </c>
      <c r="U59" s="49" cm="1">
        <f t="array" ref="U59">IF($A59="","",IF(AND(H59="Applicable",OR(L59="Gap",L59="Partial coverage")),INDEX(RISK_SCALE_NAMES,MAX(IFERROR(MATCH(P59,RISK_SCALE_NAMES,0),1),IFERROR(MATCH(S59,RISK_SCALE_NAMES,0),0))),""))</f>
        <v/>
      </c>
      <c r="V59" s="49" cm="1">
        <f t="array" ref="V59">IF($A59="","",_xlfn.TEXTJOIN("; ",TRUE,_xlfn._xlws.FILTER(tblThreatControls[Threat ID],(tblThreatControls[Control ID]=$A59)*(tblThreatControls[Threat applies]="Applies"),"")))</f>
        <v/>
      </c>
    </row>
    <row r="60" ht="45" customHeight="1" s="19">
      <c r="A60" s="49" t="n"/>
      <c r="B60" s="49" t="n"/>
      <c r="C60" s="49" t="n"/>
      <c r="D60" s="50" t="n"/>
      <c r="E60" s="49" t="n"/>
      <c r="F60" s="49" t="n"/>
      <c r="G60" s="49">
        <f>TRUE()</f>
        <v/>
      </c>
      <c r="H60" s="50">
        <f>IF($A60="","",IF(AND(G60,D60&lt;=TARGET_LEVEL_NUM),"Applicable","N/A"))</f>
        <v/>
      </c>
      <c r="I60" s="49" t="n"/>
      <c r="J60" s="49" t="n"/>
      <c r="K60" s="49" t="n"/>
      <c r="L60" s="49" t="n"/>
      <c r="M60" s="49" t="n"/>
      <c r="N60" s="49" t="n"/>
      <c r="O60" s="50" t="n"/>
      <c r="P60" s="50">
        <f>IF($A60="","",IF(H60="N/A","N/A",IFERROR(INDEX(CRIT_MATRIX,MATCH(O60,CRIT_MATRIX_ROWS,0),MATCH(APP_RISK_TIER,CRIT_MATRIX_COLS,0)),"")))</f>
        <v/>
      </c>
      <c r="Q60" s="49" t="n"/>
      <c r="R60" s="49" cm="1">
        <f t="array" ref="R60">IF($A60="","",COUNTIFS(tblThreatControls[Control ID],$A60,tblThreatControls[Threat applies],"Applies"))</f>
        <v/>
      </c>
      <c r="S60" s="49" cm="1">
        <f t="array" ref="S60">IF($A60="","",IF(R60=0,"",INDEX(RISK_SCALE_NAMES,_xlfn.MAXIFS(tblThreatControls[Threat risk score],tblThreatControls[Control ID],$A60))))</f>
        <v/>
      </c>
      <c r="T60" s="49" cm="1">
        <f t="array" ref="T60">IF($A60="","",IF(AND(H60="Applicable",OR(L60="Not assessed",L60=""),R60&gt;0),"Yes","No"))</f>
        <v/>
      </c>
      <c r="U60" s="49" cm="1">
        <f t="array" ref="U60">IF($A60="","",IF(AND(H60="Applicable",OR(L60="Gap",L60="Partial coverage")),INDEX(RISK_SCALE_NAMES,MAX(IFERROR(MATCH(P60,RISK_SCALE_NAMES,0),1),IFERROR(MATCH(S60,RISK_SCALE_NAMES,0),0))),""))</f>
        <v/>
      </c>
      <c r="V60" s="49" cm="1">
        <f t="array" ref="V60">IF($A60="","",_xlfn.TEXTJOIN("; ",TRUE,_xlfn._xlws.FILTER(tblThreatControls[Threat ID],(tblThreatControls[Control ID]=$A60)*(tblThreatControls[Threat applies]="Applies"),"")))</f>
        <v/>
      </c>
    </row>
    <row r="61" ht="45" customHeight="1" s="19">
      <c r="A61" s="49" t="n"/>
      <c r="B61" s="49" t="n"/>
      <c r="C61" s="49" t="n"/>
      <c r="D61" s="50" t="n"/>
      <c r="E61" s="49" t="n"/>
      <c r="F61" s="49" t="n"/>
      <c r="G61" s="49">
        <f>TRUE()</f>
        <v/>
      </c>
      <c r="H61" s="50">
        <f>IF($A61="","",IF(AND(G61,D61&lt;=TARGET_LEVEL_NUM),"Applicable","N/A"))</f>
        <v/>
      </c>
      <c r="I61" s="49" t="n"/>
      <c r="J61" s="49" t="n"/>
      <c r="K61" s="49" t="n"/>
      <c r="L61" s="49" t="n"/>
      <c r="M61" s="49" t="n"/>
      <c r="N61" s="49" t="n"/>
      <c r="O61" s="50" t="n"/>
      <c r="P61" s="50">
        <f>IF($A61="","",IF(H61="N/A","N/A",IFERROR(INDEX(CRIT_MATRIX,MATCH(O61,CRIT_MATRIX_ROWS,0),MATCH(APP_RISK_TIER,CRIT_MATRIX_COLS,0)),"")))</f>
        <v/>
      </c>
      <c r="Q61" s="49" t="n"/>
      <c r="R61" s="49" cm="1">
        <f t="array" ref="R61">IF($A61="","",COUNTIFS(tblThreatControls[Control ID],$A61,tblThreatControls[Threat applies],"Applies"))</f>
        <v/>
      </c>
      <c r="S61" s="49" cm="1">
        <f t="array" ref="S61">IF($A61="","",IF(R61=0,"",INDEX(RISK_SCALE_NAMES,_xlfn.MAXIFS(tblThreatControls[Threat risk score],tblThreatControls[Control ID],$A61))))</f>
        <v/>
      </c>
      <c r="T61" s="49" cm="1">
        <f t="array" ref="T61">IF($A61="","",IF(AND(H61="Applicable",OR(L61="Not assessed",L61=""),R61&gt;0),"Yes","No"))</f>
        <v/>
      </c>
      <c r="U61" s="49" cm="1">
        <f t="array" ref="U61">IF($A61="","",IF(AND(H61="Applicable",OR(L61="Gap",L61="Partial coverage")),INDEX(RISK_SCALE_NAMES,MAX(IFERROR(MATCH(P61,RISK_SCALE_NAMES,0),1),IFERROR(MATCH(S61,RISK_SCALE_NAMES,0),0))),""))</f>
        <v/>
      </c>
      <c r="V61" s="49" cm="1">
        <f t="array" ref="V61">IF($A61="","",_xlfn.TEXTJOIN("; ",TRUE,_xlfn._xlws.FILTER(tblThreatControls[Threat ID],(tblThreatControls[Control ID]=$A61)*(tblThreatControls[Threat applies]="Applies"),"")))</f>
        <v/>
      </c>
    </row>
    <row r="62" ht="45" customHeight="1" s="19">
      <c r="A62" s="49" t="n"/>
      <c r="B62" s="49" t="n"/>
      <c r="C62" s="49" t="n"/>
      <c r="D62" s="50" t="n"/>
      <c r="E62" s="49" t="n"/>
      <c r="F62" s="49" t="n"/>
      <c r="G62" s="49">
        <f>TRUE()</f>
        <v/>
      </c>
      <c r="H62" s="50">
        <f>IF($A62="","",IF(AND(G62,D62&lt;=TARGET_LEVEL_NUM),"Applicable","N/A"))</f>
        <v/>
      </c>
      <c r="I62" s="49" t="n"/>
      <c r="J62" s="49" t="n"/>
      <c r="K62" s="49" t="n"/>
      <c r="L62" s="49" t="n"/>
      <c r="M62" s="49" t="n"/>
      <c r="N62" s="49" t="n"/>
      <c r="O62" s="50" t="n"/>
      <c r="P62" s="50">
        <f>IF($A62="","",IF(H62="N/A","N/A",IFERROR(INDEX(CRIT_MATRIX,MATCH(O62,CRIT_MATRIX_ROWS,0),MATCH(APP_RISK_TIER,CRIT_MATRIX_COLS,0)),"")))</f>
        <v/>
      </c>
      <c r="Q62" s="49" t="n"/>
      <c r="R62" s="49" cm="1">
        <f t="array" ref="R62">IF($A62="","",COUNTIFS(tblThreatControls[Control ID],$A62,tblThreatControls[Threat applies],"Applies"))</f>
        <v/>
      </c>
      <c r="S62" s="49" cm="1">
        <f t="array" ref="S62">IF($A62="","",IF(R62=0,"",INDEX(RISK_SCALE_NAMES,_xlfn.MAXIFS(tblThreatControls[Threat risk score],tblThreatControls[Control ID],$A62))))</f>
        <v/>
      </c>
      <c r="T62" s="49" cm="1">
        <f t="array" ref="T62">IF($A62="","",IF(AND(H62="Applicable",OR(L62="Not assessed",L62=""),R62&gt;0),"Yes","No"))</f>
        <v/>
      </c>
      <c r="U62" s="49" cm="1">
        <f t="array" ref="U62">IF($A62="","",IF(AND(H62="Applicable",OR(L62="Gap",L62="Partial coverage")),INDEX(RISK_SCALE_NAMES,MAX(IFERROR(MATCH(P62,RISK_SCALE_NAMES,0),1),IFERROR(MATCH(S62,RISK_SCALE_NAMES,0),0))),""))</f>
        <v/>
      </c>
      <c r="V62" s="49" cm="1">
        <f t="array" ref="V62">IF($A62="","",_xlfn.TEXTJOIN("; ",TRUE,_xlfn._xlws.FILTER(tblThreatControls[Threat ID],(tblThreatControls[Control ID]=$A62)*(tblThreatControls[Threat applies]="Applies"),"")))</f>
        <v/>
      </c>
    </row>
    <row r="63" ht="45" customHeight="1" s="19">
      <c r="A63" s="49" t="n"/>
      <c r="B63" s="49" t="n"/>
      <c r="C63" s="49" t="n"/>
      <c r="D63" s="50" t="n"/>
      <c r="E63" s="49" t="n"/>
      <c r="F63" s="49" t="n"/>
      <c r="G63" s="49">
        <f>TRUE()</f>
        <v/>
      </c>
      <c r="H63" s="50">
        <f>IF($A63="","",IF(AND(G63,D63&lt;=TARGET_LEVEL_NUM),"Applicable","N/A"))</f>
        <v/>
      </c>
      <c r="I63" s="49" t="n"/>
      <c r="J63" s="49" t="n"/>
      <c r="K63" s="49" t="n"/>
      <c r="L63" s="49" t="n"/>
      <c r="M63" s="49" t="n"/>
      <c r="N63" s="49" t="n"/>
      <c r="O63" s="50" t="n"/>
      <c r="P63" s="50">
        <f>IF($A63="","",IF(H63="N/A","N/A",IFERROR(INDEX(CRIT_MATRIX,MATCH(O63,CRIT_MATRIX_ROWS,0),MATCH(APP_RISK_TIER,CRIT_MATRIX_COLS,0)),"")))</f>
        <v/>
      </c>
      <c r="Q63" s="49" t="n"/>
      <c r="R63" s="49" cm="1">
        <f t="array" ref="R63">IF($A63="","",COUNTIFS(tblThreatControls[Control ID],$A63,tblThreatControls[Threat applies],"Applies"))</f>
        <v/>
      </c>
      <c r="S63" s="49" cm="1">
        <f t="array" ref="S63">IF($A63="","",IF(R63=0,"",INDEX(RISK_SCALE_NAMES,_xlfn.MAXIFS(tblThreatControls[Threat risk score],tblThreatControls[Control ID],$A63))))</f>
        <v/>
      </c>
      <c r="T63" s="49" cm="1">
        <f t="array" ref="T63">IF($A63="","",IF(AND(H63="Applicable",OR(L63="Not assessed",L63=""),R63&gt;0),"Yes","No"))</f>
        <v/>
      </c>
      <c r="U63" s="49" cm="1">
        <f t="array" ref="U63">IF($A63="","",IF(AND(H63="Applicable",OR(L63="Gap",L63="Partial coverage")),INDEX(RISK_SCALE_NAMES,MAX(IFERROR(MATCH(P63,RISK_SCALE_NAMES,0),1),IFERROR(MATCH(S63,RISK_SCALE_NAMES,0),0))),""))</f>
        <v/>
      </c>
      <c r="V63" s="49" cm="1">
        <f t="array" ref="V63">IF($A63="","",_xlfn.TEXTJOIN("; ",TRUE,_xlfn._xlws.FILTER(tblThreatControls[Threat ID],(tblThreatControls[Control ID]=$A63)*(tblThreatControls[Threat applies]="Applies"),"")))</f>
        <v/>
      </c>
    </row>
    <row r="64" ht="45" customHeight="1" s="19">
      <c r="A64" s="49" t="n"/>
      <c r="B64" s="49" t="n"/>
      <c r="C64" s="49" t="n"/>
      <c r="D64" s="50" t="n"/>
      <c r="E64" s="49" t="n"/>
      <c r="F64" s="49" t="n"/>
      <c r="G64" s="49">
        <f>TRUE()</f>
        <v/>
      </c>
      <c r="H64" s="50">
        <f>IF($A64="","",IF(AND(G64,D64&lt;=TARGET_LEVEL_NUM),"Applicable","N/A"))</f>
        <v/>
      </c>
      <c r="I64" s="49" t="n"/>
      <c r="J64" s="49" t="n"/>
      <c r="K64" s="49" t="n"/>
      <c r="L64" s="49" t="n"/>
      <c r="M64" s="49" t="n"/>
      <c r="N64" s="49" t="n"/>
      <c r="O64" s="50" t="n"/>
      <c r="P64" s="50">
        <f>IF($A64="","",IF(H64="N/A","N/A",IFERROR(INDEX(CRIT_MATRIX,MATCH(O64,CRIT_MATRIX_ROWS,0),MATCH(APP_RISK_TIER,CRIT_MATRIX_COLS,0)),"")))</f>
        <v/>
      </c>
      <c r="Q64" s="49" t="n"/>
      <c r="R64" s="49" cm="1">
        <f t="array" ref="R64">IF($A64="","",COUNTIFS(tblThreatControls[Control ID],$A64,tblThreatControls[Threat applies],"Applies"))</f>
        <v/>
      </c>
      <c r="S64" s="49" cm="1">
        <f t="array" ref="S64">IF($A64="","",IF(R64=0,"",INDEX(RISK_SCALE_NAMES,_xlfn.MAXIFS(tblThreatControls[Threat risk score],tblThreatControls[Control ID],$A64))))</f>
        <v/>
      </c>
      <c r="T64" s="49" cm="1">
        <f t="array" ref="T64">IF($A64="","",IF(AND(H64="Applicable",OR(L64="Not assessed",L64=""),R64&gt;0),"Yes","No"))</f>
        <v/>
      </c>
      <c r="U64" s="49" cm="1">
        <f t="array" ref="U64">IF($A64="","",IF(AND(H64="Applicable",OR(L64="Gap",L64="Partial coverage")),INDEX(RISK_SCALE_NAMES,MAX(IFERROR(MATCH(P64,RISK_SCALE_NAMES,0),1),IFERROR(MATCH(S64,RISK_SCALE_NAMES,0),0))),""))</f>
        <v/>
      </c>
      <c r="V64" s="49" cm="1">
        <f t="array" ref="V64">IF($A64="","",_xlfn.TEXTJOIN("; ",TRUE,_xlfn._xlws.FILTER(tblThreatControls[Threat ID],(tblThreatControls[Control ID]=$A64)*(tblThreatControls[Threat applies]="Applies"),"")))</f>
        <v/>
      </c>
    </row>
    <row r="65" ht="45" customHeight="1" s="19">
      <c r="A65" s="49" t="n"/>
      <c r="B65" s="49" t="n"/>
      <c r="C65" s="49" t="n"/>
      <c r="D65" s="50" t="n"/>
      <c r="E65" s="49" t="n"/>
      <c r="F65" s="49" t="n"/>
      <c r="G65" s="49">
        <f>TRUE()</f>
        <v/>
      </c>
      <c r="H65" s="50">
        <f>IF($A65="","",IF(AND(G65,D65&lt;=TARGET_LEVEL_NUM),"Applicable","N/A"))</f>
        <v/>
      </c>
      <c r="I65" s="49" t="n"/>
      <c r="J65" s="49" t="n"/>
      <c r="K65" s="49" t="n"/>
      <c r="L65" s="49" t="n"/>
      <c r="M65" s="49" t="n"/>
      <c r="N65" s="49" t="n"/>
      <c r="O65" s="50" t="n"/>
      <c r="P65" s="50">
        <f>IF($A65="","",IF(H65="N/A","N/A",IFERROR(INDEX(CRIT_MATRIX,MATCH(O65,CRIT_MATRIX_ROWS,0),MATCH(APP_RISK_TIER,CRIT_MATRIX_COLS,0)),"")))</f>
        <v/>
      </c>
      <c r="Q65" s="49" t="n"/>
      <c r="R65" s="49" cm="1">
        <f t="array" ref="R65">IF($A65="","",COUNTIFS(tblThreatControls[Control ID],$A65,tblThreatControls[Threat applies],"Applies"))</f>
        <v/>
      </c>
      <c r="S65" s="49" cm="1">
        <f t="array" ref="S65">IF($A65="","",IF(R65=0,"",INDEX(RISK_SCALE_NAMES,_xlfn.MAXIFS(tblThreatControls[Threat risk score],tblThreatControls[Control ID],$A65))))</f>
        <v/>
      </c>
      <c r="T65" s="49" cm="1">
        <f t="array" ref="T65">IF($A65="","",IF(AND(H65="Applicable",OR(L65="Not assessed",L65=""),R65&gt;0),"Yes","No"))</f>
        <v/>
      </c>
      <c r="U65" s="49" cm="1">
        <f t="array" ref="U65">IF($A65="","",IF(AND(H65="Applicable",OR(L65="Gap",L65="Partial coverage")),INDEX(RISK_SCALE_NAMES,MAX(IFERROR(MATCH(P65,RISK_SCALE_NAMES,0),1),IFERROR(MATCH(S65,RISK_SCALE_NAMES,0),0))),""))</f>
        <v/>
      </c>
      <c r="V65" s="49" cm="1">
        <f t="array" ref="V65">IF($A65="","",_xlfn.TEXTJOIN("; ",TRUE,_xlfn._xlws.FILTER(tblThreatControls[Threat ID],(tblThreatControls[Control ID]=$A65)*(tblThreatControls[Threat applies]="Applies"),"")))</f>
        <v/>
      </c>
    </row>
    <row r="66" ht="45" customHeight="1" s="19">
      <c r="A66" s="49" t="n"/>
      <c r="B66" s="49" t="n"/>
      <c r="C66" s="49" t="n"/>
      <c r="D66" s="50" t="n"/>
      <c r="E66" s="49" t="n"/>
      <c r="F66" s="49" t="n"/>
      <c r="G66" s="49">
        <f>TRUE()</f>
        <v/>
      </c>
      <c r="H66" s="50">
        <f>IF($A66="","",IF(AND(G66,D66&lt;=TARGET_LEVEL_NUM),"Applicable","N/A"))</f>
        <v/>
      </c>
      <c r="I66" s="49" t="n"/>
      <c r="J66" s="49" t="n"/>
      <c r="K66" s="49" t="n"/>
      <c r="L66" s="49" t="n"/>
      <c r="M66" s="49" t="n"/>
      <c r="N66" s="49" t="n"/>
      <c r="O66" s="50" t="n"/>
      <c r="P66" s="50">
        <f>IF($A66="","",IF(H66="N/A","N/A",IFERROR(INDEX(CRIT_MATRIX,MATCH(O66,CRIT_MATRIX_ROWS,0),MATCH(APP_RISK_TIER,CRIT_MATRIX_COLS,0)),"")))</f>
        <v/>
      </c>
      <c r="Q66" s="49" t="n"/>
      <c r="R66" s="49" cm="1">
        <f t="array" ref="R66">IF($A66="","",COUNTIFS(tblThreatControls[Control ID],$A66,tblThreatControls[Threat applies],"Applies"))</f>
        <v/>
      </c>
      <c r="S66" s="49" cm="1">
        <f t="array" ref="S66">IF($A66="","",IF(R66=0,"",INDEX(RISK_SCALE_NAMES,_xlfn.MAXIFS(tblThreatControls[Threat risk score],tblThreatControls[Control ID],$A66))))</f>
        <v/>
      </c>
      <c r="T66" s="49" cm="1">
        <f t="array" ref="T66">IF($A66="","",IF(AND(H66="Applicable",OR(L66="Not assessed",L66=""),R66&gt;0),"Yes","No"))</f>
        <v/>
      </c>
      <c r="U66" s="49" cm="1">
        <f t="array" ref="U66">IF($A66="","",IF(AND(H66="Applicable",OR(L66="Gap",L66="Partial coverage")),INDEX(RISK_SCALE_NAMES,MAX(IFERROR(MATCH(P66,RISK_SCALE_NAMES,0),1),IFERROR(MATCH(S66,RISK_SCALE_NAMES,0),0))),""))</f>
        <v/>
      </c>
      <c r="V66" s="49" cm="1">
        <f t="array" ref="V66">IF($A66="","",_xlfn.TEXTJOIN("; ",TRUE,_xlfn._xlws.FILTER(tblThreatControls[Threat ID],(tblThreatControls[Control ID]=$A66)*(tblThreatControls[Threat applies]="Applies"),"")))</f>
        <v/>
      </c>
    </row>
    <row r="67" ht="45" customHeight="1" s="19">
      <c r="A67" s="49" t="n"/>
      <c r="B67" s="49" t="n"/>
      <c r="C67" s="49" t="n"/>
      <c r="D67" s="50" t="n"/>
      <c r="E67" s="49" t="n"/>
      <c r="F67" s="49" t="n"/>
      <c r="G67" s="49">
        <f>TRUE()</f>
        <v/>
      </c>
      <c r="H67" s="50">
        <f>IF($A67="","",IF(AND(G67,D67&lt;=TARGET_LEVEL_NUM),"Applicable","N/A"))</f>
        <v/>
      </c>
      <c r="I67" s="49" t="n"/>
      <c r="J67" s="49" t="n"/>
      <c r="K67" s="49" t="n"/>
      <c r="L67" s="49" t="n"/>
      <c r="M67" s="49" t="n"/>
      <c r="N67" s="49" t="n"/>
      <c r="O67" s="50" t="n"/>
      <c r="P67" s="50">
        <f>IF($A67="","",IF(H67="N/A","N/A",IFERROR(INDEX(CRIT_MATRIX,MATCH(O67,CRIT_MATRIX_ROWS,0),MATCH(APP_RISK_TIER,CRIT_MATRIX_COLS,0)),"")))</f>
        <v/>
      </c>
      <c r="Q67" s="49" t="n"/>
      <c r="R67" s="49" cm="1">
        <f t="array" ref="R67">IF($A67="","",COUNTIFS(tblThreatControls[Control ID],$A67,tblThreatControls[Threat applies],"Applies"))</f>
        <v/>
      </c>
      <c r="S67" s="49" cm="1">
        <f t="array" ref="S67">IF($A67="","",IF(R67=0,"",INDEX(RISK_SCALE_NAMES,_xlfn.MAXIFS(tblThreatControls[Threat risk score],tblThreatControls[Control ID],$A67))))</f>
        <v/>
      </c>
      <c r="T67" s="49" cm="1">
        <f t="array" ref="T67">IF($A67="","",IF(AND(H67="Applicable",OR(L67="Not assessed",L67=""),R67&gt;0),"Yes","No"))</f>
        <v/>
      </c>
      <c r="U67" s="49" cm="1">
        <f t="array" ref="U67">IF($A67="","",IF(AND(H67="Applicable",OR(L67="Gap",L67="Partial coverage")),INDEX(RISK_SCALE_NAMES,MAX(IFERROR(MATCH(P67,RISK_SCALE_NAMES,0),1),IFERROR(MATCH(S67,RISK_SCALE_NAMES,0),0))),""))</f>
        <v/>
      </c>
      <c r="V67" s="49" cm="1">
        <f t="array" ref="V67">IF($A67="","",_xlfn.TEXTJOIN("; ",TRUE,_xlfn._xlws.FILTER(tblThreatControls[Threat ID],(tblThreatControls[Control ID]=$A67)*(tblThreatControls[Threat applies]="Applies"),"")))</f>
        <v/>
      </c>
    </row>
    <row r="68" ht="45" customHeight="1" s="19">
      <c r="A68" s="49" t="n"/>
      <c r="B68" s="49" t="n"/>
      <c r="C68" s="49" t="n"/>
      <c r="D68" s="50" t="n"/>
      <c r="E68" s="49" t="n"/>
      <c r="F68" s="49" t="n"/>
      <c r="G68" s="49">
        <f>TRUE()</f>
        <v/>
      </c>
      <c r="H68" s="50">
        <f>IF($A68="","",IF(AND(G68,D68&lt;=TARGET_LEVEL_NUM),"Applicable","N/A"))</f>
        <v/>
      </c>
      <c r="I68" s="49" t="n"/>
      <c r="J68" s="49" t="n"/>
      <c r="K68" s="49" t="n"/>
      <c r="L68" s="49" t="n"/>
      <c r="M68" s="49" t="n"/>
      <c r="N68" s="49" t="n"/>
      <c r="O68" s="50" t="n"/>
      <c r="P68" s="50">
        <f>IF($A68="","",IF(H68="N/A","N/A",IFERROR(INDEX(CRIT_MATRIX,MATCH(O68,CRIT_MATRIX_ROWS,0),MATCH(APP_RISK_TIER,CRIT_MATRIX_COLS,0)),"")))</f>
        <v/>
      </c>
      <c r="Q68" s="49" t="n"/>
      <c r="R68" s="49" cm="1">
        <f t="array" ref="R68">IF($A68="","",COUNTIFS(tblThreatControls[Control ID],$A68,tblThreatControls[Threat applies],"Applies"))</f>
        <v/>
      </c>
      <c r="S68" s="49" cm="1">
        <f t="array" ref="S68">IF($A68="","",IF(R68=0,"",INDEX(RISK_SCALE_NAMES,_xlfn.MAXIFS(tblThreatControls[Threat risk score],tblThreatControls[Control ID],$A68))))</f>
        <v/>
      </c>
      <c r="T68" s="49" cm="1">
        <f t="array" ref="T68">IF($A68="","",IF(AND(H68="Applicable",OR(L68="Not assessed",L68=""),R68&gt;0),"Yes","No"))</f>
        <v/>
      </c>
      <c r="U68" s="49" cm="1">
        <f t="array" ref="U68">IF($A68="","",IF(AND(H68="Applicable",OR(L68="Gap",L68="Partial coverage")),INDEX(RISK_SCALE_NAMES,MAX(IFERROR(MATCH(P68,RISK_SCALE_NAMES,0),1),IFERROR(MATCH(S68,RISK_SCALE_NAMES,0),0))),""))</f>
        <v/>
      </c>
      <c r="V68" s="49" cm="1">
        <f t="array" ref="V68">IF($A68="","",_xlfn.TEXTJOIN("; ",TRUE,_xlfn._xlws.FILTER(tblThreatControls[Threat ID],(tblThreatControls[Control ID]=$A68)*(tblThreatControls[Threat applies]="Applies"),"")))</f>
        <v/>
      </c>
    </row>
    <row r="69" ht="45" customHeight="1" s="19">
      <c r="A69" s="49" t="n"/>
      <c r="B69" s="49" t="n"/>
      <c r="C69" s="49" t="n"/>
      <c r="D69" s="50" t="n"/>
      <c r="E69" s="49" t="n"/>
      <c r="F69" s="49" t="n"/>
      <c r="G69" s="49">
        <f>TRUE()</f>
        <v/>
      </c>
      <c r="H69" s="50">
        <f>IF($A69="","",IF(AND(G69,D69&lt;=TARGET_LEVEL_NUM),"Applicable","N/A"))</f>
        <v/>
      </c>
      <c r="I69" s="49" t="n"/>
      <c r="J69" s="49" t="n"/>
      <c r="K69" s="49" t="n"/>
      <c r="L69" s="49" t="n"/>
      <c r="M69" s="49" t="n"/>
      <c r="N69" s="49" t="n"/>
      <c r="O69" s="50" t="n"/>
      <c r="P69" s="50">
        <f>IF($A69="","",IF(H69="N/A","N/A",IFERROR(INDEX(CRIT_MATRIX,MATCH(O69,CRIT_MATRIX_ROWS,0),MATCH(APP_RISK_TIER,CRIT_MATRIX_COLS,0)),"")))</f>
        <v/>
      </c>
      <c r="Q69" s="49" t="n"/>
      <c r="R69" s="49" cm="1">
        <f t="array" ref="R69">IF($A69="","",COUNTIFS(tblThreatControls[Control ID],$A69,tblThreatControls[Threat applies],"Applies"))</f>
        <v/>
      </c>
      <c r="S69" s="49" cm="1">
        <f t="array" ref="S69">IF($A69="","",IF(R69=0,"",INDEX(RISK_SCALE_NAMES,_xlfn.MAXIFS(tblThreatControls[Threat risk score],tblThreatControls[Control ID],$A69))))</f>
        <v/>
      </c>
      <c r="T69" s="49" cm="1">
        <f t="array" ref="T69">IF($A69="","",IF(AND(H69="Applicable",OR(L69="Not assessed",L69=""),R69&gt;0),"Yes","No"))</f>
        <v/>
      </c>
      <c r="U69" s="49" cm="1">
        <f t="array" ref="U69">IF($A69="","",IF(AND(H69="Applicable",OR(L69="Gap",L69="Partial coverage")),INDEX(RISK_SCALE_NAMES,MAX(IFERROR(MATCH(P69,RISK_SCALE_NAMES,0),1),IFERROR(MATCH(S69,RISK_SCALE_NAMES,0),0))),""))</f>
        <v/>
      </c>
      <c r="V69" s="49" cm="1">
        <f t="array" ref="V69">IF($A69="","",_xlfn.TEXTJOIN("; ",TRUE,_xlfn._xlws.FILTER(tblThreatControls[Threat ID],(tblThreatControls[Control ID]=$A69)*(tblThreatControls[Threat applies]="Applies"),"")))</f>
        <v/>
      </c>
    </row>
    <row r="70" ht="45" customHeight="1" s="19">
      <c r="A70" s="49" t="n"/>
      <c r="B70" s="49" t="n"/>
      <c r="C70" s="49" t="n"/>
      <c r="D70" s="50" t="n"/>
      <c r="E70" s="49" t="n"/>
      <c r="F70" s="49" t="n"/>
      <c r="G70" s="49">
        <f>TRUE()</f>
        <v/>
      </c>
      <c r="H70" s="50">
        <f>IF($A70="","",IF(AND(G70,D70&lt;=TARGET_LEVEL_NUM),"Applicable","N/A"))</f>
        <v/>
      </c>
      <c r="I70" s="49" t="n"/>
      <c r="J70" s="49" t="n"/>
      <c r="K70" s="49" t="n"/>
      <c r="L70" s="49" t="n"/>
      <c r="M70" s="49" t="n"/>
      <c r="N70" s="49" t="n"/>
      <c r="O70" s="50" t="n"/>
      <c r="P70" s="50">
        <f>IF($A70="","",IF(H70="N/A","N/A",IFERROR(INDEX(CRIT_MATRIX,MATCH(O70,CRIT_MATRIX_ROWS,0),MATCH(APP_RISK_TIER,CRIT_MATRIX_COLS,0)),"")))</f>
        <v/>
      </c>
      <c r="Q70" s="49" t="n"/>
      <c r="R70" s="49" cm="1">
        <f t="array" ref="R70">IF($A70="","",COUNTIFS(tblThreatControls[Control ID],$A70,tblThreatControls[Threat applies],"Applies"))</f>
        <v/>
      </c>
      <c r="S70" s="49" cm="1">
        <f t="array" ref="S70">IF($A70="","",IF(R70=0,"",INDEX(RISK_SCALE_NAMES,_xlfn.MAXIFS(tblThreatControls[Threat risk score],tblThreatControls[Control ID],$A70))))</f>
        <v/>
      </c>
      <c r="T70" s="49" cm="1">
        <f t="array" ref="T70">IF($A70="","",IF(AND(H70="Applicable",OR(L70="Not assessed",L70=""),R70&gt;0),"Yes","No"))</f>
        <v/>
      </c>
      <c r="U70" s="49" cm="1">
        <f t="array" ref="U70">IF($A70="","",IF(AND(H70="Applicable",OR(L70="Gap",L70="Partial coverage")),INDEX(RISK_SCALE_NAMES,MAX(IFERROR(MATCH(P70,RISK_SCALE_NAMES,0),1),IFERROR(MATCH(S70,RISK_SCALE_NAMES,0),0))),""))</f>
        <v/>
      </c>
      <c r="V70" s="49" cm="1">
        <f t="array" ref="V70">IF($A70="","",_xlfn.TEXTJOIN("; ",TRUE,_xlfn._xlws.FILTER(tblThreatControls[Threat ID],(tblThreatControls[Control ID]=$A70)*(tblThreatControls[Threat applies]="Applies"),"")))</f>
        <v/>
      </c>
    </row>
    <row r="71" ht="45" customHeight="1" s="19">
      <c r="A71" s="49" t="n"/>
      <c r="B71" s="49" t="n"/>
      <c r="C71" s="49" t="n"/>
      <c r="D71" s="50" t="n"/>
      <c r="E71" s="49" t="n"/>
      <c r="F71" s="49" t="n"/>
      <c r="G71" s="49">
        <f>TRUE()</f>
        <v/>
      </c>
      <c r="H71" s="50">
        <f>IF($A71="","",IF(AND(G71,D71&lt;=TARGET_LEVEL_NUM),"Applicable","N/A"))</f>
        <v/>
      </c>
      <c r="I71" s="49" t="n"/>
      <c r="J71" s="49" t="n"/>
      <c r="K71" s="49" t="n"/>
      <c r="L71" s="49" t="n"/>
      <c r="M71" s="49" t="n"/>
      <c r="N71" s="49" t="n"/>
      <c r="O71" s="50" t="n"/>
      <c r="P71" s="50">
        <f>IF($A71="","",IF(H71="N/A","N/A",IFERROR(INDEX(CRIT_MATRIX,MATCH(O71,CRIT_MATRIX_ROWS,0),MATCH(APP_RISK_TIER,CRIT_MATRIX_COLS,0)),"")))</f>
        <v/>
      </c>
      <c r="Q71" s="49" t="n"/>
      <c r="R71" s="49" cm="1">
        <f t="array" ref="R71">IF($A71="","",COUNTIFS(tblThreatControls[Control ID],$A71,tblThreatControls[Threat applies],"Applies"))</f>
        <v/>
      </c>
      <c r="S71" s="49" cm="1">
        <f t="array" ref="S71">IF($A71="","",IF(R71=0,"",INDEX(RISK_SCALE_NAMES,_xlfn.MAXIFS(tblThreatControls[Threat risk score],tblThreatControls[Control ID],$A71))))</f>
        <v/>
      </c>
      <c r="T71" s="49" cm="1">
        <f t="array" ref="T71">IF($A71="","",IF(AND(H71="Applicable",OR(L71="Not assessed",L71=""),R71&gt;0),"Yes","No"))</f>
        <v/>
      </c>
      <c r="U71" s="49" cm="1">
        <f t="array" ref="U71">IF($A71="","",IF(AND(H71="Applicable",OR(L71="Gap",L71="Partial coverage")),INDEX(RISK_SCALE_NAMES,MAX(IFERROR(MATCH(P71,RISK_SCALE_NAMES,0),1),IFERROR(MATCH(S71,RISK_SCALE_NAMES,0),0))),""))</f>
        <v/>
      </c>
      <c r="V71" s="49" cm="1">
        <f t="array" ref="V71">IF($A71="","",_xlfn.TEXTJOIN("; ",TRUE,_xlfn._xlws.FILTER(tblThreatControls[Threat ID],(tblThreatControls[Control ID]=$A71)*(tblThreatControls[Threat applies]="Applies"),"")))</f>
        <v/>
      </c>
    </row>
    <row r="72" ht="45" customHeight="1" s="19">
      <c r="A72" s="49" t="n"/>
      <c r="B72" s="49" t="n"/>
      <c r="C72" s="49" t="n"/>
      <c r="D72" s="50" t="n"/>
      <c r="E72" s="49" t="n"/>
      <c r="F72" s="49" t="n"/>
      <c r="G72" s="49">
        <f>TRUE()</f>
        <v/>
      </c>
      <c r="H72" s="50">
        <f>IF($A72="","",IF(AND(G72,D72&lt;=TARGET_LEVEL_NUM),"Applicable","N/A"))</f>
        <v/>
      </c>
      <c r="I72" s="49" t="n"/>
      <c r="J72" s="49" t="n"/>
      <c r="K72" s="49" t="n"/>
      <c r="L72" s="49" t="n"/>
      <c r="M72" s="49" t="n"/>
      <c r="N72" s="49" t="n"/>
      <c r="O72" s="50" t="n"/>
      <c r="P72" s="50">
        <f>IF($A72="","",IF(H72="N/A","N/A",IFERROR(INDEX(CRIT_MATRIX,MATCH(O72,CRIT_MATRIX_ROWS,0),MATCH(APP_RISK_TIER,CRIT_MATRIX_COLS,0)),"")))</f>
        <v/>
      </c>
      <c r="Q72" s="49" t="n"/>
      <c r="R72" s="49" cm="1">
        <f t="array" ref="R72">IF($A72="","",COUNTIFS(tblThreatControls[Control ID],$A72,tblThreatControls[Threat applies],"Applies"))</f>
        <v/>
      </c>
      <c r="S72" s="49" cm="1">
        <f t="array" ref="S72">IF($A72="","",IF(R72=0,"",INDEX(RISK_SCALE_NAMES,_xlfn.MAXIFS(tblThreatControls[Threat risk score],tblThreatControls[Control ID],$A72))))</f>
        <v/>
      </c>
      <c r="T72" s="49" cm="1">
        <f t="array" ref="T72">IF($A72="","",IF(AND(H72="Applicable",OR(L72="Not assessed",L72=""),R72&gt;0),"Yes","No"))</f>
        <v/>
      </c>
      <c r="U72" s="49" cm="1">
        <f t="array" ref="U72">IF($A72="","",IF(AND(H72="Applicable",OR(L72="Gap",L72="Partial coverage")),INDEX(RISK_SCALE_NAMES,MAX(IFERROR(MATCH(P72,RISK_SCALE_NAMES,0),1),IFERROR(MATCH(S72,RISK_SCALE_NAMES,0),0))),""))</f>
        <v/>
      </c>
      <c r="V72" s="49" cm="1">
        <f t="array" ref="V72">IF($A72="","",_xlfn.TEXTJOIN("; ",TRUE,_xlfn._xlws.FILTER(tblThreatControls[Threat ID],(tblThreatControls[Control ID]=$A72)*(tblThreatControls[Threat applies]="Applies"),"")))</f>
        <v/>
      </c>
    </row>
    <row r="73" ht="45" customHeight="1" s="19">
      <c r="A73" s="49" t="n"/>
      <c r="B73" s="49" t="n"/>
      <c r="C73" s="49" t="n"/>
      <c r="D73" s="50" t="n"/>
      <c r="E73" s="49" t="n"/>
      <c r="F73" s="49" t="n"/>
      <c r="G73" s="49">
        <f>TRUE()</f>
        <v/>
      </c>
      <c r="H73" s="50">
        <f>IF($A73="","",IF(AND(G73,D73&lt;=TARGET_LEVEL_NUM),"Applicable","N/A"))</f>
        <v/>
      </c>
      <c r="I73" s="49" t="n"/>
      <c r="J73" s="49" t="n"/>
      <c r="K73" s="49" t="n"/>
      <c r="L73" s="49" t="n"/>
      <c r="M73" s="49" t="n"/>
      <c r="N73" s="49" t="n"/>
      <c r="O73" s="50" t="n"/>
      <c r="P73" s="50">
        <f>IF($A73="","",IF(H73="N/A","N/A",IFERROR(INDEX(CRIT_MATRIX,MATCH(O73,CRIT_MATRIX_ROWS,0),MATCH(APP_RISK_TIER,CRIT_MATRIX_COLS,0)),"")))</f>
        <v/>
      </c>
      <c r="Q73" s="49" t="n"/>
      <c r="R73" s="49" cm="1">
        <f t="array" ref="R73">IF($A73="","",COUNTIFS(tblThreatControls[Control ID],$A73,tblThreatControls[Threat applies],"Applies"))</f>
        <v/>
      </c>
      <c r="S73" s="49" cm="1">
        <f t="array" ref="S73">IF($A73="","",IF(R73=0,"",INDEX(RISK_SCALE_NAMES,_xlfn.MAXIFS(tblThreatControls[Threat risk score],tblThreatControls[Control ID],$A73))))</f>
        <v/>
      </c>
      <c r="T73" s="49" cm="1">
        <f t="array" ref="T73">IF($A73="","",IF(AND(H73="Applicable",OR(L73="Not assessed",L73=""),R73&gt;0),"Yes","No"))</f>
        <v/>
      </c>
      <c r="U73" s="49" cm="1">
        <f t="array" ref="U73">IF($A73="","",IF(AND(H73="Applicable",OR(L73="Gap",L73="Partial coverage")),INDEX(RISK_SCALE_NAMES,MAX(IFERROR(MATCH(P73,RISK_SCALE_NAMES,0),1),IFERROR(MATCH(S73,RISK_SCALE_NAMES,0),0))),""))</f>
        <v/>
      </c>
      <c r="V73" s="49" cm="1">
        <f t="array" ref="V73">IF($A73="","",_xlfn.TEXTJOIN("; ",TRUE,_xlfn._xlws.FILTER(tblThreatControls[Threat ID],(tblThreatControls[Control ID]=$A73)*(tblThreatControls[Threat applies]="Applies"),"")))</f>
        <v/>
      </c>
    </row>
    <row r="74" ht="45" customHeight="1" s="19">
      <c r="A74" s="49" t="n"/>
      <c r="B74" s="49" t="n"/>
      <c r="C74" s="49" t="n"/>
      <c r="D74" s="50" t="n"/>
      <c r="E74" s="49" t="n"/>
      <c r="F74" s="49" t="n"/>
      <c r="G74" s="49">
        <f>TRUE()</f>
        <v/>
      </c>
      <c r="H74" s="50">
        <f>IF($A74="","",IF(AND(G74,D74&lt;=TARGET_LEVEL_NUM),"Applicable","N/A"))</f>
        <v/>
      </c>
      <c r="I74" s="49" t="n"/>
      <c r="J74" s="49" t="n"/>
      <c r="K74" s="49" t="n"/>
      <c r="L74" s="49" t="n"/>
      <c r="M74" s="49" t="n"/>
      <c r="N74" s="49" t="n"/>
      <c r="O74" s="50" t="n"/>
      <c r="P74" s="50">
        <f>IF($A74="","",IF(H74="N/A","N/A",IFERROR(INDEX(CRIT_MATRIX,MATCH(O74,CRIT_MATRIX_ROWS,0),MATCH(APP_RISK_TIER,CRIT_MATRIX_COLS,0)),"")))</f>
        <v/>
      </c>
      <c r="Q74" s="49" t="n"/>
      <c r="R74" s="49" cm="1">
        <f t="array" ref="R74">IF($A74="","",COUNTIFS(tblThreatControls[Control ID],$A74,tblThreatControls[Threat applies],"Applies"))</f>
        <v/>
      </c>
      <c r="S74" s="49" cm="1">
        <f t="array" ref="S74">IF($A74="","",IF(R74=0,"",INDEX(RISK_SCALE_NAMES,_xlfn.MAXIFS(tblThreatControls[Threat risk score],tblThreatControls[Control ID],$A74))))</f>
        <v/>
      </c>
      <c r="T74" s="49" cm="1">
        <f t="array" ref="T74">IF($A74="","",IF(AND(H74="Applicable",OR(L74="Not assessed",L74=""),R74&gt;0),"Yes","No"))</f>
        <v/>
      </c>
      <c r="U74" s="49" cm="1">
        <f t="array" ref="U74">IF($A74="","",IF(AND(H74="Applicable",OR(L74="Gap",L74="Partial coverage")),INDEX(RISK_SCALE_NAMES,MAX(IFERROR(MATCH(P74,RISK_SCALE_NAMES,0),1),IFERROR(MATCH(S74,RISK_SCALE_NAMES,0),0))),""))</f>
        <v/>
      </c>
      <c r="V74" s="49" cm="1">
        <f t="array" ref="V74">IF($A74="","",_xlfn.TEXTJOIN("; ",TRUE,_xlfn._xlws.FILTER(tblThreatControls[Threat ID],(tblThreatControls[Control ID]=$A74)*(tblThreatControls[Threat applies]="Applies"),"")))</f>
        <v/>
      </c>
    </row>
    <row r="75" ht="45" customHeight="1" s="19">
      <c r="A75" s="49" t="n"/>
      <c r="B75" s="49" t="n"/>
      <c r="C75" s="49" t="n"/>
      <c r="D75" s="50" t="n"/>
      <c r="E75" s="49" t="n"/>
      <c r="F75" s="49" t="n"/>
      <c r="G75" s="49">
        <f>TRUE()</f>
        <v/>
      </c>
      <c r="H75" s="50">
        <f>IF($A75="","",IF(AND(G75,D75&lt;=TARGET_LEVEL_NUM),"Applicable","N/A"))</f>
        <v/>
      </c>
      <c r="I75" s="49" t="n"/>
      <c r="J75" s="49" t="n"/>
      <c r="K75" s="49" t="n"/>
      <c r="L75" s="49" t="n"/>
      <c r="M75" s="49" t="n"/>
      <c r="N75" s="49" t="n"/>
      <c r="O75" s="50" t="n"/>
      <c r="P75" s="50">
        <f>IF($A75="","",IF(H75="N/A","N/A",IFERROR(INDEX(CRIT_MATRIX,MATCH(O75,CRIT_MATRIX_ROWS,0),MATCH(APP_RISK_TIER,CRIT_MATRIX_COLS,0)),"")))</f>
        <v/>
      </c>
      <c r="Q75" s="49" t="n"/>
      <c r="R75" s="49" cm="1">
        <f t="array" ref="R75">IF($A75="","",COUNTIFS(tblThreatControls[Control ID],$A75,tblThreatControls[Threat applies],"Applies"))</f>
        <v/>
      </c>
      <c r="S75" s="49" cm="1">
        <f t="array" ref="S75">IF($A75="","",IF(R75=0,"",INDEX(RISK_SCALE_NAMES,_xlfn.MAXIFS(tblThreatControls[Threat risk score],tblThreatControls[Control ID],$A75))))</f>
        <v/>
      </c>
      <c r="T75" s="49" cm="1">
        <f t="array" ref="T75">IF($A75="","",IF(AND(H75="Applicable",OR(L75="Not assessed",L75=""),R75&gt;0),"Yes","No"))</f>
        <v/>
      </c>
      <c r="U75" s="49" cm="1">
        <f t="array" ref="U75">IF($A75="","",IF(AND(H75="Applicable",OR(L75="Gap",L75="Partial coverage")),INDEX(RISK_SCALE_NAMES,MAX(IFERROR(MATCH(P75,RISK_SCALE_NAMES,0),1),IFERROR(MATCH(S75,RISK_SCALE_NAMES,0),0))),""))</f>
        <v/>
      </c>
      <c r="V75" s="49" cm="1">
        <f t="array" ref="V75">IF($A75="","",_xlfn.TEXTJOIN("; ",TRUE,_xlfn._xlws.FILTER(tblThreatControls[Threat ID],(tblThreatControls[Control ID]=$A75)*(tblThreatControls[Threat applies]="Applies"),"")))</f>
        <v/>
      </c>
    </row>
    <row r="76" ht="45" customHeight="1" s="19">
      <c r="A76" s="49" t="n"/>
      <c r="B76" s="49" t="n"/>
      <c r="C76" s="49" t="n"/>
      <c r="D76" s="50" t="n"/>
      <c r="E76" s="49" t="n"/>
      <c r="F76" s="49" t="n"/>
      <c r="G76" s="49">
        <f>TRUE()</f>
        <v/>
      </c>
      <c r="H76" s="50">
        <f>IF($A76="","",IF(AND(G76,D76&lt;=TARGET_LEVEL_NUM),"Applicable","N/A"))</f>
        <v/>
      </c>
      <c r="I76" s="49" t="n"/>
      <c r="J76" s="49" t="n"/>
      <c r="K76" s="49" t="n"/>
      <c r="L76" s="49" t="n"/>
      <c r="M76" s="49" t="n"/>
      <c r="N76" s="49" t="n"/>
      <c r="O76" s="50" t="n"/>
      <c r="P76" s="50">
        <f>IF($A76="","",IF(H76="N/A","N/A",IFERROR(INDEX(CRIT_MATRIX,MATCH(O76,CRIT_MATRIX_ROWS,0),MATCH(APP_RISK_TIER,CRIT_MATRIX_COLS,0)),"")))</f>
        <v/>
      </c>
      <c r="Q76" s="49" t="n"/>
      <c r="R76" s="49" cm="1">
        <f t="array" ref="R76">IF($A76="","",COUNTIFS(tblThreatControls[Control ID],$A76,tblThreatControls[Threat applies],"Applies"))</f>
        <v/>
      </c>
      <c r="S76" s="49" cm="1">
        <f t="array" ref="S76">IF($A76="","",IF(R76=0,"",INDEX(RISK_SCALE_NAMES,_xlfn.MAXIFS(tblThreatControls[Threat risk score],tblThreatControls[Control ID],$A76))))</f>
        <v/>
      </c>
      <c r="T76" s="49" cm="1">
        <f t="array" ref="T76">IF($A76="","",IF(AND(H76="Applicable",OR(L76="Not assessed",L76=""),R76&gt;0),"Yes","No"))</f>
        <v/>
      </c>
      <c r="U76" s="49" cm="1">
        <f t="array" ref="U76">IF($A76="","",IF(AND(H76="Applicable",OR(L76="Gap",L76="Partial coverage")),INDEX(RISK_SCALE_NAMES,MAX(IFERROR(MATCH(P76,RISK_SCALE_NAMES,0),1),IFERROR(MATCH(S76,RISK_SCALE_NAMES,0),0))),""))</f>
        <v/>
      </c>
      <c r="V76" s="49" cm="1">
        <f t="array" ref="V76">IF($A76="","",_xlfn.TEXTJOIN("; ",TRUE,_xlfn._xlws.FILTER(tblThreatControls[Threat ID],(tblThreatControls[Control ID]=$A76)*(tblThreatControls[Threat applies]="Applies"),"")))</f>
        <v/>
      </c>
    </row>
    <row r="77" ht="45" customHeight="1" s="19">
      <c r="A77" s="49" t="n"/>
      <c r="B77" s="49" t="n"/>
      <c r="C77" s="49" t="n"/>
      <c r="D77" s="50" t="n"/>
      <c r="E77" s="49" t="n"/>
      <c r="F77" s="49" t="n"/>
      <c r="G77" s="49">
        <f>TRUE()</f>
        <v/>
      </c>
      <c r="H77" s="50">
        <f>IF($A77="","",IF(AND(G77,D77&lt;=TARGET_LEVEL_NUM),"Applicable","N/A"))</f>
        <v/>
      </c>
      <c r="I77" s="49" t="n"/>
      <c r="J77" s="49" t="n"/>
      <c r="K77" s="49" t="n"/>
      <c r="L77" s="49" t="n"/>
      <c r="M77" s="49" t="n"/>
      <c r="N77" s="49" t="n"/>
      <c r="O77" s="50" t="n"/>
      <c r="P77" s="50">
        <f>IF($A77="","",IF(H77="N/A","N/A",IFERROR(INDEX(CRIT_MATRIX,MATCH(O77,CRIT_MATRIX_ROWS,0),MATCH(APP_RISK_TIER,CRIT_MATRIX_COLS,0)),"")))</f>
        <v/>
      </c>
      <c r="Q77" s="49" t="n"/>
      <c r="R77" s="49" cm="1">
        <f t="array" ref="R77">IF($A77="","",COUNTIFS(tblThreatControls[Control ID],$A77,tblThreatControls[Threat applies],"Applies"))</f>
        <v/>
      </c>
      <c r="S77" s="49" cm="1">
        <f t="array" ref="S77">IF($A77="","",IF(R77=0,"",INDEX(RISK_SCALE_NAMES,_xlfn.MAXIFS(tblThreatControls[Threat risk score],tblThreatControls[Control ID],$A77))))</f>
        <v/>
      </c>
      <c r="T77" s="49" cm="1">
        <f t="array" ref="T77">IF($A77="","",IF(AND(H77="Applicable",OR(L77="Not assessed",L77=""),R77&gt;0),"Yes","No"))</f>
        <v/>
      </c>
      <c r="U77" s="49" cm="1">
        <f t="array" ref="U77">IF($A77="","",IF(AND(H77="Applicable",OR(L77="Gap",L77="Partial coverage")),INDEX(RISK_SCALE_NAMES,MAX(IFERROR(MATCH(P77,RISK_SCALE_NAMES,0),1),IFERROR(MATCH(S77,RISK_SCALE_NAMES,0),0))),""))</f>
        <v/>
      </c>
      <c r="V77" s="49" cm="1">
        <f t="array" ref="V77">IF($A77="","",_xlfn.TEXTJOIN("; ",TRUE,_xlfn._xlws.FILTER(tblThreatControls[Threat ID],(tblThreatControls[Control ID]=$A77)*(tblThreatControls[Threat applies]="Applies"),"")))</f>
        <v/>
      </c>
    </row>
    <row r="78" ht="45" customHeight="1" s="19">
      <c r="A78" s="49" t="n"/>
      <c r="B78" s="49" t="n"/>
      <c r="C78" s="49" t="n"/>
      <c r="D78" s="50" t="n"/>
      <c r="E78" s="49" t="n"/>
      <c r="F78" s="49" t="n"/>
      <c r="G78" s="49">
        <f>TRUE()</f>
        <v/>
      </c>
      <c r="H78" s="50">
        <f>IF($A78="","",IF(AND(G78,D78&lt;=TARGET_LEVEL_NUM),"Applicable","N/A"))</f>
        <v/>
      </c>
      <c r="I78" s="49" t="n"/>
      <c r="J78" s="49" t="n"/>
      <c r="K78" s="49" t="n"/>
      <c r="L78" s="49" t="n"/>
      <c r="M78" s="49" t="n"/>
      <c r="N78" s="49" t="n"/>
      <c r="O78" s="50" t="n"/>
      <c r="P78" s="50">
        <f>IF($A78="","",IF(H78="N/A","N/A",IFERROR(INDEX(CRIT_MATRIX,MATCH(O78,CRIT_MATRIX_ROWS,0),MATCH(APP_RISK_TIER,CRIT_MATRIX_COLS,0)),"")))</f>
        <v/>
      </c>
      <c r="Q78" s="49" t="n"/>
      <c r="R78" s="49" cm="1">
        <f t="array" ref="R78">IF($A78="","",COUNTIFS(tblThreatControls[Control ID],$A78,tblThreatControls[Threat applies],"Applies"))</f>
        <v/>
      </c>
      <c r="S78" s="49" cm="1">
        <f t="array" ref="S78">IF($A78="","",IF(R78=0,"",INDEX(RISK_SCALE_NAMES,_xlfn.MAXIFS(tblThreatControls[Threat risk score],tblThreatControls[Control ID],$A78))))</f>
        <v/>
      </c>
      <c r="T78" s="49" cm="1">
        <f t="array" ref="T78">IF($A78="","",IF(AND(H78="Applicable",OR(L78="Not assessed",L78=""),R78&gt;0),"Yes","No"))</f>
        <v/>
      </c>
      <c r="U78" s="49" cm="1">
        <f t="array" ref="U78">IF($A78="","",IF(AND(H78="Applicable",OR(L78="Gap",L78="Partial coverage")),INDEX(RISK_SCALE_NAMES,MAX(IFERROR(MATCH(P78,RISK_SCALE_NAMES,0),1),IFERROR(MATCH(S78,RISK_SCALE_NAMES,0),0))),""))</f>
        <v/>
      </c>
      <c r="V78" s="49" cm="1">
        <f t="array" ref="V78">IF($A78="","",_xlfn.TEXTJOIN("; ",TRUE,_xlfn._xlws.FILTER(tblThreatControls[Threat ID],(tblThreatControls[Control ID]=$A78)*(tblThreatControls[Threat applies]="Applies"),"")))</f>
        <v/>
      </c>
    </row>
    <row r="79" ht="45" customHeight="1" s="19">
      <c r="A79" s="49" t="n"/>
      <c r="B79" s="49" t="n"/>
      <c r="C79" s="49" t="n"/>
      <c r="D79" s="50" t="n"/>
      <c r="E79" s="49" t="n"/>
      <c r="F79" s="49" t="n"/>
      <c r="G79" s="49">
        <f>TRUE()</f>
        <v/>
      </c>
      <c r="H79" s="50">
        <f>IF($A79="","",IF(AND(G79,D79&lt;=TARGET_LEVEL_NUM),"Applicable","N/A"))</f>
        <v/>
      </c>
      <c r="I79" s="49" t="n"/>
      <c r="J79" s="49" t="n"/>
      <c r="K79" s="49" t="n"/>
      <c r="L79" s="49" t="n"/>
      <c r="M79" s="49" t="n"/>
      <c r="N79" s="49" t="n"/>
      <c r="O79" s="50" t="n"/>
      <c r="P79" s="50">
        <f>IF($A79="","",IF(H79="N/A","N/A",IFERROR(INDEX(CRIT_MATRIX,MATCH(O79,CRIT_MATRIX_ROWS,0),MATCH(APP_RISK_TIER,CRIT_MATRIX_COLS,0)),"")))</f>
        <v/>
      </c>
      <c r="Q79" s="49" t="n"/>
      <c r="R79" s="49" cm="1">
        <f t="array" ref="R79">IF($A79="","",COUNTIFS(tblThreatControls[Control ID],$A79,tblThreatControls[Threat applies],"Applies"))</f>
        <v/>
      </c>
      <c r="S79" s="49" cm="1">
        <f t="array" ref="S79">IF($A79="","",IF(R79=0,"",INDEX(RISK_SCALE_NAMES,_xlfn.MAXIFS(tblThreatControls[Threat risk score],tblThreatControls[Control ID],$A79))))</f>
        <v/>
      </c>
      <c r="T79" s="49" cm="1">
        <f t="array" ref="T79">IF($A79="","",IF(AND(H79="Applicable",OR(L79="Not assessed",L79=""),R79&gt;0),"Yes","No"))</f>
        <v/>
      </c>
      <c r="U79" s="49" cm="1">
        <f t="array" ref="U79">IF($A79="","",IF(AND(H79="Applicable",OR(L79="Gap",L79="Partial coverage")),INDEX(RISK_SCALE_NAMES,MAX(IFERROR(MATCH(P79,RISK_SCALE_NAMES,0),1),IFERROR(MATCH(S79,RISK_SCALE_NAMES,0),0))),""))</f>
        <v/>
      </c>
      <c r="V79" s="49" cm="1">
        <f t="array" ref="V79">IF($A79="","",_xlfn.TEXTJOIN("; ",TRUE,_xlfn._xlws.FILTER(tblThreatControls[Threat ID],(tblThreatControls[Control ID]=$A79)*(tblThreatControls[Threat applies]="Applies"),"")))</f>
        <v/>
      </c>
    </row>
    <row r="80" ht="45" customHeight="1" s="19">
      <c r="A80" s="49" t="n"/>
      <c r="B80" s="49" t="n"/>
      <c r="C80" s="49" t="n"/>
      <c r="D80" s="50" t="n"/>
      <c r="E80" s="49" t="n"/>
      <c r="F80" s="49" t="n"/>
      <c r="G80" s="49">
        <f>TRUE()</f>
        <v/>
      </c>
      <c r="H80" s="50">
        <f>IF($A80="","",IF(AND(G80,D80&lt;=TARGET_LEVEL_NUM),"Applicable","N/A"))</f>
        <v/>
      </c>
      <c r="I80" s="49" t="n"/>
      <c r="J80" s="49" t="n"/>
      <c r="K80" s="49" t="n"/>
      <c r="L80" s="49" t="n"/>
      <c r="M80" s="49" t="n"/>
      <c r="N80" s="49" t="n"/>
      <c r="O80" s="50" t="n"/>
      <c r="P80" s="50">
        <f>IF($A80="","",IF(H80="N/A","N/A",IFERROR(INDEX(CRIT_MATRIX,MATCH(O80,CRIT_MATRIX_ROWS,0),MATCH(APP_RISK_TIER,CRIT_MATRIX_COLS,0)),"")))</f>
        <v/>
      </c>
      <c r="Q80" s="49" t="n"/>
      <c r="R80" s="49" cm="1">
        <f t="array" ref="R80">IF($A80="","",COUNTIFS(tblThreatControls[Control ID],$A80,tblThreatControls[Threat applies],"Applies"))</f>
        <v/>
      </c>
      <c r="S80" s="49" cm="1">
        <f t="array" ref="S80">IF($A80="","",IF(R80=0,"",INDEX(RISK_SCALE_NAMES,_xlfn.MAXIFS(tblThreatControls[Threat risk score],tblThreatControls[Control ID],$A80))))</f>
        <v/>
      </c>
      <c r="T80" s="49" cm="1">
        <f t="array" ref="T80">IF($A80="","",IF(AND(H80="Applicable",OR(L80="Not assessed",L80=""),R80&gt;0),"Yes","No"))</f>
        <v/>
      </c>
      <c r="U80" s="49" cm="1">
        <f t="array" ref="U80">IF($A80="","",IF(AND(H80="Applicable",OR(L80="Gap",L80="Partial coverage")),INDEX(RISK_SCALE_NAMES,MAX(IFERROR(MATCH(P80,RISK_SCALE_NAMES,0),1),IFERROR(MATCH(S80,RISK_SCALE_NAMES,0),0))),""))</f>
        <v/>
      </c>
      <c r="V80" s="49" cm="1">
        <f t="array" ref="V80">IF($A80="","",_xlfn.TEXTJOIN("; ",TRUE,_xlfn._xlws.FILTER(tblThreatControls[Threat ID],(tblThreatControls[Control ID]=$A80)*(tblThreatControls[Threat applies]="Applies"),"")))</f>
        <v/>
      </c>
    </row>
    <row r="81" ht="45" customHeight="1" s="19">
      <c r="A81" s="49" t="n"/>
      <c r="B81" s="49" t="n"/>
      <c r="C81" s="49" t="n"/>
      <c r="D81" s="50" t="n"/>
      <c r="E81" s="49" t="n"/>
      <c r="F81" s="49" t="n"/>
      <c r="G81" s="49">
        <f>TRUE()</f>
        <v/>
      </c>
      <c r="H81" s="50">
        <f>IF($A81="","",IF(AND(G81,D81&lt;=TARGET_LEVEL_NUM),"Applicable","N/A"))</f>
        <v/>
      </c>
      <c r="I81" s="49" t="n"/>
      <c r="J81" s="49" t="n"/>
      <c r="K81" s="49" t="n"/>
      <c r="L81" s="49" t="n"/>
      <c r="M81" s="49" t="n"/>
      <c r="N81" s="49" t="n"/>
      <c r="O81" s="50" t="n"/>
      <c r="P81" s="50">
        <f>IF($A81="","",IF(H81="N/A","N/A",IFERROR(INDEX(CRIT_MATRIX,MATCH(O81,CRIT_MATRIX_ROWS,0),MATCH(APP_RISK_TIER,CRIT_MATRIX_COLS,0)),"")))</f>
        <v/>
      </c>
      <c r="Q81" s="49" t="n"/>
      <c r="R81" s="49" cm="1">
        <f t="array" ref="R81">IF($A81="","",COUNTIFS(tblThreatControls[Control ID],$A81,tblThreatControls[Threat applies],"Applies"))</f>
        <v/>
      </c>
      <c r="S81" s="49" cm="1">
        <f t="array" ref="S81">IF($A81="","",IF(R81=0,"",INDEX(RISK_SCALE_NAMES,_xlfn.MAXIFS(tblThreatControls[Threat risk score],tblThreatControls[Control ID],$A81))))</f>
        <v/>
      </c>
      <c r="T81" s="49" cm="1">
        <f t="array" ref="T81">IF($A81="","",IF(AND(H81="Applicable",OR(L81="Not assessed",L81=""),R81&gt;0),"Yes","No"))</f>
        <v/>
      </c>
      <c r="U81" s="49" cm="1">
        <f t="array" ref="U81">IF($A81="","",IF(AND(H81="Applicable",OR(L81="Gap",L81="Partial coverage")),INDEX(RISK_SCALE_NAMES,MAX(IFERROR(MATCH(P81,RISK_SCALE_NAMES,0),1),IFERROR(MATCH(S81,RISK_SCALE_NAMES,0),0))),""))</f>
        <v/>
      </c>
      <c r="V81" s="49" cm="1">
        <f t="array" ref="V81">IF($A81="","",_xlfn.TEXTJOIN("; ",TRUE,_xlfn._xlws.FILTER(tblThreatControls[Threat ID],(tblThreatControls[Control ID]=$A81)*(tblThreatControls[Threat applies]="Applies"),"")))</f>
        <v/>
      </c>
    </row>
    <row r="82" ht="45" customHeight="1" s="19">
      <c r="A82" s="49" t="n"/>
      <c r="B82" s="49" t="n"/>
      <c r="C82" s="49" t="n"/>
      <c r="D82" s="50" t="n"/>
      <c r="E82" s="49" t="n"/>
      <c r="F82" s="49" t="n"/>
      <c r="G82" s="49">
        <f>TRUE()</f>
        <v/>
      </c>
      <c r="H82" s="50">
        <f>IF($A82="","",IF(AND(G82,D82&lt;=TARGET_LEVEL_NUM),"Applicable","N/A"))</f>
        <v/>
      </c>
      <c r="I82" s="49" t="n"/>
      <c r="J82" s="49" t="n"/>
      <c r="K82" s="49" t="n"/>
      <c r="L82" s="49" t="n"/>
      <c r="M82" s="49" t="n"/>
      <c r="N82" s="49" t="n"/>
      <c r="O82" s="50" t="n"/>
      <c r="P82" s="50">
        <f>IF($A82="","",IF(H82="N/A","N/A",IFERROR(INDEX(CRIT_MATRIX,MATCH(O82,CRIT_MATRIX_ROWS,0),MATCH(APP_RISK_TIER,CRIT_MATRIX_COLS,0)),"")))</f>
        <v/>
      </c>
      <c r="Q82" s="49" t="n"/>
      <c r="R82" s="49" cm="1">
        <f t="array" ref="R82">IF($A82="","",COUNTIFS(tblThreatControls[Control ID],$A82,tblThreatControls[Threat applies],"Applies"))</f>
        <v/>
      </c>
      <c r="S82" s="49" cm="1">
        <f t="array" ref="S82">IF($A82="","",IF(R82=0,"",INDEX(RISK_SCALE_NAMES,_xlfn.MAXIFS(tblThreatControls[Threat risk score],tblThreatControls[Control ID],$A82))))</f>
        <v/>
      </c>
      <c r="T82" s="49" cm="1">
        <f t="array" ref="T82">IF($A82="","",IF(AND(H82="Applicable",OR(L82="Not assessed",L82=""),R82&gt;0),"Yes","No"))</f>
        <v/>
      </c>
      <c r="U82" s="49" cm="1">
        <f t="array" ref="U82">IF($A82="","",IF(AND(H82="Applicable",OR(L82="Gap",L82="Partial coverage")),INDEX(RISK_SCALE_NAMES,MAX(IFERROR(MATCH(P82,RISK_SCALE_NAMES,0),1),IFERROR(MATCH(S82,RISK_SCALE_NAMES,0),0))),""))</f>
        <v/>
      </c>
      <c r="V82" s="49" cm="1">
        <f t="array" ref="V82">IF($A82="","",_xlfn.TEXTJOIN("; ",TRUE,_xlfn._xlws.FILTER(tblThreatControls[Threat ID],(tblThreatControls[Control ID]=$A82)*(tblThreatControls[Threat applies]="Applies"),"")))</f>
        <v/>
      </c>
    </row>
    <row r="83" ht="45" customHeight="1" s="19">
      <c r="A83" s="49" t="n"/>
      <c r="B83" s="49" t="n"/>
      <c r="C83" s="49" t="n"/>
      <c r="D83" s="50" t="n"/>
      <c r="E83" s="49" t="n"/>
      <c r="F83" s="49" t="n"/>
      <c r="G83" s="49">
        <f>TRUE()</f>
        <v/>
      </c>
      <c r="H83" s="50">
        <f>IF($A83="","",IF(AND(G83,D83&lt;=TARGET_LEVEL_NUM),"Applicable","N/A"))</f>
        <v/>
      </c>
      <c r="I83" s="49" t="n"/>
      <c r="J83" s="49" t="n"/>
      <c r="K83" s="49" t="n"/>
      <c r="L83" s="49" t="n"/>
      <c r="M83" s="49" t="n"/>
      <c r="N83" s="49" t="n"/>
      <c r="O83" s="50" t="n"/>
      <c r="P83" s="50">
        <f>IF($A83="","",IF(H83="N/A","N/A",IFERROR(INDEX(CRIT_MATRIX,MATCH(O83,CRIT_MATRIX_ROWS,0),MATCH(APP_RISK_TIER,CRIT_MATRIX_COLS,0)),"")))</f>
        <v/>
      </c>
      <c r="Q83" s="49" t="n"/>
      <c r="R83" s="49" cm="1">
        <f t="array" ref="R83">IF($A83="","",COUNTIFS(tblThreatControls[Control ID],$A83,tblThreatControls[Threat applies],"Applies"))</f>
        <v/>
      </c>
      <c r="S83" s="49" cm="1">
        <f t="array" ref="S83">IF($A83="","",IF(R83=0,"",INDEX(RISK_SCALE_NAMES,_xlfn.MAXIFS(tblThreatControls[Threat risk score],tblThreatControls[Control ID],$A83))))</f>
        <v/>
      </c>
      <c r="T83" s="49" cm="1">
        <f t="array" ref="T83">IF($A83="","",IF(AND(H83="Applicable",OR(L83="Not assessed",L83=""),R83&gt;0),"Yes","No"))</f>
        <v/>
      </c>
      <c r="U83" s="49" cm="1">
        <f t="array" ref="U83">IF($A83="","",IF(AND(H83="Applicable",OR(L83="Gap",L83="Partial coverage")),INDEX(RISK_SCALE_NAMES,MAX(IFERROR(MATCH(P83,RISK_SCALE_NAMES,0),1),IFERROR(MATCH(S83,RISK_SCALE_NAMES,0),0))),""))</f>
        <v/>
      </c>
      <c r="V83" s="49" cm="1">
        <f t="array" ref="V83">IF($A83="","",_xlfn.TEXTJOIN("; ",TRUE,_xlfn._xlws.FILTER(tblThreatControls[Threat ID],(tblThreatControls[Control ID]=$A83)*(tblThreatControls[Threat applies]="Applies"),"")))</f>
        <v/>
      </c>
    </row>
    <row r="84" ht="45" customHeight="1" s="19">
      <c r="A84" s="49" t="n"/>
      <c r="B84" s="49" t="n"/>
      <c r="C84" s="49" t="n"/>
      <c r="D84" s="50" t="n"/>
      <c r="E84" s="49" t="n"/>
      <c r="F84" s="49" t="n"/>
      <c r="G84" s="49">
        <f>TRUE()</f>
        <v/>
      </c>
      <c r="H84" s="50">
        <f>IF($A84="","",IF(AND(G84,D84&lt;=TARGET_LEVEL_NUM),"Applicable","N/A"))</f>
        <v/>
      </c>
      <c r="I84" s="49" t="n"/>
      <c r="J84" s="49" t="n"/>
      <c r="K84" s="49" t="n"/>
      <c r="L84" s="49" t="n"/>
      <c r="M84" s="49" t="n"/>
      <c r="N84" s="49" t="n"/>
      <c r="O84" s="50" t="n"/>
      <c r="P84" s="50">
        <f>IF($A84="","",IF(H84="N/A","N/A",IFERROR(INDEX(CRIT_MATRIX,MATCH(O84,CRIT_MATRIX_ROWS,0),MATCH(APP_RISK_TIER,CRIT_MATRIX_COLS,0)),"")))</f>
        <v/>
      </c>
      <c r="Q84" s="49" t="n"/>
      <c r="R84" s="49" cm="1">
        <f t="array" ref="R84">IF($A84="","",COUNTIFS(tblThreatControls[Control ID],$A84,tblThreatControls[Threat applies],"Applies"))</f>
        <v/>
      </c>
      <c r="S84" s="49" cm="1">
        <f t="array" ref="S84">IF($A84="","",IF(R84=0,"",INDEX(RISK_SCALE_NAMES,_xlfn.MAXIFS(tblThreatControls[Threat risk score],tblThreatControls[Control ID],$A84))))</f>
        <v/>
      </c>
      <c r="T84" s="49" cm="1">
        <f t="array" ref="T84">IF($A84="","",IF(AND(H84="Applicable",OR(L84="Not assessed",L84=""),R84&gt;0),"Yes","No"))</f>
        <v/>
      </c>
      <c r="U84" s="49" cm="1">
        <f t="array" ref="U84">IF($A84="","",IF(AND(H84="Applicable",OR(L84="Gap",L84="Partial coverage")),INDEX(RISK_SCALE_NAMES,MAX(IFERROR(MATCH(P84,RISK_SCALE_NAMES,0),1),IFERROR(MATCH(S84,RISK_SCALE_NAMES,0),0))),""))</f>
        <v/>
      </c>
      <c r="V84" s="49" cm="1">
        <f t="array" ref="V84">IF($A84="","",_xlfn.TEXTJOIN("; ",TRUE,_xlfn._xlws.FILTER(tblThreatControls[Threat ID],(tblThreatControls[Control ID]=$A84)*(tblThreatControls[Threat applies]="Applies"),"")))</f>
        <v/>
      </c>
    </row>
    <row r="85" ht="45" customHeight="1" s="19">
      <c r="A85" s="49" t="n"/>
      <c r="B85" s="49" t="n"/>
      <c r="C85" s="49" t="n"/>
      <c r="D85" s="50" t="n"/>
      <c r="E85" s="49" t="n"/>
      <c r="F85" s="49" t="n"/>
      <c r="G85" s="49">
        <f>TRUE()</f>
        <v/>
      </c>
      <c r="H85" s="50">
        <f>IF($A85="","",IF(AND(G85,D85&lt;=TARGET_LEVEL_NUM),"Applicable","N/A"))</f>
        <v/>
      </c>
      <c r="I85" s="49" t="n"/>
      <c r="J85" s="49" t="n"/>
      <c r="K85" s="49" t="n"/>
      <c r="L85" s="49" t="n"/>
      <c r="M85" s="49" t="n"/>
      <c r="N85" s="49" t="n"/>
      <c r="O85" s="50" t="n"/>
      <c r="P85" s="50">
        <f>IF($A85="","",IF(H85="N/A","N/A",IFERROR(INDEX(CRIT_MATRIX,MATCH(O85,CRIT_MATRIX_ROWS,0),MATCH(APP_RISK_TIER,CRIT_MATRIX_COLS,0)),"")))</f>
        <v/>
      </c>
      <c r="Q85" s="49" t="n"/>
      <c r="R85" s="49" cm="1">
        <f t="array" ref="R85">IF($A85="","",COUNTIFS(tblThreatControls[Control ID],$A85,tblThreatControls[Threat applies],"Applies"))</f>
        <v/>
      </c>
      <c r="S85" s="49" cm="1">
        <f t="array" ref="S85">IF($A85="","",IF(R85=0,"",INDEX(RISK_SCALE_NAMES,_xlfn.MAXIFS(tblThreatControls[Threat risk score],tblThreatControls[Control ID],$A85))))</f>
        <v/>
      </c>
      <c r="T85" s="49" cm="1">
        <f t="array" ref="T85">IF($A85="","",IF(AND(H85="Applicable",OR(L85="Not assessed",L85=""),R85&gt;0),"Yes","No"))</f>
        <v/>
      </c>
      <c r="U85" s="49" cm="1">
        <f t="array" ref="U85">IF($A85="","",IF(AND(H85="Applicable",OR(L85="Gap",L85="Partial coverage")),INDEX(RISK_SCALE_NAMES,MAX(IFERROR(MATCH(P85,RISK_SCALE_NAMES,0),1),IFERROR(MATCH(S85,RISK_SCALE_NAMES,0),0))),""))</f>
        <v/>
      </c>
      <c r="V85" s="49" cm="1">
        <f t="array" ref="V85">IF($A85="","",_xlfn.TEXTJOIN("; ",TRUE,_xlfn._xlws.FILTER(tblThreatControls[Threat ID],(tblThreatControls[Control ID]=$A85)*(tblThreatControls[Threat applies]="Applies"),"")))</f>
        <v/>
      </c>
    </row>
    <row r="86" ht="45" customHeight="1" s="19">
      <c r="A86" s="49" t="n"/>
      <c r="B86" s="49" t="n"/>
      <c r="C86" s="49" t="n"/>
      <c r="D86" s="50" t="n"/>
      <c r="E86" s="49" t="n"/>
      <c r="F86" s="49" t="n"/>
      <c r="G86" s="49">
        <f>TRUE()</f>
        <v/>
      </c>
      <c r="H86" s="50">
        <f>IF($A86="","",IF(AND(G86,D86&lt;=TARGET_LEVEL_NUM),"Applicable","N/A"))</f>
        <v/>
      </c>
      <c r="I86" s="49" t="n"/>
      <c r="J86" s="49" t="n"/>
      <c r="K86" s="49" t="n"/>
      <c r="L86" s="49" t="n"/>
      <c r="M86" s="49" t="n"/>
      <c r="N86" s="49" t="n"/>
      <c r="O86" s="50" t="n"/>
      <c r="P86" s="50">
        <f>IF($A86="","",IF(H86="N/A","N/A",IFERROR(INDEX(CRIT_MATRIX,MATCH(O86,CRIT_MATRIX_ROWS,0),MATCH(APP_RISK_TIER,CRIT_MATRIX_COLS,0)),"")))</f>
        <v/>
      </c>
      <c r="Q86" s="49" t="n"/>
      <c r="R86" s="49" cm="1">
        <f t="array" ref="R86">IF($A86="","",COUNTIFS(tblThreatControls[Control ID],$A86,tblThreatControls[Threat applies],"Applies"))</f>
        <v/>
      </c>
      <c r="S86" s="49" cm="1">
        <f t="array" ref="S86">IF($A86="","",IF(R86=0,"",INDEX(RISK_SCALE_NAMES,_xlfn.MAXIFS(tblThreatControls[Threat risk score],tblThreatControls[Control ID],$A86))))</f>
        <v/>
      </c>
      <c r="T86" s="49" cm="1">
        <f t="array" ref="T86">IF($A86="","",IF(AND(H86="Applicable",OR(L86="Not assessed",L86=""),R86&gt;0),"Yes","No"))</f>
        <v/>
      </c>
      <c r="U86" s="49" cm="1">
        <f t="array" ref="U86">IF($A86="","",IF(AND(H86="Applicable",OR(L86="Gap",L86="Partial coverage")),INDEX(RISK_SCALE_NAMES,MAX(IFERROR(MATCH(P86,RISK_SCALE_NAMES,0),1),IFERROR(MATCH(S86,RISK_SCALE_NAMES,0),0))),""))</f>
        <v/>
      </c>
      <c r="V86" s="49" cm="1">
        <f t="array" ref="V86">IF($A86="","",_xlfn.TEXTJOIN("; ",TRUE,_xlfn._xlws.FILTER(tblThreatControls[Threat ID],(tblThreatControls[Control ID]=$A86)*(tblThreatControls[Threat applies]="Applies"),"")))</f>
        <v/>
      </c>
    </row>
    <row r="87" ht="45" customHeight="1" s="19">
      <c r="A87" s="49" t="n"/>
      <c r="B87" s="49" t="n"/>
      <c r="C87" s="49" t="n"/>
      <c r="D87" s="50" t="n"/>
      <c r="E87" s="49" t="n"/>
      <c r="F87" s="49" t="n"/>
      <c r="G87" s="49">
        <f>TRUE()</f>
        <v/>
      </c>
      <c r="H87" s="50">
        <f>IF($A87="","",IF(AND(G87,D87&lt;=TARGET_LEVEL_NUM),"Applicable","N/A"))</f>
        <v/>
      </c>
      <c r="I87" s="49" t="n"/>
      <c r="J87" s="49" t="n"/>
      <c r="K87" s="49" t="n"/>
      <c r="L87" s="49" t="n"/>
      <c r="M87" s="49" t="n"/>
      <c r="N87" s="49" t="n"/>
      <c r="O87" s="50" t="n"/>
      <c r="P87" s="50">
        <f>IF($A87="","",IF(H87="N/A","N/A",IFERROR(INDEX(CRIT_MATRIX,MATCH(O87,CRIT_MATRIX_ROWS,0),MATCH(APP_RISK_TIER,CRIT_MATRIX_COLS,0)),"")))</f>
        <v/>
      </c>
      <c r="Q87" s="49" t="n"/>
      <c r="R87" s="49" cm="1">
        <f t="array" ref="R87">IF($A87="","",COUNTIFS(tblThreatControls[Control ID],$A87,tblThreatControls[Threat applies],"Applies"))</f>
        <v/>
      </c>
      <c r="S87" s="49" cm="1">
        <f t="array" ref="S87">IF($A87="","",IF(R87=0,"",INDEX(RISK_SCALE_NAMES,_xlfn.MAXIFS(tblThreatControls[Threat risk score],tblThreatControls[Control ID],$A87))))</f>
        <v/>
      </c>
      <c r="T87" s="49" cm="1">
        <f t="array" ref="T87">IF($A87="","",IF(AND(H87="Applicable",OR(L87="Not assessed",L87=""),R87&gt;0),"Yes","No"))</f>
        <v/>
      </c>
      <c r="U87" s="49" cm="1">
        <f t="array" ref="U87">IF($A87="","",IF(AND(H87="Applicable",OR(L87="Gap",L87="Partial coverage")),INDEX(RISK_SCALE_NAMES,MAX(IFERROR(MATCH(P87,RISK_SCALE_NAMES,0),1),IFERROR(MATCH(S87,RISK_SCALE_NAMES,0),0))),""))</f>
        <v/>
      </c>
      <c r="V87" s="49" cm="1">
        <f t="array" ref="V87">IF($A87="","",_xlfn.TEXTJOIN("; ",TRUE,_xlfn._xlws.FILTER(tblThreatControls[Threat ID],(tblThreatControls[Control ID]=$A87)*(tblThreatControls[Threat applies]="Applies"),"")))</f>
        <v/>
      </c>
    </row>
    <row r="88" ht="45" customHeight="1" s="19">
      <c r="A88" s="49" t="n"/>
      <c r="B88" s="49" t="n"/>
      <c r="C88" s="49" t="n"/>
      <c r="D88" s="50" t="n"/>
      <c r="E88" s="49" t="n"/>
      <c r="F88" s="49" t="n"/>
      <c r="G88" s="49">
        <f>TRUE()</f>
        <v/>
      </c>
      <c r="H88" s="50">
        <f>IF($A88="","",IF(AND(G88,D88&lt;=TARGET_LEVEL_NUM),"Applicable","N/A"))</f>
        <v/>
      </c>
      <c r="I88" s="49" t="n"/>
      <c r="J88" s="49" t="n"/>
      <c r="K88" s="49" t="n"/>
      <c r="L88" s="49" t="n"/>
      <c r="M88" s="49" t="n"/>
      <c r="N88" s="49" t="n"/>
      <c r="O88" s="50" t="n"/>
      <c r="P88" s="50">
        <f>IF($A88="","",IF(H88="N/A","N/A",IFERROR(INDEX(CRIT_MATRIX,MATCH(O88,CRIT_MATRIX_ROWS,0),MATCH(APP_RISK_TIER,CRIT_MATRIX_COLS,0)),"")))</f>
        <v/>
      </c>
      <c r="Q88" s="49" t="n"/>
      <c r="R88" s="49" cm="1">
        <f t="array" ref="R88">IF($A88="","",COUNTIFS(tblThreatControls[Control ID],$A88,tblThreatControls[Threat applies],"Applies"))</f>
        <v/>
      </c>
      <c r="S88" s="49" cm="1">
        <f t="array" ref="S88">IF($A88="","",IF(R88=0,"",INDEX(RISK_SCALE_NAMES,_xlfn.MAXIFS(tblThreatControls[Threat risk score],tblThreatControls[Control ID],$A88))))</f>
        <v/>
      </c>
      <c r="T88" s="49" cm="1">
        <f t="array" ref="T88">IF($A88="","",IF(AND(H88="Applicable",OR(L88="Not assessed",L88=""),R88&gt;0),"Yes","No"))</f>
        <v/>
      </c>
      <c r="U88" s="49" cm="1">
        <f t="array" ref="U88">IF($A88="","",IF(AND(H88="Applicable",OR(L88="Gap",L88="Partial coverage")),INDEX(RISK_SCALE_NAMES,MAX(IFERROR(MATCH(P88,RISK_SCALE_NAMES,0),1),IFERROR(MATCH(S88,RISK_SCALE_NAMES,0),0))),""))</f>
        <v/>
      </c>
      <c r="V88" s="49" cm="1">
        <f t="array" ref="V88">IF($A88="","",_xlfn.TEXTJOIN("; ",TRUE,_xlfn._xlws.FILTER(tblThreatControls[Threat ID],(tblThreatControls[Control ID]=$A88)*(tblThreatControls[Threat applies]="Applies"),"")))</f>
        <v/>
      </c>
    </row>
    <row r="89" ht="45" customHeight="1" s="19">
      <c r="A89" s="49" t="n"/>
      <c r="B89" s="49" t="n"/>
      <c r="C89" s="49" t="n"/>
      <c r="D89" s="50" t="n"/>
      <c r="E89" s="49" t="n"/>
      <c r="F89" s="49" t="n"/>
      <c r="G89" s="49">
        <f>TRUE()</f>
        <v/>
      </c>
      <c r="H89" s="50">
        <f>IF($A89="","",IF(AND(G89,D89&lt;=TARGET_LEVEL_NUM),"Applicable","N/A"))</f>
        <v/>
      </c>
      <c r="I89" s="49" t="n"/>
      <c r="J89" s="49" t="n"/>
      <c r="K89" s="49" t="n"/>
      <c r="L89" s="49" t="n"/>
      <c r="M89" s="49" t="n"/>
      <c r="N89" s="49" t="n"/>
      <c r="O89" s="50" t="n"/>
      <c r="P89" s="50">
        <f>IF($A89="","",IF(H89="N/A","N/A",IFERROR(INDEX(CRIT_MATRIX,MATCH(O89,CRIT_MATRIX_ROWS,0),MATCH(APP_RISK_TIER,CRIT_MATRIX_COLS,0)),"")))</f>
        <v/>
      </c>
      <c r="Q89" s="49" t="n"/>
      <c r="R89" s="49" cm="1">
        <f t="array" ref="R89">IF($A89="","",COUNTIFS(tblThreatControls[Control ID],$A89,tblThreatControls[Threat applies],"Applies"))</f>
        <v/>
      </c>
      <c r="S89" s="49" cm="1">
        <f t="array" ref="S89">IF($A89="","",IF(R89=0,"",INDEX(RISK_SCALE_NAMES,_xlfn.MAXIFS(tblThreatControls[Threat risk score],tblThreatControls[Control ID],$A89))))</f>
        <v/>
      </c>
      <c r="T89" s="49" cm="1">
        <f t="array" ref="T89">IF($A89="","",IF(AND(H89="Applicable",OR(L89="Not assessed",L89=""),R89&gt;0),"Yes","No"))</f>
        <v/>
      </c>
      <c r="U89" s="49" cm="1">
        <f t="array" ref="U89">IF($A89="","",IF(AND(H89="Applicable",OR(L89="Gap",L89="Partial coverage")),INDEX(RISK_SCALE_NAMES,MAX(IFERROR(MATCH(P89,RISK_SCALE_NAMES,0),1),IFERROR(MATCH(S89,RISK_SCALE_NAMES,0),0))),""))</f>
        <v/>
      </c>
      <c r="V89" s="49" cm="1">
        <f t="array" ref="V89">IF($A89="","",_xlfn.TEXTJOIN("; ",TRUE,_xlfn._xlws.FILTER(tblThreatControls[Threat ID],(tblThreatControls[Control ID]=$A89)*(tblThreatControls[Threat applies]="Applies"),"")))</f>
        <v/>
      </c>
    </row>
    <row r="90" ht="45" customHeight="1" s="19">
      <c r="A90" s="49" t="n"/>
      <c r="B90" s="49" t="n"/>
      <c r="C90" s="49" t="n"/>
      <c r="D90" s="50" t="n"/>
      <c r="E90" s="49" t="n"/>
      <c r="F90" s="49" t="n"/>
      <c r="G90" s="49">
        <f>TRUE()</f>
        <v/>
      </c>
      <c r="H90" s="50">
        <f>IF($A90="","",IF(AND(G90,D90&lt;=TARGET_LEVEL_NUM),"Applicable","N/A"))</f>
        <v/>
      </c>
      <c r="I90" s="49" t="n"/>
      <c r="J90" s="49" t="n"/>
      <c r="K90" s="49" t="n"/>
      <c r="L90" s="49" t="n"/>
      <c r="M90" s="49" t="n"/>
      <c r="N90" s="49" t="n"/>
      <c r="O90" s="50" t="n"/>
      <c r="P90" s="50">
        <f>IF($A90="","",IF(H90="N/A","N/A",IFERROR(INDEX(CRIT_MATRIX,MATCH(O90,CRIT_MATRIX_ROWS,0),MATCH(APP_RISK_TIER,CRIT_MATRIX_COLS,0)),"")))</f>
        <v/>
      </c>
      <c r="Q90" s="49" t="n"/>
      <c r="R90" s="49" cm="1">
        <f t="array" ref="R90">IF($A90="","",COUNTIFS(tblThreatControls[Control ID],$A90,tblThreatControls[Threat applies],"Applies"))</f>
        <v/>
      </c>
      <c r="S90" s="49" cm="1">
        <f t="array" ref="S90">IF($A90="","",IF(R90=0,"",INDEX(RISK_SCALE_NAMES,_xlfn.MAXIFS(tblThreatControls[Threat risk score],tblThreatControls[Control ID],$A90))))</f>
        <v/>
      </c>
      <c r="T90" s="49" cm="1">
        <f t="array" ref="T90">IF($A90="","",IF(AND(H90="Applicable",OR(L90="Not assessed",L90=""),R90&gt;0),"Yes","No"))</f>
        <v/>
      </c>
      <c r="U90" s="49" cm="1">
        <f t="array" ref="U90">IF($A90="","",IF(AND(H90="Applicable",OR(L90="Gap",L90="Partial coverage")),INDEX(RISK_SCALE_NAMES,MAX(IFERROR(MATCH(P90,RISK_SCALE_NAMES,0),1),IFERROR(MATCH(S90,RISK_SCALE_NAMES,0),0))),""))</f>
        <v/>
      </c>
      <c r="V90" s="49" cm="1">
        <f t="array" ref="V90">IF($A90="","",_xlfn.TEXTJOIN("; ",TRUE,_xlfn._xlws.FILTER(tblThreatControls[Threat ID],(tblThreatControls[Control ID]=$A90)*(tblThreatControls[Threat applies]="Applies"),"")))</f>
        <v/>
      </c>
    </row>
    <row r="91" ht="45" customHeight="1" s="19">
      <c r="A91" s="49" t="n"/>
      <c r="B91" s="49" t="n"/>
      <c r="C91" s="49" t="n"/>
      <c r="D91" s="50" t="n"/>
      <c r="E91" s="49" t="n"/>
      <c r="F91" s="49" t="n"/>
      <c r="G91" s="49">
        <f>TRUE()</f>
        <v/>
      </c>
      <c r="H91" s="50">
        <f>IF($A91="","",IF(AND(G91,D91&lt;=TARGET_LEVEL_NUM),"Applicable","N/A"))</f>
        <v/>
      </c>
      <c r="I91" s="49" t="n"/>
      <c r="J91" s="49" t="n"/>
      <c r="K91" s="49" t="n"/>
      <c r="L91" s="49" t="n"/>
      <c r="M91" s="49" t="n"/>
      <c r="N91" s="49" t="n"/>
      <c r="O91" s="50" t="n"/>
      <c r="P91" s="50">
        <f>IF($A91="","",IF(H91="N/A","N/A",IFERROR(INDEX(CRIT_MATRIX,MATCH(O91,CRIT_MATRIX_ROWS,0),MATCH(APP_RISK_TIER,CRIT_MATRIX_COLS,0)),"")))</f>
        <v/>
      </c>
      <c r="Q91" s="49" t="n"/>
      <c r="R91" s="49" cm="1">
        <f t="array" ref="R91">IF($A91="","",COUNTIFS(tblThreatControls[Control ID],$A91,tblThreatControls[Threat applies],"Applies"))</f>
        <v/>
      </c>
      <c r="S91" s="49" cm="1">
        <f t="array" ref="S91">IF($A91="","",IF(R91=0,"",INDEX(RISK_SCALE_NAMES,_xlfn.MAXIFS(tblThreatControls[Threat risk score],tblThreatControls[Control ID],$A91))))</f>
        <v/>
      </c>
      <c r="T91" s="49" cm="1">
        <f t="array" ref="T91">IF($A91="","",IF(AND(H91="Applicable",OR(L91="Not assessed",L91=""),R91&gt;0),"Yes","No"))</f>
        <v/>
      </c>
      <c r="U91" s="49" cm="1">
        <f t="array" ref="U91">IF($A91="","",IF(AND(H91="Applicable",OR(L91="Gap",L91="Partial coverage")),INDEX(RISK_SCALE_NAMES,MAX(IFERROR(MATCH(P91,RISK_SCALE_NAMES,0),1),IFERROR(MATCH(S91,RISK_SCALE_NAMES,0),0))),""))</f>
        <v/>
      </c>
      <c r="V91" s="49" cm="1">
        <f t="array" ref="V91">IF($A91="","",_xlfn.TEXTJOIN("; ",TRUE,_xlfn._xlws.FILTER(tblThreatControls[Threat ID],(tblThreatControls[Control ID]=$A91)*(tblThreatControls[Threat applies]="Applies"),"")))</f>
        <v/>
      </c>
    </row>
    <row r="92" ht="45" customHeight="1" s="19">
      <c r="A92" s="49" t="n"/>
      <c r="B92" s="49" t="n"/>
      <c r="C92" s="49" t="n"/>
      <c r="D92" s="50" t="n"/>
      <c r="E92" s="49" t="n"/>
      <c r="F92" s="49" t="n"/>
      <c r="G92" s="49">
        <f>TRUE()</f>
        <v/>
      </c>
      <c r="H92" s="50">
        <f>IF($A92="","",IF(AND(G92,D92&lt;=TARGET_LEVEL_NUM),"Applicable","N/A"))</f>
        <v/>
      </c>
      <c r="I92" s="49" t="n"/>
      <c r="J92" s="49" t="n"/>
      <c r="K92" s="49" t="n"/>
      <c r="L92" s="49" t="n"/>
      <c r="M92" s="49" t="n"/>
      <c r="N92" s="49" t="n"/>
      <c r="O92" s="50" t="n"/>
      <c r="P92" s="50">
        <f>IF($A92="","",IF(H92="N/A","N/A",IFERROR(INDEX(CRIT_MATRIX,MATCH(O92,CRIT_MATRIX_ROWS,0),MATCH(APP_RISK_TIER,CRIT_MATRIX_COLS,0)),"")))</f>
        <v/>
      </c>
      <c r="Q92" s="49" t="n"/>
      <c r="R92" s="49" cm="1">
        <f t="array" ref="R92">IF($A92="","",COUNTIFS(tblThreatControls[Control ID],$A92,tblThreatControls[Threat applies],"Applies"))</f>
        <v/>
      </c>
      <c r="S92" s="49" cm="1">
        <f t="array" ref="S92">IF($A92="","",IF(R92=0,"",INDEX(RISK_SCALE_NAMES,_xlfn.MAXIFS(tblThreatControls[Threat risk score],tblThreatControls[Control ID],$A92))))</f>
        <v/>
      </c>
      <c r="T92" s="49" cm="1">
        <f t="array" ref="T92">IF($A92="","",IF(AND(H92="Applicable",OR(L92="Not assessed",L92=""),R92&gt;0),"Yes","No"))</f>
        <v/>
      </c>
      <c r="U92" s="49" cm="1">
        <f t="array" ref="U92">IF($A92="","",IF(AND(H92="Applicable",OR(L92="Gap",L92="Partial coverage")),INDEX(RISK_SCALE_NAMES,MAX(IFERROR(MATCH(P92,RISK_SCALE_NAMES,0),1),IFERROR(MATCH(S92,RISK_SCALE_NAMES,0),0))),""))</f>
        <v/>
      </c>
      <c r="V92" s="49" cm="1">
        <f t="array" ref="V92">IF($A92="","",_xlfn.TEXTJOIN("; ",TRUE,_xlfn._xlws.FILTER(tblThreatControls[Threat ID],(tblThreatControls[Control ID]=$A92)*(tblThreatControls[Threat applies]="Applies"),"")))</f>
        <v/>
      </c>
    </row>
    <row r="93" ht="45" customHeight="1" s="19">
      <c r="A93" s="49" t="n"/>
      <c r="B93" s="49" t="n"/>
      <c r="C93" s="49" t="n"/>
      <c r="D93" s="50" t="n"/>
      <c r="E93" s="49" t="n"/>
      <c r="F93" s="49" t="n"/>
      <c r="G93" s="49">
        <f>TRUE()</f>
        <v/>
      </c>
      <c r="H93" s="50">
        <f>IF($A93="","",IF(AND(G93,D93&lt;=TARGET_LEVEL_NUM),"Applicable","N/A"))</f>
        <v/>
      </c>
      <c r="I93" s="49" t="n"/>
      <c r="J93" s="49" t="n"/>
      <c r="K93" s="49" t="n"/>
      <c r="L93" s="49" t="n"/>
      <c r="M93" s="49" t="n"/>
      <c r="N93" s="49" t="n"/>
      <c r="O93" s="50" t="n"/>
      <c r="P93" s="50">
        <f>IF($A93="","",IF(H93="N/A","N/A",IFERROR(INDEX(CRIT_MATRIX,MATCH(O93,CRIT_MATRIX_ROWS,0),MATCH(APP_RISK_TIER,CRIT_MATRIX_COLS,0)),"")))</f>
        <v/>
      </c>
      <c r="Q93" s="49" t="n"/>
      <c r="R93" s="49" cm="1">
        <f t="array" ref="R93">IF($A93="","",COUNTIFS(tblThreatControls[Control ID],$A93,tblThreatControls[Threat applies],"Applies"))</f>
        <v/>
      </c>
      <c r="S93" s="49" cm="1">
        <f t="array" ref="S93">IF($A93="","",IF(R93=0,"",INDEX(RISK_SCALE_NAMES,_xlfn.MAXIFS(tblThreatControls[Threat risk score],tblThreatControls[Control ID],$A93))))</f>
        <v/>
      </c>
      <c r="T93" s="49" cm="1">
        <f t="array" ref="T93">IF($A93="","",IF(AND(H93="Applicable",OR(L93="Not assessed",L93=""),R93&gt;0),"Yes","No"))</f>
        <v/>
      </c>
      <c r="U93" s="49" cm="1">
        <f t="array" ref="U93">IF($A93="","",IF(AND(H93="Applicable",OR(L93="Gap",L93="Partial coverage")),INDEX(RISK_SCALE_NAMES,MAX(IFERROR(MATCH(P93,RISK_SCALE_NAMES,0),1),IFERROR(MATCH(S93,RISK_SCALE_NAMES,0),0))),""))</f>
        <v/>
      </c>
      <c r="V93" s="49" cm="1">
        <f t="array" ref="V93">IF($A93="","",_xlfn.TEXTJOIN("; ",TRUE,_xlfn._xlws.FILTER(tblThreatControls[Threat ID],(tblThreatControls[Control ID]=$A93)*(tblThreatControls[Threat applies]="Applies"),"")))</f>
        <v/>
      </c>
    </row>
    <row r="94" ht="45" customHeight="1" s="19">
      <c r="A94" s="49" t="n"/>
      <c r="B94" s="49" t="n"/>
      <c r="C94" s="49" t="n"/>
      <c r="D94" s="50" t="n"/>
      <c r="E94" s="49" t="n"/>
      <c r="F94" s="49" t="n"/>
      <c r="G94" s="49">
        <f>TRUE()</f>
        <v/>
      </c>
      <c r="H94" s="50">
        <f>IF($A94="","",IF(AND(G94,D94&lt;=TARGET_LEVEL_NUM),"Applicable","N/A"))</f>
        <v/>
      </c>
      <c r="I94" s="49" t="n"/>
      <c r="J94" s="49" t="n"/>
      <c r="K94" s="49" t="n"/>
      <c r="L94" s="49" t="n"/>
      <c r="M94" s="49" t="n"/>
      <c r="N94" s="49" t="n"/>
      <c r="O94" s="50" t="n"/>
      <c r="P94" s="50">
        <f>IF($A94="","",IF(H94="N/A","N/A",IFERROR(INDEX(CRIT_MATRIX,MATCH(O94,CRIT_MATRIX_ROWS,0),MATCH(APP_RISK_TIER,CRIT_MATRIX_COLS,0)),"")))</f>
        <v/>
      </c>
      <c r="Q94" s="49" t="n"/>
      <c r="R94" s="49" cm="1">
        <f t="array" ref="R94">IF($A94="","",COUNTIFS(tblThreatControls[Control ID],$A94,tblThreatControls[Threat applies],"Applies"))</f>
        <v/>
      </c>
      <c r="S94" s="49" cm="1">
        <f t="array" ref="S94">IF($A94="","",IF(R94=0,"",INDEX(RISK_SCALE_NAMES,_xlfn.MAXIFS(tblThreatControls[Threat risk score],tblThreatControls[Control ID],$A94))))</f>
        <v/>
      </c>
      <c r="T94" s="49" cm="1">
        <f t="array" ref="T94">IF($A94="","",IF(AND(H94="Applicable",OR(L94="Not assessed",L94=""),R94&gt;0),"Yes","No"))</f>
        <v/>
      </c>
      <c r="U94" s="49" cm="1">
        <f t="array" ref="U94">IF($A94="","",IF(AND(H94="Applicable",OR(L94="Gap",L94="Partial coverage")),INDEX(RISK_SCALE_NAMES,MAX(IFERROR(MATCH(P94,RISK_SCALE_NAMES,0),1),IFERROR(MATCH(S94,RISK_SCALE_NAMES,0),0))),""))</f>
        <v/>
      </c>
      <c r="V94" s="49" cm="1">
        <f t="array" ref="V94">IF($A94="","",_xlfn.TEXTJOIN("; ",TRUE,_xlfn._xlws.FILTER(tblThreatControls[Threat ID],(tblThreatControls[Control ID]=$A94)*(tblThreatControls[Threat applies]="Applies"),"")))</f>
        <v/>
      </c>
    </row>
    <row r="95" ht="45" customHeight="1" s="19">
      <c r="A95" s="49" t="n"/>
      <c r="B95" s="49" t="n"/>
      <c r="C95" s="49" t="n"/>
      <c r="D95" s="50" t="n"/>
      <c r="E95" s="49" t="n"/>
      <c r="F95" s="49" t="n"/>
      <c r="G95" s="49">
        <f>TRUE()</f>
        <v/>
      </c>
      <c r="H95" s="50">
        <f>IF($A95="","",IF(AND(G95,D95&lt;=TARGET_LEVEL_NUM),"Applicable","N/A"))</f>
        <v/>
      </c>
      <c r="I95" s="49" t="n"/>
      <c r="J95" s="49" t="n"/>
      <c r="K95" s="49" t="n"/>
      <c r="L95" s="49" t="n"/>
      <c r="M95" s="49" t="n"/>
      <c r="N95" s="49" t="n"/>
      <c r="O95" s="50" t="n"/>
      <c r="P95" s="50">
        <f>IF($A95="","",IF(H95="N/A","N/A",IFERROR(INDEX(CRIT_MATRIX,MATCH(O95,CRIT_MATRIX_ROWS,0),MATCH(APP_RISK_TIER,CRIT_MATRIX_COLS,0)),"")))</f>
        <v/>
      </c>
      <c r="Q95" s="49" t="n"/>
      <c r="R95" s="49" cm="1">
        <f t="array" ref="R95">IF($A95="","",COUNTIFS(tblThreatControls[Control ID],$A95,tblThreatControls[Threat applies],"Applies"))</f>
        <v/>
      </c>
      <c r="S95" s="49" cm="1">
        <f t="array" ref="S95">IF($A95="","",IF(R95=0,"",INDEX(RISK_SCALE_NAMES,_xlfn.MAXIFS(tblThreatControls[Threat risk score],tblThreatControls[Control ID],$A95))))</f>
        <v/>
      </c>
      <c r="T95" s="49" cm="1">
        <f t="array" ref="T95">IF($A95="","",IF(AND(H95="Applicable",OR(L95="Not assessed",L95=""),R95&gt;0),"Yes","No"))</f>
        <v/>
      </c>
      <c r="U95" s="49" cm="1">
        <f t="array" ref="U95">IF($A95="","",IF(AND(H95="Applicable",OR(L95="Gap",L95="Partial coverage")),INDEX(RISK_SCALE_NAMES,MAX(IFERROR(MATCH(P95,RISK_SCALE_NAMES,0),1),IFERROR(MATCH(S95,RISK_SCALE_NAMES,0),0))),""))</f>
        <v/>
      </c>
      <c r="V95" s="49" cm="1">
        <f t="array" ref="V95">IF($A95="","",_xlfn.TEXTJOIN("; ",TRUE,_xlfn._xlws.FILTER(tblThreatControls[Threat ID],(tblThreatControls[Control ID]=$A95)*(tblThreatControls[Threat applies]="Applies"),"")))</f>
        <v/>
      </c>
    </row>
    <row r="96" ht="45" customHeight="1" s="19">
      <c r="A96" s="49" t="n"/>
      <c r="B96" s="49" t="n"/>
      <c r="C96" s="49" t="n"/>
      <c r="D96" s="50" t="n"/>
      <c r="E96" s="49" t="n"/>
      <c r="F96" s="49" t="n"/>
      <c r="G96" s="49">
        <f>TRUE()</f>
        <v/>
      </c>
      <c r="H96" s="50">
        <f>IF($A96="","",IF(AND(G96,D96&lt;=TARGET_LEVEL_NUM),"Applicable","N/A"))</f>
        <v/>
      </c>
      <c r="I96" s="49" t="n"/>
      <c r="J96" s="49" t="n"/>
      <c r="K96" s="49" t="n"/>
      <c r="L96" s="49" t="n"/>
      <c r="M96" s="49" t="n"/>
      <c r="N96" s="49" t="n"/>
      <c r="O96" s="50" t="n"/>
      <c r="P96" s="50">
        <f>IF($A96="","",IF(H96="N/A","N/A",IFERROR(INDEX(CRIT_MATRIX,MATCH(O96,CRIT_MATRIX_ROWS,0),MATCH(APP_RISK_TIER,CRIT_MATRIX_COLS,0)),"")))</f>
        <v/>
      </c>
      <c r="Q96" s="49" t="n"/>
      <c r="R96" s="49" cm="1">
        <f t="array" ref="R96">IF($A96="","",COUNTIFS(tblThreatControls[Control ID],$A96,tblThreatControls[Threat applies],"Applies"))</f>
        <v/>
      </c>
      <c r="S96" s="49" cm="1">
        <f t="array" ref="S96">IF($A96="","",IF(R96=0,"",INDEX(RISK_SCALE_NAMES,_xlfn.MAXIFS(tblThreatControls[Threat risk score],tblThreatControls[Control ID],$A96))))</f>
        <v/>
      </c>
      <c r="T96" s="49" cm="1">
        <f t="array" ref="T96">IF($A96="","",IF(AND(H96="Applicable",OR(L96="Not assessed",L96=""),R96&gt;0),"Yes","No"))</f>
        <v/>
      </c>
      <c r="U96" s="49" cm="1">
        <f t="array" ref="U96">IF($A96="","",IF(AND(H96="Applicable",OR(L96="Gap",L96="Partial coverage")),INDEX(RISK_SCALE_NAMES,MAX(IFERROR(MATCH(P96,RISK_SCALE_NAMES,0),1),IFERROR(MATCH(S96,RISK_SCALE_NAMES,0),0))),""))</f>
        <v/>
      </c>
      <c r="V96" s="49" cm="1">
        <f t="array" ref="V96">IF($A96="","",_xlfn.TEXTJOIN("; ",TRUE,_xlfn._xlws.FILTER(tblThreatControls[Threat ID],(tblThreatControls[Control ID]=$A96)*(tblThreatControls[Threat applies]="Applies"),"")))</f>
        <v/>
      </c>
    </row>
    <row r="97" ht="45" customHeight="1" s="19">
      <c r="A97" s="49" t="n"/>
      <c r="B97" s="49" t="n"/>
      <c r="C97" s="49" t="n"/>
      <c r="D97" s="50" t="n"/>
      <c r="E97" s="49" t="n"/>
      <c r="F97" s="49" t="n"/>
      <c r="G97" s="49">
        <f>TRUE()</f>
        <v/>
      </c>
      <c r="H97" s="50">
        <f>IF($A97="","",IF(AND(G97,D97&lt;=TARGET_LEVEL_NUM),"Applicable","N/A"))</f>
        <v/>
      </c>
      <c r="I97" s="49" t="n"/>
      <c r="J97" s="49" t="n"/>
      <c r="K97" s="49" t="n"/>
      <c r="L97" s="49" t="n"/>
      <c r="M97" s="49" t="n"/>
      <c r="N97" s="49" t="n"/>
      <c r="O97" s="50" t="n"/>
      <c r="P97" s="50">
        <f>IF($A97="","",IF(H97="N/A","N/A",IFERROR(INDEX(CRIT_MATRIX,MATCH(O97,CRIT_MATRIX_ROWS,0),MATCH(APP_RISK_TIER,CRIT_MATRIX_COLS,0)),"")))</f>
        <v/>
      </c>
      <c r="Q97" s="49" t="n"/>
      <c r="R97" s="49" cm="1">
        <f t="array" ref="R97">IF($A97="","",COUNTIFS(tblThreatControls[Control ID],$A97,tblThreatControls[Threat applies],"Applies"))</f>
        <v/>
      </c>
      <c r="S97" s="49" cm="1">
        <f t="array" ref="S97">IF($A97="","",IF(R97=0,"",INDEX(RISK_SCALE_NAMES,_xlfn.MAXIFS(tblThreatControls[Threat risk score],tblThreatControls[Control ID],$A97))))</f>
        <v/>
      </c>
      <c r="T97" s="49" cm="1">
        <f t="array" ref="T97">IF($A97="","",IF(AND(H97="Applicable",OR(L97="Not assessed",L97=""),R97&gt;0),"Yes","No"))</f>
        <v/>
      </c>
      <c r="U97" s="49" cm="1">
        <f t="array" ref="U97">IF($A97="","",IF(AND(H97="Applicable",OR(L97="Gap",L97="Partial coverage")),INDEX(RISK_SCALE_NAMES,MAX(IFERROR(MATCH(P97,RISK_SCALE_NAMES,0),1),IFERROR(MATCH(S97,RISK_SCALE_NAMES,0),0))),""))</f>
        <v/>
      </c>
      <c r="V97" s="49" cm="1">
        <f t="array" ref="V97">IF($A97="","",_xlfn.TEXTJOIN("; ",TRUE,_xlfn._xlws.FILTER(tblThreatControls[Threat ID],(tblThreatControls[Control ID]=$A97)*(tblThreatControls[Threat applies]="Applies"),"")))</f>
        <v/>
      </c>
    </row>
    <row r="98" ht="45" customHeight="1" s="19">
      <c r="A98" s="49" t="n"/>
      <c r="B98" s="49" t="n"/>
      <c r="C98" s="49" t="n"/>
      <c r="D98" s="50" t="n"/>
      <c r="E98" s="49" t="n"/>
      <c r="F98" s="49" t="n"/>
      <c r="G98" s="49">
        <f>TRUE()</f>
        <v/>
      </c>
      <c r="H98" s="50">
        <f>IF($A98="","",IF(AND(G98,D98&lt;=TARGET_LEVEL_NUM),"Applicable","N/A"))</f>
        <v/>
      </c>
      <c r="I98" s="49" t="n"/>
      <c r="J98" s="49" t="n"/>
      <c r="K98" s="49" t="n"/>
      <c r="L98" s="49" t="n"/>
      <c r="M98" s="49" t="n"/>
      <c r="N98" s="49" t="n"/>
      <c r="O98" s="50" t="n"/>
      <c r="P98" s="50">
        <f>IF($A98="","",IF(H98="N/A","N/A",IFERROR(INDEX(CRIT_MATRIX,MATCH(O98,CRIT_MATRIX_ROWS,0),MATCH(APP_RISK_TIER,CRIT_MATRIX_COLS,0)),"")))</f>
        <v/>
      </c>
      <c r="Q98" s="49" t="n"/>
      <c r="R98" s="49" cm="1">
        <f t="array" ref="R98">IF($A98="","",COUNTIFS(tblThreatControls[Control ID],$A98,tblThreatControls[Threat applies],"Applies"))</f>
        <v/>
      </c>
      <c r="S98" s="49" cm="1">
        <f t="array" ref="S98">IF($A98="","",IF(R98=0,"",INDEX(RISK_SCALE_NAMES,_xlfn.MAXIFS(tblThreatControls[Threat risk score],tblThreatControls[Control ID],$A98))))</f>
        <v/>
      </c>
      <c r="T98" s="49" cm="1">
        <f t="array" ref="T98">IF($A98="","",IF(AND(H98="Applicable",OR(L98="Not assessed",L98=""),R98&gt;0),"Yes","No"))</f>
        <v/>
      </c>
      <c r="U98" s="49" cm="1">
        <f t="array" ref="U98">IF($A98="","",IF(AND(H98="Applicable",OR(L98="Gap",L98="Partial coverage")),INDEX(RISK_SCALE_NAMES,MAX(IFERROR(MATCH(P98,RISK_SCALE_NAMES,0),1),IFERROR(MATCH(S98,RISK_SCALE_NAMES,0),0))),""))</f>
        <v/>
      </c>
      <c r="V98" s="49" cm="1">
        <f t="array" ref="V98">IF($A98="","",_xlfn.TEXTJOIN("; ",TRUE,_xlfn._xlws.FILTER(tblThreatControls[Threat ID],(tblThreatControls[Control ID]=$A98)*(tblThreatControls[Threat applies]="Applies"),"")))</f>
        <v/>
      </c>
    </row>
    <row r="99" ht="45" customHeight="1" s="19">
      <c r="A99" s="49" t="n"/>
      <c r="B99" s="49" t="n"/>
      <c r="C99" s="49" t="n"/>
      <c r="D99" s="50" t="n"/>
      <c r="E99" s="49" t="n"/>
      <c r="F99" s="49" t="n"/>
      <c r="G99" s="49">
        <f>TRUE()</f>
        <v/>
      </c>
      <c r="H99" s="50">
        <f>IF($A99="","",IF(AND(G99,D99&lt;=TARGET_LEVEL_NUM),"Applicable","N/A"))</f>
        <v/>
      </c>
      <c r="I99" s="49" t="n"/>
      <c r="J99" s="49" t="n"/>
      <c r="K99" s="49" t="n"/>
      <c r="L99" s="49" t="n"/>
      <c r="M99" s="49" t="n"/>
      <c r="N99" s="49" t="n"/>
      <c r="O99" s="50" t="n"/>
      <c r="P99" s="50">
        <f>IF($A99="","",IF(H99="N/A","N/A",IFERROR(INDEX(CRIT_MATRIX,MATCH(O99,CRIT_MATRIX_ROWS,0),MATCH(APP_RISK_TIER,CRIT_MATRIX_COLS,0)),"")))</f>
        <v/>
      </c>
      <c r="Q99" s="49" t="n"/>
      <c r="R99" s="49" cm="1">
        <f t="array" ref="R99">IF($A99="","",COUNTIFS(tblThreatControls[Control ID],$A99,tblThreatControls[Threat applies],"Applies"))</f>
        <v/>
      </c>
      <c r="S99" s="49" cm="1">
        <f t="array" ref="S99">IF($A99="","",IF(R99=0,"",INDEX(RISK_SCALE_NAMES,_xlfn.MAXIFS(tblThreatControls[Threat risk score],tblThreatControls[Control ID],$A99))))</f>
        <v/>
      </c>
      <c r="T99" s="49" cm="1">
        <f t="array" ref="T99">IF($A99="","",IF(AND(H99="Applicable",OR(L99="Not assessed",L99=""),R99&gt;0),"Yes","No"))</f>
        <v/>
      </c>
      <c r="U99" s="49" cm="1">
        <f t="array" ref="U99">IF($A99="","",IF(AND(H99="Applicable",OR(L99="Gap",L99="Partial coverage")),INDEX(RISK_SCALE_NAMES,MAX(IFERROR(MATCH(P99,RISK_SCALE_NAMES,0),1),IFERROR(MATCH(S99,RISK_SCALE_NAMES,0),0))),""))</f>
        <v/>
      </c>
      <c r="V99" s="49" cm="1">
        <f t="array" ref="V99">IF($A99="","",_xlfn.TEXTJOIN("; ",TRUE,_xlfn._xlws.FILTER(tblThreatControls[Threat ID],(tblThreatControls[Control ID]=$A99)*(tblThreatControls[Threat applies]="Applies"),"")))</f>
        <v/>
      </c>
    </row>
    <row r="100" ht="45" customHeight="1" s="19">
      <c r="A100" s="49" t="n"/>
      <c r="B100" s="49" t="n"/>
      <c r="C100" s="49" t="n"/>
      <c r="D100" s="50" t="n"/>
      <c r="E100" s="49" t="n"/>
      <c r="F100" s="49" t="n"/>
      <c r="G100" s="49">
        <f>TRUE()</f>
        <v/>
      </c>
      <c r="H100" s="50">
        <f>IF($A100="","",IF(AND(G100,D100&lt;=TARGET_LEVEL_NUM),"Applicable","N/A"))</f>
        <v/>
      </c>
      <c r="I100" s="49" t="n"/>
      <c r="J100" s="49" t="n"/>
      <c r="K100" s="49" t="n"/>
      <c r="L100" s="49" t="n"/>
      <c r="M100" s="49" t="n"/>
      <c r="N100" s="49" t="n"/>
      <c r="O100" s="50" t="n"/>
      <c r="P100" s="50">
        <f>IF($A100="","",IF(H100="N/A","N/A",IFERROR(INDEX(CRIT_MATRIX,MATCH(O100,CRIT_MATRIX_ROWS,0),MATCH(APP_RISK_TIER,CRIT_MATRIX_COLS,0)),"")))</f>
        <v/>
      </c>
      <c r="Q100" s="49" t="n"/>
      <c r="R100" s="49" cm="1">
        <f t="array" ref="R100">IF($A100="","",COUNTIFS(tblThreatControls[Control ID],$A100,tblThreatControls[Threat applies],"Applies"))</f>
        <v/>
      </c>
      <c r="S100" s="49" cm="1">
        <f t="array" ref="S100">IF($A100="","",IF(R100=0,"",INDEX(RISK_SCALE_NAMES,_xlfn.MAXIFS(tblThreatControls[Threat risk score],tblThreatControls[Control ID],$A100))))</f>
        <v/>
      </c>
      <c r="T100" s="49" cm="1">
        <f t="array" ref="T100">IF($A100="","",IF(AND(H100="Applicable",OR(L100="Not assessed",L100=""),R100&gt;0),"Yes","No"))</f>
        <v/>
      </c>
      <c r="U100" s="49" cm="1">
        <f t="array" ref="U100">IF($A100="","",IF(AND(H100="Applicable",OR(L100="Gap",L100="Partial coverage")),INDEX(RISK_SCALE_NAMES,MAX(IFERROR(MATCH(P100,RISK_SCALE_NAMES,0),1),IFERROR(MATCH(S100,RISK_SCALE_NAMES,0),0))),""))</f>
        <v/>
      </c>
      <c r="V100" s="49" cm="1">
        <f t="array" ref="V100">IF($A100="","",_xlfn.TEXTJOIN("; ",TRUE,_xlfn._xlws.FILTER(tblThreatControls[Threat ID],(tblThreatControls[Control ID]=$A100)*(tblThreatControls[Threat applies]="Applies"),"")))</f>
        <v/>
      </c>
    </row>
    <row r="101" ht="45" customHeight="1" s="19">
      <c r="A101" s="49" t="n"/>
      <c r="B101" s="49" t="n"/>
      <c r="C101" s="49" t="n"/>
      <c r="D101" s="50" t="n"/>
      <c r="E101" s="49" t="n"/>
      <c r="F101" s="49" t="n"/>
      <c r="G101" s="49">
        <f>TRUE()</f>
        <v/>
      </c>
      <c r="H101" s="50">
        <f>IF($A101="","",IF(AND(G101,D101&lt;=TARGET_LEVEL_NUM),"Applicable","N/A"))</f>
        <v/>
      </c>
      <c r="I101" s="49" t="n"/>
      <c r="J101" s="49" t="n"/>
      <c r="K101" s="49" t="n"/>
      <c r="L101" s="49" t="n"/>
      <c r="M101" s="49" t="n"/>
      <c r="N101" s="49" t="n"/>
      <c r="O101" s="50" t="n"/>
      <c r="P101" s="50">
        <f>IF($A101="","",IF(H101="N/A","N/A",IFERROR(INDEX(CRIT_MATRIX,MATCH(O101,CRIT_MATRIX_ROWS,0),MATCH(APP_RISK_TIER,CRIT_MATRIX_COLS,0)),"")))</f>
        <v/>
      </c>
      <c r="Q101" s="49" t="n"/>
      <c r="R101" s="49" cm="1">
        <f t="array" ref="R101">IF($A101="","",COUNTIFS(tblThreatControls[Control ID],$A101,tblThreatControls[Threat applies],"Applies"))</f>
        <v/>
      </c>
      <c r="S101" s="49" cm="1">
        <f t="array" ref="S101">IF($A101="","",IF(R101=0,"",INDEX(RISK_SCALE_NAMES,_xlfn.MAXIFS(tblThreatControls[Threat risk score],tblThreatControls[Control ID],$A101))))</f>
        <v/>
      </c>
      <c r="T101" s="49" cm="1">
        <f t="array" ref="T101">IF($A101="","",IF(AND(H101="Applicable",OR(L101="Not assessed",L101=""),R101&gt;0),"Yes","No"))</f>
        <v/>
      </c>
      <c r="U101" s="49" cm="1">
        <f t="array" ref="U101">IF($A101="","",IF(AND(H101="Applicable",OR(L101="Gap",L101="Partial coverage")),INDEX(RISK_SCALE_NAMES,MAX(IFERROR(MATCH(P101,RISK_SCALE_NAMES,0),1),IFERROR(MATCH(S101,RISK_SCALE_NAMES,0),0))),""))</f>
        <v/>
      </c>
      <c r="V101" s="49" cm="1">
        <f t="array" ref="V101">IF($A101="","",_xlfn.TEXTJOIN("; ",TRUE,_xlfn._xlws.FILTER(tblThreatControls[Threat ID],(tblThreatControls[Control ID]=$A101)*(tblThreatControls[Threat applies]="Applies"),"")))</f>
        <v/>
      </c>
    </row>
    <row r="102" ht="45" customHeight="1" s="19">
      <c r="A102" s="49" t="n"/>
      <c r="B102" s="49" t="n"/>
      <c r="C102" s="49" t="n"/>
      <c r="D102" s="50" t="n"/>
      <c r="E102" s="49" t="n"/>
      <c r="F102" s="49" t="n"/>
      <c r="G102" s="49">
        <f>TRUE()</f>
        <v/>
      </c>
      <c r="H102" s="50">
        <f>IF($A102="","",IF(AND(G102,D102&lt;=TARGET_LEVEL_NUM),"Applicable","N/A"))</f>
        <v/>
      </c>
      <c r="I102" s="49" t="n"/>
      <c r="J102" s="49" t="n"/>
      <c r="K102" s="49" t="n"/>
      <c r="L102" s="49" t="n"/>
      <c r="M102" s="49" t="n"/>
      <c r="N102" s="49" t="n"/>
      <c r="O102" s="50" t="n"/>
      <c r="P102" s="50">
        <f>IF($A102="","",IF(H102="N/A","N/A",IFERROR(INDEX(CRIT_MATRIX,MATCH(O102,CRIT_MATRIX_ROWS,0),MATCH(APP_RISK_TIER,CRIT_MATRIX_COLS,0)),"")))</f>
        <v/>
      </c>
      <c r="Q102" s="49" t="n"/>
      <c r="R102" s="49" cm="1">
        <f t="array" ref="R102">IF($A102="","",COUNTIFS(tblThreatControls[Control ID],$A102,tblThreatControls[Threat applies],"Applies"))</f>
        <v/>
      </c>
      <c r="S102" s="49" cm="1">
        <f t="array" ref="S102">IF($A102="","",IF(R102=0,"",INDEX(RISK_SCALE_NAMES,_xlfn.MAXIFS(tblThreatControls[Threat risk score],tblThreatControls[Control ID],$A102))))</f>
        <v/>
      </c>
      <c r="T102" s="49" cm="1">
        <f t="array" ref="T102">IF($A102="","",IF(AND(H102="Applicable",OR(L102="Not assessed",L102=""),R102&gt;0),"Yes","No"))</f>
        <v/>
      </c>
      <c r="U102" s="49" cm="1">
        <f t="array" ref="U102">IF($A102="","",IF(AND(H102="Applicable",OR(L102="Gap",L102="Partial coverage")),INDEX(RISK_SCALE_NAMES,MAX(IFERROR(MATCH(P102,RISK_SCALE_NAMES,0),1),IFERROR(MATCH(S102,RISK_SCALE_NAMES,0),0))),""))</f>
        <v/>
      </c>
      <c r="V102" s="49" cm="1">
        <f t="array" ref="V102">IF($A102="","",_xlfn.TEXTJOIN("; ",TRUE,_xlfn._xlws.FILTER(tblThreatControls[Threat ID],(tblThreatControls[Control ID]=$A102)*(tblThreatControls[Threat applies]="Applies"),"")))</f>
        <v/>
      </c>
    </row>
    <row r="103" ht="45" customHeight="1" s="19">
      <c r="A103" s="49" t="n"/>
      <c r="B103" s="49" t="n"/>
      <c r="C103" s="49" t="n"/>
      <c r="D103" s="50" t="n"/>
      <c r="E103" s="49" t="n"/>
      <c r="F103" s="49" t="n"/>
      <c r="G103" s="49">
        <f>TRUE()</f>
        <v/>
      </c>
      <c r="H103" s="50">
        <f>IF($A103="","",IF(AND(G103,D103&lt;=TARGET_LEVEL_NUM),"Applicable","N/A"))</f>
        <v/>
      </c>
      <c r="I103" s="49" t="n"/>
      <c r="J103" s="49" t="n"/>
      <c r="K103" s="49" t="n"/>
      <c r="L103" s="49" t="n"/>
      <c r="M103" s="49" t="n"/>
      <c r="N103" s="49" t="n"/>
      <c r="O103" s="50" t="n"/>
      <c r="P103" s="50">
        <f>IF($A103="","",IF(H103="N/A","N/A",IFERROR(INDEX(CRIT_MATRIX,MATCH(O103,CRIT_MATRIX_ROWS,0),MATCH(APP_RISK_TIER,CRIT_MATRIX_COLS,0)),"")))</f>
        <v/>
      </c>
      <c r="Q103" s="49" t="n"/>
      <c r="R103" s="49" cm="1">
        <f t="array" ref="R103">IF($A103="","",COUNTIFS(tblThreatControls[Control ID],$A103,tblThreatControls[Threat applies],"Applies"))</f>
        <v/>
      </c>
      <c r="S103" s="49" cm="1">
        <f t="array" ref="S103">IF($A103="","",IF(R103=0,"",INDEX(RISK_SCALE_NAMES,_xlfn.MAXIFS(tblThreatControls[Threat risk score],tblThreatControls[Control ID],$A103))))</f>
        <v/>
      </c>
      <c r="T103" s="49" cm="1">
        <f t="array" ref="T103">IF($A103="","",IF(AND(H103="Applicable",OR(L103="Not assessed",L103=""),R103&gt;0),"Yes","No"))</f>
        <v/>
      </c>
      <c r="U103" s="49" cm="1">
        <f t="array" ref="U103">IF($A103="","",IF(AND(H103="Applicable",OR(L103="Gap",L103="Partial coverage")),INDEX(RISK_SCALE_NAMES,MAX(IFERROR(MATCH(P103,RISK_SCALE_NAMES,0),1),IFERROR(MATCH(S103,RISK_SCALE_NAMES,0),0))),""))</f>
        <v/>
      </c>
      <c r="V103" s="49" cm="1">
        <f t="array" ref="V103">IF($A103="","",_xlfn.TEXTJOIN("; ",TRUE,_xlfn._xlws.FILTER(tblThreatControls[Threat ID],(tblThreatControls[Control ID]=$A103)*(tblThreatControls[Threat applies]="Applies"),"")))</f>
        <v/>
      </c>
    </row>
    <row r="104" ht="45" customHeight="1" s="19">
      <c r="A104" s="49" t="n"/>
      <c r="B104" s="49" t="n"/>
      <c r="C104" s="49" t="n"/>
      <c r="D104" s="50" t="n"/>
      <c r="E104" s="49" t="n"/>
      <c r="F104" s="49" t="n"/>
      <c r="G104" s="49">
        <f>TRUE()</f>
        <v/>
      </c>
      <c r="H104" s="50">
        <f>IF($A104="","",IF(AND(G104,D104&lt;=TARGET_LEVEL_NUM),"Applicable","N/A"))</f>
        <v/>
      </c>
      <c r="I104" s="49" t="n"/>
      <c r="J104" s="49" t="n"/>
      <c r="K104" s="49" t="n"/>
      <c r="L104" s="49" t="n"/>
      <c r="M104" s="49" t="n"/>
      <c r="N104" s="49" t="n"/>
      <c r="O104" s="50" t="n"/>
      <c r="P104" s="50">
        <f>IF($A104="","",IF(H104="N/A","N/A",IFERROR(INDEX(CRIT_MATRIX,MATCH(O104,CRIT_MATRIX_ROWS,0),MATCH(APP_RISK_TIER,CRIT_MATRIX_COLS,0)),"")))</f>
        <v/>
      </c>
      <c r="Q104" s="49" t="n"/>
      <c r="R104" s="49" cm="1">
        <f t="array" ref="R104">IF($A104="","",COUNTIFS(tblThreatControls[Control ID],$A104,tblThreatControls[Threat applies],"Applies"))</f>
        <v/>
      </c>
      <c r="S104" s="49" cm="1">
        <f t="array" ref="S104">IF($A104="","",IF(R104=0,"",INDEX(RISK_SCALE_NAMES,_xlfn.MAXIFS(tblThreatControls[Threat risk score],tblThreatControls[Control ID],$A104))))</f>
        <v/>
      </c>
      <c r="T104" s="49" cm="1">
        <f t="array" ref="T104">IF($A104="","",IF(AND(H104="Applicable",OR(L104="Not assessed",L104=""),R104&gt;0),"Yes","No"))</f>
        <v/>
      </c>
      <c r="U104" s="49" cm="1">
        <f t="array" ref="U104">IF($A104="","",IF(AND(H104="Applicable",OR(L104="Gap",L104="Partial coverage")),INDEX(RISK_SCALE_NAMES,MAX(IFERROR(MATCH(P104,RISK_SCALE_NAMES,0),1),IFERROR(MATCH(S104,RISK_SCALE_NAMES,0),0))),""))</f>
        <v/>
      </c>
      <c r="V104" s="49" cm="1">
        <f t="array" ref="V104">IF($A104="","",_xlfn.TEXTJOIN("; ",TRUE,_xlfn._xlws.FILTER(tblThreatControls[Threat ID],(tblThreatControls[Control ID]=$A104)*(tblThreatControls[Threat applies]="Applies"),"")))</f>
        <v/>
      </c>
    </row>
    <row r="105" ht="45" customHeight="1" s="19">
      <c r="A105" s="49" t="n"/>
      <c r="B105" s="49" t="n"/>
      <c r="C105" s="49" t="n"/>
      <c r="D105" s="50" t="n"/>
      <c r="E105" s="49" t="n"/>
      <c r="F105" s="49" t="n"/>
      <c r="G105" s="49">
        <f>TRUE()</f>
        <v/>
      </c>
      <c r="H105" s="50">
        <f>IF($A105="","",IF(AND(G105,D105&lt;=TARGET_LEVEL_NUM),"Applicable","N/A"))</f>
        <v/>
      </c>
      <c r="I105" s="49" t="n"/>
      <c r="J105" s="49" t="n"/>
      <c r="K105" s="49" t="n"/>
      <c r="L105" s="49" t="n"/>
      <c r="M105" s="49" t="n"/>
      <c r="N105" s="49" t="n"/>
      <c r="O105" s="50" t="n"/>
      <c r="P105" s="50">
        <f>IF($A105="","",IF(H105="N/A","N/A",IFERROR(INDEX(CRIT_MATRIX,MATCH(O105,CRIT_MATRIX_ROWS,0),MATCH(APP_RISK_TIER,CRIT_MATRIX_COLS,0)),"")))</f>
        <v/>
      </c>
      <c r="Q105" s="49" t="n"/>
      <c r="R105" s="49" cm="1">
        <f t="array" ref="R105">IF($A105="","",COUNTIFS(tblThreatControls[Control ID],$A105,tblThreatControls[Threat applies],"Applies"))</f>
        <v/>
      </c>
      <c r="S105" s="49" cm="1">
        <f t="array" ref="S105">IF($A105="","",IF(R105=0,"",INDEX(RISK_SCALE_NAMES,_xlfn.MAXIFS(tblThreatControls[Threat risk score],tblThreatControls[Control ID],$A105))))</f>
        <v/>
      </c>
      <c r="T105" s="49" cm="1">
        <f t="array" ref="T105">IF($A105="","",IF(AND(H105="Applicable",OR(L105="Not assessed",L105=""),R105&gt;0),"Yes","No"))</f>
        <v/>
      </c>
      <c r="U105" s="49" cm="1">
        <f t="array" ref="U105">IF($A105="","",IF(AND(H105="Applicable",OR(L105="Gap",L105="Partial coverage")),INDEX(RISK_SCALE_NAMES,MAX(IFERROR(MATCH(P105,RISK_SCALE_NAMES,0),1),IFERROR(MATCH(S105,RISK_SCALE_NAMES,0),0))),""))</f>
        <v/>
      </c>
      <c r="V105" s="49" cm="1">
        <f t="array" ref="V105">IF($A105="","",_xlfn.TEXTJOIN("; ",TRUE,_xlfn._xlws.FILTER(tblThreatControls[Threat ID],(tblThreatControls[Control ID]=$A105)*(tblThreatControls[Threat applies]="Applies"),"")))</f>
        <v/>
      </c>
    </row>
    <row r="106" ht="45" customHeight="1" s="19">
      <c r="A106" s="49" t="n"/>
      <c r="B106" s="49" t="n"/>
      <c r="C106" s="49" t="n"/>
      <c r="D106" s="50" t="n"/>
      <c r="E106" s="49" t="n"/>
      <c r="F106" s="49" t="n"/>
      <c r="G106" s="49">
        <f>TRUE()</f>
        <v/>
      </c>
      <c r="H106" s="50">
        <f>IF($A106="","",IF(AND(G106,D106&lt;=TARGET_LEVEL_NUM),"Applicable","N/A"))</f>
        <v/>
      </c>
      <c r="I106" s="49" t="n"/>
      <c r="J106" s="49" t="n"/>
      <c r="K106" s="49" t="n"/>
      <c r="L106" s="49" t="n"/>
      <c r="M106" s="49" t="n"/>
      <c r="N106" s="49" t="n"/>
      <c r="O106" s="50" t="n"/>
      <c r="P106" s="50">
        <f>IF($A106="","",IF(H106="N/A","N/A",IFERROR(INDEX(CRIT_MATRIX,MATCH(O106,CRIT_MATRIX_ROWS,0),MATCH(APP_RISK_TIER,CRIT_MATRIX_COLS,0)),"")))</f>
        <v/>
      </c>
      <c r="Q106" s="49" t="n"/>
      <c r="R106" s="49" cm="1">
        <f t="array" ref="R106">IF($A106="","",COUNTIFS(tblThreatControls[Control ID],$A106,tblThreatControls[Threat applies],"Applies"))</f>
        <v/>
      </c>
      <c r="S106" s="49" cm="1">
        <f t="array" ref="S106">IF($A106="","",IF(R106=0,"",INDEX(RISK_SCALE_NAMES,_xlfn.MAXIFS(tblThreatControls[Threat risk score],tblThreatControls[Control ID],$A106))))</f>
        <v/>
      </c>
      <c r="T106" s="49" cm="1">
        <f t="array" ref="T106">IF($A106="","",IF(AND(H106="Applicable",OR(L106="Not assessed",L106=""),R106&gt;0),"Yes","No"))</f>
        <v/>
      </c>
      <c r="U106" s="49" cm="1">
        <f t="array" ref="U106">IF($A106="","",IF(AND(H106="Applicable",OR(L106="Gap",L106="Partial coverage")),INDEX(RISK_SCALE_NAMES,MAX(IFERROR(MATCH(P106,RISK_SCALE_NAMES,0),1),IFERROR(MATCH(S106,RISK_SCALE_NAMES,0),0))),""))</f>
        <v/>
      </c>
      <c r="V106" s="49" cm="1">
        <f t="array" ref="V106">IF($A106="","",_xlfn.TEXTJOIN("; ",TRUE,_xlfn._xlws.FILTER(tblThreatControls[Threat ID],(tblThreatControls[Control ID]=$A106)*(tblThreatControls[Threat applies]="Applies"),"")))</f>
        <v/>
      </c>
    </row>
    <row r="107" ht="45" customHeight="1" s="19">
      <c r="A107" s="49" t="n"/>
      <c r="B107" s="49" t="n"/>
      <c r="C107" s="49" t="n"/>
      <c r="D107" s="50" t="n"/>
      <c r="E107" s="49" t="n"/>
      <c r="F107" s="49" t="n"/>
      <c r="G107" s="49">
        <f>TRUE()</f>
        <v/>
      </c>
      <c r="H107" s="50">
        <f>IF($A107="","",IF(AND(G107,D107&lt;=TARGET_LEVEL_NUM),"Applicable","N/A"))</f>
        <v/>
      </c>
      <c r="I107" s="49" t="n"/>
      <c r="J107" s="49" t="n"/>
      <c r="K107" s="49" t="n"/>
      <c r="L107" s="49" t="n"/>
      <c r="M107" s="49" t="n"/>
      <c r="N107" s="49" t="n"/>
      <c r="O107" s="50" t="n"/>
      <c r="P107" s="50">
        <f>IF($A107="","",IF(H107="N/A","N/A",IFERROR(INDEX(CRIT_MATRIX,MATCH(O107,CRIT_MATRIX_ROWS,0),MATCH(APP_RISK_TIER,CRIT_MATRIX_COLS,0)),"")))</f>
        <v/>
      </c>
      <c r="Q107" s="49" t="n"/>
      <c r="R107" s="49" cm="1">
        <f t="array" ref="R107">IF($A107="","",COUNTIFS(tblThreatControls[Control ID],$A107,tblThreatControls[Threat applies],"Applies"))</f>
        <v/>
      </c>
      <c r="S107" s="49" cm="1">
        <f t="array" ref="S107">IF($A107="","",IF(R107=0,"",INDEX(RISK_SCALE_NAMES,_xlfn.MAXIFS(tblThreatControls[Threat risk score],tblThreatControls[Control ID],$A107))))</f>
        <v/>
      </c>
      <c r="T107" s="49" cm="1">
        <f t="array" ref="T107">IF($A107="","",IF(AND(H107="Applicable",OR(L107="Not assessed",L107=""),R107&gt;0),"Yes","No"))</f>
        <v/>
      </c>
      <c r="U107" s="49" cm="1">
        <f t="array" ref="U107">IF($A107="","",IF(AND(H107="Applicable",OR(L107="Gap",L107="Partial coverage")),INDEX(RISK_SCALE_NAMES,MAX(IFERROR(MATCH(P107,RISK_SCALE_NAMES,0),1),IFERROR(MATCH(S107,RISK_SCALE_NAMES,0),0))),""))</f>
        <v/>
      </c>
      <c r="V107" s="49" cm="1">
        <f t="array" ref="V107">IF($A107="","",_xlfn.TEXTJOIN("; ",TRUE,_xlfn._xlws.FILTER(tblThreatControls[Threat ID],(tblThreatControls[Control ID]=$A107)*(tblThreatControls[Threat applies]="Applies"),"")))</f>
        <v/>
      </c>
    </row>
    <row r="108" ht="45" customHeight="1" s="19">
      <c r="A108" s="49" t="n"/>
      <c r="B108" s="49" t="n"/>
      <c r="C108" s="49" t="n"/>
      <c r="D108" s="50" t="n"/>
      <c r="E108" s="49" t="n"/>
      <c r="F108" s="49" t="n"/>
      <c r="G108" s="49">
        <f>TRUE()</f>
        <v/>
      </c>
      <c r="H108" s="50">
        <f>IF($A108="","",IF(AND(G108,D108&lt;=TARGET_LEVEL_NUM),"Applicable","N/A"))</f>
        <v/>
      </c>
      <c r="I108" s="49" t="n"/>
      <c r="J108" s="49" t="n"/>
      <c r="K108" s="49" t="n"/>
      <c r="L108" s="49" t="n"/>
      <c r="M108" s="49" t="n"/>
      <c r="N108" s="49" t="n"/>
      <c r="O108" s="50" t="n"/>
      <c r="P108" s="50">
        <f>IF($A108="","",IF(H108="N/A","N/A",IFERROR(INDEX(CRIT_MATRIX,MATCH(O108,CRIT_MATRIX_ROWS,0),MATCH(APP_RISK_TIER,CRIT_MATRIX_COLS,0)),"")))</f>
        <v/>
      </c>
      <c r="Q108" s="49" t="n"/>
      <c r="R108" s="49" cm="1">
        <f t="array" ref="R108">IF($A108="","",COUNTIFS(tblThreatControls[Control ID],$A108,tblThreatControls[Threat applies],"Applies"))</f>
        <v/>
      </c>
      <c r="S108" s="49" cm="1">
        <f t="array" ref="S108">IF($A108="","",IF(R108=0,"",INDEX(RISK_SCALE_NAMES,_xlfn.MAXIFS(tblThreatControls[Threat risk score],tblThreatControls[Control ID],$A108))))</f>
        <v/>
      </c>
      <c r="T108" s="49" cm="1">
        <f t="array" ref="T108">IF($A108="","",IF(AND(H108="Applicable",OR(L108="Not assessed",L108=""),R108&gt;0),"Yes","No"))</f>
        <v/>
      </c>
      <c r="U108" s="49" cm="1">
        <f t="array" ref="U108">IF($A108="","",IF(AND(H108="Applicable",OR(L108="Gap",L108="Partial coverage")),INDEX(RISK_SCALE_NAMES,MAX(IFERROR(MATCH(P108,RISK_SCALE_NAMES,0),1),IFERROR(MATCH(S108,RISK_SCALE_NAMES,0),0))),""))</f>
        <v/>
      </c>
      <c r="V108" s="49" cm="1">
        <f t="array" ref="V108">IF($A108="","",_xlfn.TEXTJOIN("; ",TRUE,_xlfn._xlws.FILTER(tblThreatControls[Threat ID],(tblThreatControls[Control ID]=$A108)*(tblThreatControls[Threat applies]="Applies"),"")))</f>
        <v/>
      </c>
    </row>
    <row r="109" ht="45" customHeight="1" s="19">
      <c r="A109" s="49" t="n"/>
      <c r="B109" s="49" t="n"/>
      <c r="C109" s="49" t="n"/>
      <c r="D109" s="50" t="n"/>
      <c r="E109" s="49" t="n"/>
      <c r="F109" s="49" t="n"/>
      <c r="G109" s="49">
        <f>TRUE()</f>
        <v/>
      </c>
      <c r="H109" s="50">
        <f>IF($A109="","",IF(AND(G109,D109&lt;=TARGET_LEVEL_NUM),"Applicable","N/A"))</f>
        <v/>
      </c>
      <c r="I109" s="49" t="n"/>
      <c r="J109" s="49" t="n"/>
      <c r="K109" s="49" t="n"/>
      <c r="L109" s="49" t="n"/>
      <c r="M109" s="49" t="n"/>
      <c r="N109" s="49" t="n"/>
      <c r="O109" s="50" t="n"/>
      <c r="P109" s="50">
        <f>IF($A109="","",IF(H109="N/A","N/A",IFERROR(INDEX(CRIT_MATRIX,MATCH(O109,CRIT_MATRIX_ROWS,0),MATCH(APP_RISK_TIER,CRIT_MATRIX_COLS,0)),"")))</f>
        <v/>
      </c>
      <c r="Q109" s="49" t="n"/>
      <c r="R109" s="49" cm="1">
        <f t="array" ref="R109">IF($A109="","",COUNTIFS(tblThreatControls[Control ID],$A109,tblThreatControls[Threat applies],"Applies"))</f>
        <v/>
      </c>
      <c r="S109" s="49" cm="1">
        <f t="array" ref="S109">IF($A109="","",IF(R109=0,"",INDEX(RISK_SCALE_NAMES,_xlfn.MAXIFS(tblThreatControls[Threat risk score],tblThreatControls[Control ID],$A109))))</f>
        <v/>
      </c>
      <c r="T109" s="49" cm="1">
        <f t="array" ref="T109">IF($A109="","",IF(AND(H109="Applicable",OR(L109="Not assessed",L109=""),R109&gt;0),"Yes","No"))</f>
        <v/>
      </c>
      <c r="U109" s="49" cm="1">
        <f t="array" ref="U109">IF($A109="","",IF(AND(H109="Applicable",OR(L109="Gap",L109="Partial coverage")),INDEX(RISK_SCALE_NAMES,MAX(IFERROR(MATCH(P109,RISK_SCALE_NAMES,0),1),IFERROR(MATCH(S109,RISK_SCALE_NAMES,0),0))),""))</f>
        <v/>
      </c>
      <c r="V109" s="49" cm="1">
        <f t="array" ref="V109">IF($A109="","",_xlfn.TEXTJOIN("; ",TRUE,_xlfn._xlws.FILTER(tblThreatControls[Threat ID],(tblThreatControls[Control ID]=$A109)*(tblThreatControls[Threat applies]="Applies"),"")))</f>
        <v/>
      </c>
    </row>
    <row r="110" ht="45" customHeight="1" s="19">
      <c r="A110" s="49" t="n"/>
      <c r="B110" s="49" t="n"/>
      <c r="C110" s="49" t="n"/>
      <c r="D110" s="50" t="n"/>
      <c r="E110" s="49" t="n"/>
      <c r="F110" s="49" t="n"/>
      <c r="G110" s="49">
        <f>TRUE()</f>
        <v/>
      </c>
      <c r="H110" s="50">
        <f>IF($A110="","",IF(AND(G110,D110&lt;=TARGET_LEVEL_NUM),"Applicable","N/A"))</f>
        <v/>
      </c>
      <c r="I110" s="49" t="n"/>
      <c r="J110" s="49" t="n"/>
      <c r="K110" s="49" t="n"/>
      <c r="L110" s="49" t="n"/>
      <c r="M110" s="49" t="n"/>
      <c r="N110" s="49" t="n"/>
      <c r="O110" s="50" t="n"/>
      <c r="P110" s="50">
        <f>IF($A110="","",IF(H110="N/A","N/A",IFERROR(INDEX(CRIT_MATRIX,MATCH(O110,CRIT_MATRIX_ROWS,0),MATCH(APP_RISK_TIER,CRIT_MATRIX_COLS,0)),"")))</f>
        <v/>
      </c>
      <c r="Q110" s="49" t="n"/>
      <c r="R110" s="49" cm="1">
        <f t="array" ref="R110">IF($A110="","",COUNTIFS(tblThreatControls[Control ID],$A110,tblThreatControls[Threat applies],"Applies"))</f>
        <v/>
      </c>
      <c r="S110" s="49" cm="1">
        <f t="array" ref="S110">IF($A110="","",IF(R110=0,"",INDEX(RISK_SCALE_NAMES,_xlfn.MAXIFS(tblThreatControls[Threat risk score],tblThreatControls[Control ID],$A110))))</f>
        <v/>
      </c>
      <c r="T110" s="49" cm="1">
        <f t="array" ref="T110">IF($A110="","",IF(AND(H110="Applicable",OR(L110="Not assessed",L110=""),R110&gt;0),"Yes","No"))</f>
        <v/>
      </c>
      <c r="U110" s="49" cm="1">
        <f t="array" ref="U110">IF($A110="","",IF(AND(H110="Applicable",OR(L110="Gap",L110="Partial coverage")),INDEX(RISK_SCALE_NAMES,MAX(IFERROR(MATCH(P110,RISK_SCALE_NAMES,0),1),IFERROR(MATCH(S110,RISK_SCALE_NAMES,0),0))),""))</f>
        <v/>
      </c>
      <c r="V110" s="49" cm="1">
        <f t="array" ref="V110">IF($A110="","",_xlfn.TEXTJOIN("; ",TRUE,_xlfn._xlws.FILTER(tblThreatControls[Threat ID],(tblThreatControls[Control ID]=$A110)*(tblThreatControls[Threat applies]="Applies"),"")))</f>
        <v/>
      </c>
    </row>
    <row r="111" ht="45" customHeight="1" s="19">
      <c r="A111" s="49" t="n"/>
      <c r="B111" s="49" t="n"/>
      <c r="C111" s="49" t="n"/>
      <c r="D111" s="50" t="n"/>
      <c r="E111" s="49" t="n"/>
      <c r="F111" s="49" t="n"/>
      <c r="G111" s="49">
        <f>TRUE()</f>
        <v/>
      </c>
      <c r="H111" s="50">
        <f>IF($A111="","",IF(AND(G111,D111&lt;=TARGET_LEVEL_NUM),"Applicable","N/A"))</f>
        <v/>
      </c>
      <c r="I111" s="49" t="n"/>
      <c r="J111" s="49" t="n"/>
      <c r="K111" s="49" t="n"/>
      <c r="L111" s="49" t="n"/>
      <c r="M111" s="49" t="n"/>
      <c r="N111" s="49" t="n"/>
      <c r="O111" s="50" t="n"/>
      <c r="P111" s="50">
        <f>IF($A111="","",IF(H111="N/A","N/A",IFERROR(INDEX(CRIT_MATRIX,MATCH(O111,CRIT_MATRIX_ROWS,0),MATCH(APP_RISK_TIER,CRIT_MATRIX_COLS,0)),"")))</f>
        <v/>
      </c>
      <c r="Q111" s="49" t="n"/>
      <c r="R111" s="49" cm="1">
        <f t="array" ref="R111">IF($A111="","",COUNTIFS(tblThreatControls[Control ID],$A111,tblThreatControls[Threat applies],"Applies"))</f>
        <v/>
      </c>
      <c r="S111" s="49" cm="1">
        <f t="array" ref="S111">IF($A111="","",IF(R111=0,"",INDEX(RISK_SCALE_NAMES,_xlfn.MAXIFS(tblThreatControls[Threat risk score],tblThreatControls[Control ID],$A111))))</f>
        <v/>
      </c>
      <c r="T111" s="49" cm="1">
        <f t="array" ref="T111">IF($A111="","",IF(AND(H111="Applicable",OR(L111="Not assessed",L111=""),R111&gt;0),"Yes","No"))</f>
        <v/>
      </c>
      <c r="U111" s="49" cm="1">
        <f t="array" ref="U111">IF($A111="","",IF(AND(H111="Applicable",OR(L111="Gap",L111="Partial coverage")),INDEX(RISK_SCALE_NAMES,MAX(IFERROR(MATCH(P111,RISK_SCALE_NAMES,0),1),IFERROR(MATCH(S111,RISK_SCALE_NAMES,0),0))),""))</f>
        <v/>
      </c>
      <c r="V111" s="49" cm="1">
        <f t="array" ref="V111">IF($A111="","",_xlfn.TEXTJOIN("; ",TRUE,_xlfn._xlws.FILTER(tblThreatControls[Threat ID],(tblThreatControls[Control ID]=$A111)*(tblThreatControls[Threat applies]="Applies"),"")))</f>
        <v/>
      </c>
    </row>
    <row r="112" ht="45" customHeight="1" s="19">
      <c r="A112" s="49" t="n"/>
      <c r="B112" s="49" t="n"/>
      <c r="C112" s="49" t="n"/>
      <c r="D112" s="50" t="n"/>
      <c r="E112" s="49" t="n"/>
      <c r="F112" s="49" t="n"/>
      <c r="G112" s="49">
        <f>TRUE()</f>
        <v/>
      </c>
      <c r="H112" s="50">
        <f>IF($A112="","",IF(AND(G112,D112&lt;=TARGET_LEVEL_NUM),"Applicable","N/A"))</f>
        <v/>
      </c>
      <c r="I112" s="49" t="n"/>
      <c r="J112" s="49" t="n"/>
      <c r="K112" s="49" t="n"/>
      <c r="L112" s="49" t="n"/>
      <c r="M112" s="49" t="n"/>
      <c r="N112" s="49" t="n"/>
      <c r="O112" s="50" t="n"/>
      <c r="P112" s="50">
        <f>IF($A112="","",IF(H112="N/A","N/A",IFERROR(INDEX(CRIT_MATRIX,MATCH(O112,CRIT_MATRIX_ROWS,0),MATCH(APP_RISK_TIER,CRIT_MATRIX_COLS,0)),"")))</f>
        <v/>
      </c>
      <c r="Q112" s="49" t="n"/>
      <c r="R112" s="49" cm="1">
        <f t="array" ref="R112">IF($A112="","",COUNTIFS(tblThreatControls[Control ID],$A112,tblThreatControls[Threat applies],"Applies"))</f>
        <v/>
      </c>
      <c r="S112" s="49" cm="1">
        <f t="array" ref="S112">IF($A112="","",IF(R112=0,"",INDEX(RISK_SCALE_NAMES,_xlfn.MAXIFS(tblThreatControls[Threat risk score],tblThreatControls[Control ID],$A112))))</f>
        <v/>
      </c>
      <c r="T112" s="49" cm="1">
        <f t="array" ref="T112">IF($A112="","",IF(AND(H112="Applicable",OR(L112="Not assessed",L112=""),R112&gt;0),"Yes","No"))</f>
        <v/>
      </c>
      <c r="U112" s="49" cm="1">
        <f t="array" ref="U112">IF($A112="","",IF(AND(H112="Applicable",OR(L112="Gap",L112="Partial coverage")),INDEX(RISK_SCALE_NAMES,MAX(IFERROR(MATCH(P112,RISK_SCALE_NAMES,0),1),IFERROR(MATCH(S112,RISK_SCALE_NAMES,0),0))),""))</f>
        <v/>
      </c>
      <c r="V112" s="49" cm="1">
        <f t="array" ref="V112">IF($A112="","",_xlfn.TEXTJOIN("; ",TRUE,_xlfn._xlws.FILTER(tblThreatControls[Threat ID],(tblThreatControls[Control ID]=$A112)*(tblThreatControls[Threat applies]="Applies"),"")))</f>
        <v/>
      </c>
    </row>
    <row r="113" ht="45" customHeight="1" s="19">
      <c r="A113" s="49" t="n"/>
      <c r="B113" s="49" t="n"/>
      <c r="C113" s="49" t="n"/>
      <c r="D113" s="50" t="n"/>
      <c r="E113" s="49" t="n"/>
      <c r="F113" s="49" t="n"/>
      <c r="G113" s="49">
        <f>TRUE()</f>
        <v/>
      </c>
      <c r="H113" s="50">
        <f>IF($A113="","",IF(AND(G113,D113&lt;=TARGET_LEVEL_NUM),"Applicable","N/A"))</f>
        <v/>
      </c>
      <c r="I113" s="49" t="n"/>
      <c r="J113" s="49" t="n"/>
      <c r="K113" s="49" t="n"/>
      <c r="L113" s="49" t="n"/>
      <c r="M113" s="49" t="n"/>
      <c r="N113" s="49" t="n"/>
      <c r="O113" s="50" t="n"/>
      <c r="P113" s="50">
        <f>IF($A113="","",IF(H113="N/A","N/A",IFERROR(INDEX(CRIT_MATRIX,MATCH(O113,CRIT_MATRIX_ROWS,0),MATCH(APP_RISK_TIER,CRIT_MATRIX_COLS,0)),"")))</f>
        <v/>
      </c>
      <c r="Q113" s="49" t="n"/>
      <c r="R113" s="49" cm="1">
        <f t="array" ref="R113">IF($A113="","",COUNTIFS(tblThreatControls[Control ID],$A113,tblThreatControls[Threat applies],"Applies"))</f>
        <v/>
      </c>
      <c r="S113" s="49" cm="1">
        <f t="array" ref="S113">IF($A113="","",IF(R113=0,"",INDEX(RISK_SCALE_NAMES,_xlfn.MAXIFS(tblThreatControls[Threat risk score],tblThreatControls[Control ID],$A113))))</f>
        <v/>
      </c>
      <c r="T113" s="49" cm="1">
        <f t="array" ref="T113">IF($A113="","",IF(AND(H113="Applicable",OR(L113="Not assessed",L113=""),R113&gt;0),"Yes","No"))</f>
        <v/>
      </c>
      <c r="U113" s="49" cm="1">
        <f t="array" ref="U113">IF($A113="","",IF(AND(H113="Applicable",OR(L113="Gap",L113="Partial coverage")),INDEX(RISK_SCALE_NAMES,MAX(IFERROR(MATCH(P113,RISK_SCALE_NAMES,0),1),IFERROR(MATCH(S113,RISK_SCALE_NAMES,0),0))),""))</f>
        <v/>
      </c>
      <c r="V113" s="49" cm="1">
        <f t="array" ref="V113">IF($A113="","",_xlfn.TEXTJOIN("; ",TRUE,_xlfn._xlws.FILTER(tblThreatControls[Threat ID],(tblThreatControls[Control ID]=$A113)*(tblThreatControls[Threat applies]="Applies"),"")))</f>
        <v/>
      </c>
    </row>
    <row r="114" ht="45" customHeight="1" s="19">
      <c r="A114" s="49" t="n"/>
      <c r="B114" s="49" t="n"/>
      <c r="C114" s="49" t="n"/>
      <c r="D114" s="50" t="n"/>
      <c r="E114" s="49" t="n"/>
      <c r="F114" s="49" t="n"/>
      <c r="G114" s="49">
        <f>TRUE()</f>
        <v/>
      </c>
      <c r="H114" s="50">
        <f>IF($A114="","",IF(AND(G114,D114&lt;=TARGET_LEVEL_NUM),"Applicable","N/A"))</f>
        <v/>
      </c>
      <c r="I114" s="49" t="n"/>
      <c r="J114" s="49" t="n"/>
      <c r="K114" s="49" t="n"/>
      <c r="L114" s="49" t="n"/>
      <c r="M114" s="49" t="n"/>
      <c r="N114" s="49" t="n"/>
      <c r="O114" s="50" t="n"/>
      <c r="P114" s="50">
        <f>IF($A114="","",IF(H114="N/A","N/A",IFERROR(INDEX(CRIT_MATRIX,MATCH(O114,CRIT_MATRIX_ROWS,0),MATCH(APP_RISK_TIER,CRIT_MATRIX_COLS,0)),"")))</f>
        <v/>
      </c>
      <c r="Q114" s="49" t="n"/>
      <c r="R114" s="49" cm="1">
        <f t="array" ref="R114">IF($A114="","",COUNTIFS(tblThreatControls[Control ID],$A114,tblThreatControls[Threat applies],"Applies"))</f>
        <v/>
      </c>
      <c r="S114" s="49" cm="1">
        <f t="array" ref="S114">IF($A114="","",IF(R114=0,"",INDEX(RISK_SCALE_NAMES,_xlfn.MAXIFS(tblThreatControls[Threat risk score],tblThreatControls[Control ID],$A114))))</f>
        <v/>
      </c>
      <c r="T114" s="49" cm="1">
        <f t="array" ref="T114">IF($A114="","",IF(AND(H114="Applicable",OR(L114="Not assessed",L114=""),R114&gt;0),"Yes","No"))</f>
        <v/>
      </c>
      <c r="U114" s="49" cm="1">
        <f t="array" ref="U114">IF($A114="","",IF(AND(H114="Applicable",OR(L114="Gap",L114="Partial coverage")),INDEX(RISK_SCALE_NAMES,MAX(IFERROR(MATCH(P114,RISK_SCALE_NAMES,0),1),IFERROR(MATCH(S114,RISK_SCALE_NAMES,0),0))),""))</f>
        <v/>
      </c>
      <c r="V114" s="49" cm="1">
        <f t="array" ref="V114">IF($A114="","",_xlfn.TEXTJOIN("; ",TRUE,_xlfn._xlws.FILTER(tblThreatControls[Threat ID],(tblThreatControls[Control ID]=$A114)*(tblThreatControls[Threat applies]="Applies"),"")))</f>
        <v/>
      </c>
    </row>
    <row r="115" ht="45" customHeight="1" s="19">
      <c r="A115" s="49" t="n"/>
      <c r="B115" s="49" t="n"/>
      <c r="C115" s="49" t="n"/>
      <c r="D115" s="50" t="n"/>
      <c r="E115" s="49" t="n"/>
      <c r="F115" s="49" t="n"/>
      <c r="G115" s="49">
        <f>TRUE()</f>
        <v/>
      </c>
      <c r="H115" s="50">
        <f>IF($A115="","",IF(AND(G115,D115&lt;=TARGET_LEVEL_NUM),"Applicable","N/A"))</f>
        <v/>
      </c>
      <c r="I115" s="49" t="n"/>
      <c r="J115" s="49" t="n"/>
      <c r="K115" s="49" t="n"/>
      <c r="L115" s="49" t="n"/>
      <c r="M115" s="49" t="n"/>
      <c r="N115" s="49" t="n"/>
      <c r="O115" s="50" t="n"/>
      <c r="P115" s="50">
        <f>IF($A115="","",IF(H115="N/A","N/A",IFERROR(INDEX(CRIT_MATRIX,MATCH(O115,CRIT_MATRIX_ROWS,0),MATCH(APP_RISK_TIER,CRIT_MATRIX_COLS,0)),"")))</f>
        <v/>
      </c>
      <c r="Q115" s="49" t="n"/>
      <c r="R115" s="49" cm="1">
        <f t="array" ref="R115">IF($A115="","",COUNTIFS(tblThreatControls[Control ID],$A115,tblThreatControls[Threat applies],"Applies"))</f>
        <v/>
      </c>
      <c r="S115" s="49" cm="1">
        <f t="array" ref="S115">IF($A115="","",IF(R115=0,"",INDEX(RISK_SCALE_NAMES,_xlfn.MAXIFS(tblThreatControls[Threat risk score],tblThreatControls[Control ID],$A115))))</f>
        <v/>
      </c>
      <c r="T115" s="49" cm="1">
        <f t="array" ref="T115">IF($A115="","",IF(AND(H115="Applicable",OR(L115="Not assessed",L115=""),R115&gt;0),"Yes","No"))</f>
        <v/>
      </c>
      <c r="U115" s="49" cm="1">
        <f t="array" ref="U115">IF($A115="","",IF(AND(H115="Applicable",OR(L115="Gap",L115="Partial coverage")),INDEX(RISK_SCALE_NAMES,MAX(IFERROR(MATCH(P115,RISK_SCALE_NAMES,0),1),IFERROR(MATCH(S115,RISK_SCALE_NAMES,0),0))),""))</f>
        <v/>
      </c>
      <c r="V115" s="49" cm="1">
        <f t="array" ref="V115">IF($A115="","",_xlfn.TEXTJOIN("; ",TRUE,_xlfn._xlws.FILTER(tblThreatControls[Threat ID],(tblThreatControls[Control ID]=$A115)*(tblThreatControls[Threat applies]="Applies"),"")))</f>
        <v/>
      </c>
    </row>
    <row r="116" ht="45" customHeight="1" s="19">
      <c r="A116" s="49" t="n"/>
      <c r="B116" s="49" t="n"/>
      <c r="C116" s="49" t="n"/>
      <c r="D116" s="50" t="n"/>
      <c r="E116" s="49" t="n"/>
      <c r="F116" s="49" t="n"/>
      <c r="G116" s="49">
        <f>TRUE()</f>
        <v/>
      </c>
      <c r="H116" s="50">
        <f>IF($A116="","",IF(AND(G116,D116&lt;=TARGET_LEVEL_NUM),"Applicable","N/A"))</f>
        <v/>
      </c>
      <c r="I116" s="49" t="n"/>
      <c r="J116" s="49" t="n"/>
      <c r="K116" s="49" t="n"/>
      <c r="L116" s="49" t="n"/>
      <c r="M116" s="49" t="n"/>
      <c r="N116" s="49" t="n"/>
      <c r="O116" s="50" t="n"/>
      <c r="P116" s="50">
        <f>IF($A116="","",IF(H116="N/A","N/A",IFERROR(INDEX(CRIT_MATRIX,MATCH(O116,CRIT_MATRIX_ROWS,0),MATCH(APP_RISK_TIER,CRIT_MATRIX_COLS,0)),"")))</f>
        <v/>
      </c>
      <c r="Q116" s="49" t="n"/>
      <c r="R116" s="49" cm="1">
        <f t="array" ref="R116">IF($A116="","",COUNTIFS(tblThreatControls[Control ID],$A116,tblThreatControls[Threat applies],"Applies"))</f>
        <v/>
      </c>
      <c r="S116" s="49" cm="1">
        <f t="array" ref="S116">IF($A116="","",IF(R116=0,"",INDEX(RISK_SCALE_NAMES,_xlfn.MAXIFS(tblThreatControls[Threat risk score],tblThreatControls[Control ID],$A116))))</f>
        <v/>
      </c>
      <c r="T116" s="49" cm="1">
        <f t="array" ref="T116">IF($A116="","",IF(AND(H116="Applicable",OR(L116="Not assessed",L116=""),R116&gt;0),"Yes","No"))</f>
        <v/>
      </c>
      <c r="U116" s="49" cm="1">
        <f t="array" ref="U116">IF($A116="","",IF(AND(H116="Applicable",OR(L116="Gap",L116="Partial coverage")),INDEX(RISK_SCALE_NAMES,MAX(IFERROR(MATCH(P116,RISK_SCALE_NAMES,0),1),IFERROR(MATCH(S116,RISK_SCALE_NAMES,0),0))),""))</f>
        <v/>
      </c>
      <c r="V116" s="49" cm="1">
        <f t="array" ref="V116">IF($A116="","",_xlfn.TEXTJOIN("; ",TRUE,_xlfn._xlws.FILTER(tblThreatControls[Threat ID],(tblThreatControls[Control ID]=$A116)*(tblThreatControls[Threat applies]="Applies"),"")))</f>
        <v/>
      </c>
    </row>
    <row r="117" ht="45" customHeight="1" s="19">
      <c r="A117" s="49" t="n"/>
      <c r="B117" s="49" t="n"/>
      <c r="C117" s="49" t="n"/>
      <c r="D117" s="50" t="n"/>
      <c r="E117" s="49" t="n"/>
      <c r="F117" s="49" t="n"/>
      <c r="G117" s="49">
        <f>TRUE()</f>
        <v/>
      </c>
      <c r="H117" s="50">
        <f>IF($A117="","",IF(AND(G117,D117&lt;=TARGET_LEVEL_NUM),"Applicable","N/A"))</f>
        <v/>
      </c>
      <c r="I117" s="49" t="n"/>
      <c r="J117" s="49" t="n"/>
      <c r="K117" s="49" t="n"/>
      <c r="L117" s="49" t="n"/>
      <c r="M117" s="49" t="n"/>
      <c r="N117" s="49" t="n"/>
      <c r="O117" s="50" t="n"/>
      <c r="P117" s="50">
        <f>IF($A117="","",IF(H117="N/A","N/A",IFERROR(INDEX(CRIT_MATRIX,MATCH(O117,CRIT_MATRIX_ROWS,0),MATCH(APP_RISK_TIER,CRIT_MATRIX_COLS,0)),"")))</f>
        <v/>
      </c>
      <c r="Q117" s="49" t="n"/>
      <c r="R117" s="49" cm="1">
        <f t="array" ref="R117">IF($A117="","",COUNTIFS(tblThreatControls[Control ID],$A117,tblThreatControls[Threat applies],"Applies"))</f>
        <v/>
      </c>
      <c r="S117" s="49" cm="1">
        <f t="array" ref="S117">IF($A117="","",IF(R117=0,"",INDEX(RISK_SCALE_NAMES,_xlfn.MAXIFS(tblThreatControls[Threat risk score],tblThreatControls[Control ID],$A117))))</f>
        <v/>
      </c>
      <c r="T117" s="49" cm="1">
        <f t="array" ref="T117">IF($A117="","",IF(AND(H117="Applicable",OR(L117="Not assessed",L117=""),R117&gt;0),"Yes","No"))</f>
        <v/>
      </c>
      <c r="U117" s="49" cm="1">
        <f t="array" ref="U117">IF($A117="","",IF(AND(H117="Applicable",OR(L117="Gap",L117="Partial coverage")),INDEX(RISK_SCALE_NAMES,MAX(IFERROR(MATCH(P117,RISK_SCALE_NAMES,0),1),IFERROR(MATCH(S117,RISK_SCALE_NAMES,0),0))),""))</f>
        <v/>
      </c>
      <c r="V117" s="49" cm="1">
        <f t="array" ref="V117">IF($A117="","",_xlfn.TEXTJOIN("; ",TRUE,_xlfn._xlws.FILTER(tblThreatControls[Threat ID],(tblThreatControls[Control ID]=$A117)*(tblThreatControls[Threat applies]="Applies"),"")))</f>
        <v/>
      </c>
    </row>
    <row r="118" ht="45" customHeight="1" s="19">
      <c r="A118" s="49" t="n"/>
      <c r="B118" s="49" t="n"/>
      <c r="C118" s="49" t="n"/>
      <c r="D118" s="50" t="n"/>
      <c r="E118" s="49" t="n"/>
      <c r="F118" s="49" t="n"/>
      <c r="G118" s="49">
        <f>TRUE()</f>
        <v/>
      </c>
      <c r="H118" s="50">
        <f>IF($A118="","",IF(AND(G118,D118&lt;=TARGET_LEVEL_NUM),"Applicable","N/A"))</f>
        <v/>
      </c>
      <c r="I118" s="49" t="n"/>
      <c r="J118" s="49" t="n"/>
      <c r="K118" s="49" t="n"/>
      <c r="L118" s="49" t="n"/>
      <c r="M118" s="49" t="n"/>
      <c r="N118" s="49" t="n"/>
      <c r="O118" s="50" t="n"/>
      <c r="P118" s="50">
        <f>IF($A118="","",IF(H118="N/A","N/A",IFERROR(INDEX(CRIT_MATRIX,MATCH(O118,CRIT_MATRIX_ROWS,0),MATCH(APP_RISK_TIER,CRIT_MATRIX_COLS,0)),"")))</f>
        <v/>
      </c>
      <c r="Q118" s="49" t="n"/>
      <c r="R118" s="49" cm="1">
        <f t="array" ref="R118">IF($A118="","",COUNTIFS(tblThreatControls[Control ID],$A118,tblThreatControls[Threat applies],"Applies"))</f>
        <v/>
      </c>
      <c r="S118" s="49" cm="1">
        <f t="array" ref="S118">IF($A118="","",IF(R118=0,"",INDEX(RISK_SCALE_NAMES,_xlfn.MAXIFS(tblThreatControls[Threat risk score],tblThreatControls[Control ID],$A118))))</f>
        <v/>
      </c>
      <c r="T118" s="49" cm="1">
        <f t="array" ref="T118">IF($A118="","",IF(AND(H118="Applicable",OR(L118="Not assessed",L118=""),R118&gt;0),"Yes","No"))</f>
        <v/>
      </c>
      <c r="U118" s="49" cm="1">
        <f t="array" ref="U118">IF($A118="","",IF(AND(H118="Applicable",OR(L118="Gap",L118="Partial coverage")),INDEX(RISK_SCALE_NAMES,MAX(IFERROR(MATCH(P118,RISK_SCALE_NAMES,0),1),IFERROR(MATCH(S118,RISK_SCALE_NAMES,0),0))),""))</f>
        <v/>
      </c>
      <c r="V118" s="49" cm="1">
        <f t="array" ref="V118">IF($A118="","",_xlfn.TEXTJOIN("; ",TRUE,_xlfn._xlws.FILTER(tblThreatControls[Threat ID],(tblThreatControls[Control ID]=$A118)*(tblThreatControls[Threat applies]="Applies"),"")))</f>
        <v/>
      </c>
    </row>
    <row r="119" ht="45" customHeight="1" s="19">
      <c r="A119" s="49" t="n"/>
      <c r="B119" s="49" t="n"/>
      <c r="C119" s="49" t="n"/>
      <c r="D119" s="50" t="n"/>
      <c r="E119" s="49" t="n"/>
      <c r="F119" s="49" t="n"/>
      <c r="G119" s="49">
        <f>TRUE()</f>
        <v/>
      </c>
      <c r="H119" s="50">
        <f>IF($A119="","",IF(AND(G119,D119&lt;=TARGET_LEVEL_NUM),"Applicable","N/A"))</f>
        <v/>
      </c>
      <c r="I119" s="49" t="n"/>
      <c r="J119" s="49" t="n"/>
      <c r="K119" s="49" t="n"/>
      <c r="L119" s="49" t="n"/>
      <c r="M119" s="49" t="n"/>
      <c r="N119" s="49" t="n"/>
      <c r="O119" s="50" t="n"/>
      <c r="P119" s="50">
        <f>IF($A119="","",IF(H119="N/A","N/A",IFERROR(INDEX(CRIT_MATRIX,MATCH(O119,CRIT_MATRIX_ROWS,0),MATCH(APP_RISK_TIER,CRIT_MATRIX_COLS,0)),"")))</f>
        <v/>
      </c>
      <c r="Q119" s="49" t="n"/>
      <c r="R119" s="49" cm="1">
        <f t="array" ref="R119">IF($A119="","",COUNTIFS(tblThreatControls[Control ID],$A119,tblThreatControls[Threat applies],"Applies"))</f>
        <v/>
      </c>
      <c r="S119" s="49" cm="1">
        <f t="array" ref="S119">IF($A119="","",IF(R119=0,"",INDEX(RISK_SCALE_NAMES,_xlfn.MAXIFS(tblThreatControls[Threat risk score],tblThreatControls[Control ID],$A119))))</f>
        <v/>
      </c>
      <c r="T119" s="49" cm="1">
        <f t="array" ref="T119">IF($A119="","",IF(AND(H119="Applicable",OR(L119="Not assessed",L119=""),R119&gt;0),"Yes","No"))</f>
        <v/>
      </c>
      <c r="U119" s="49" cm="1">
        <f t="array" ref="U119">IF($A119="","",IF(AND(H119="Applicable",OR(L119="Gap",L119="Partial coverage")),INDEX(RISK_SCALE_NAMES,MAX(IFERROR(MATCH(P119,RISK_SCALE_NAMES,0),1),IFERROR(MATCH(S119,RISK_SCALE_NAMES,0),0))),""))</f>
        <v/>
      </c>
      <c r="V119" s="49" cm="1">
        <f t="array" ref="V119">IF($A119="","",_xlfn.TEXTJOIN("; ",TRUE,_xlfn._xlws.FILTER(tblThreatControls[Threat ID],(tblThreatControls[Control ID]=$A119)*(tblThreatControls[Threat applies]="Applies"),"")))</f>
        <v/>
      </c>
    </row>
    <row r="120" ht="45" customHeight="1" s="19">
      <c r="A120" s="49" t="n"/>
      <c r="B120" s="49" t="n"/>
      <c r="C120" s="49" t="n"/>
      <c r="D120" s="50" t="n"/>
      <c r="E120" s="49" t="n"/>
      <c r="F120" s="49" t="n"/>
      <c r="G120" s="49">
        <f>TRUE()</f>
        <v/>
      </c>
      <c r="H120" s="50">
        <f>IF($A120="","",IF(AND(G120,D120&lt;=TARGET_LEVEL_NUM),"Applicable","N/A"))</f>
        <v/>
      </c>
      <c r="I120" s="49" t="n"/>
      <c r="J120" s="49" t="n"/>
      <c r="K120" s="49" t="n"/>
      <c r="L120" s="49" t="n"/>
      <c r="M120" s="49" t="n"/>
      <c r="N120" s="49" t="n"/>
      <c r="O120" s="50" t="n"/>
      <c r="P120" s="50">
        <f>IF($A120="","",IF(H120="N/A","N/A",IFERROR(INDEX(CRIT_MATRIX,MATCH(O120,CRIT_MATRIX_ROWS,0),MATCH(APP_RISK_TIER,CRIT_MATRIX_COLS,0)),"")))</f>
        <v/>
      </c>
      <c r="Q120" s="49" t="n"/>
      <c r="R120" s="49" cm="1">
        <f t="array" ref="R120">IF($A120="","",COUNTIFS(tblThreatControls[Control ID],$A120,tblThreatControls[Threat applies],"Applies"))</f>
        <v/>
      </c>
      <c r="S120" s="49" cm="1">
        <f t="array" ref="S120">IF($A120="","",IF(R120=0,"",INDEX(RISK_SCALE_NAMES,_xlfn.MAXIFS(tblThreatControls[Threat risk score],tblThreatControls[Control ID],$A120))))</f>
        <v/>
      </c>
      <c r="T120" s="49" cm="1">
        <f t="array" ref="T120">IF($A120="","",IF(AND(H120="Applicable",OR(L120="Not assessed",L120=""),R120&gt;0),"Yes","No"))</f>
        <v/>
      </c>
      <c r="U120" s="49" cm="1">
        <f t="array" ref="U120">IF($A120="","",IF(AND(H120="Applicable",OR(L120="Gap",L120="Partial coverage")),INDEX(RISK_SCALE_NAMES,MAX(IFERROR(MATCH(P120,RISK_SCALE_NAMES,0),1),IFERROR(MATCH(S120,RISK_SCALE_NAMES,0),0))),""))</f>
        <v/>
      </c>
      <c r="V120" s="49" cm="1">
        <f t="array" ref="V120">IF($A120="","",_xlfn.TEXTJOIN("; ",TRUE,_xlfn._xlws.FILTER(tblThreatControls[Threat ID],(tblThreatControls[Control ID]=$A120)*(tblThreatControls[Threat applies]="Applies"),"")))</f>
        <v/>
      </c>
    </row>
    <row r="121" ht="45" customHeight="1" s="19">
      <c r="A121" s="49" t="n"/>
      <c r="B121" s="49" t="n"/>
      <c r="C121" s="49" t="n"/>
      <c r="D121" s="50" t="n"/>
      <c r="E121" s="49" t="n"/>
      <c r="F121" s="49" t="n"/>
      <c r="G121" s="49">
        <f>TRUE()</f>
        <v/>
      </c>
      <c r="H121" s="50">
        <f>IF($A121="","",IF(AND(G121,D121&lt;=TARGET_LEVEL_NUM),"Applicable","N/A"))</f>
        <v/>
      </c>
      <c r="I121" s="49" t="n"/>
      <c r="J121" s="49" t="n"/>
      <c r="K121" s="49" t="n"/>
      <c r="L121" s="49" t="n"/>
      <c r="M121" s="49" t="n"/>
      <c r="N121" s="49" t="n"/>
      <c r="O121" s="50" t="n"/>
      <c r="P121" s="50">
        <f>IF($A121="","",IF(H121="N/A","N/A",IFERROR(INDEX(CRIT_MATRIX,MATCH(O121,CRIT_MATRIX_ROWS,0),MATCH(APP_RISK_TIER,CRIT_MATRIX_COLS,0)),"")))</f>
        <v/>
      </c>
      <c r="Q121" s="49" t="n"/>
      <c r="R121" s="49" cm="1">
        <f t="array" ref="R121">IF($A121="","",COUNTIFS(tblThreatControls[Control ID],$A121,tblThreatControls[Threat applies],"Applies"))</f>
        <v/>
      </c>
      <c r="S121" s="49" cm="1">
        <f t="array" ref="S121">IF($A121="","",IF(R121=0,"",INDEX(RISK_SCALE_NAMES,_xlfn.MAXIFS(tblThreatControls[Threat risk score],tblThreatControls[Control ID],$A121))))</f>
        <v/>
      </c>
      <c r="T121" s="49" cm="1">
        <f t="array" ref="T121">IF($A121="","",IF(AND(H121="Applicable",OR(L121="Not assessed",L121=""),R121&gt;0),"Yes","No"))</f>
        <v/>
      </c>
      <c r="U121" s="49" cm="1">
        <f t="array" ref="U121">IF($A121="","",IF(AND(H121="Applicable",OR(L121="Gap",L121="Partial coverage")),INDEX(RISK_SCALE_NAMES,MAX(IFERROR(MATCH(P121,RISK_SCALE_NAMES,0),1),IFERROR(MATCH(S121,RISK_SCALE_NAMES,0),0))),""))</f>
        <v/>
      </c>
      <c r="V121" s="49" cm="1">
        <f t="array" ref="V121">IF($A121="","",_xlfn.TEXTJOIN("; ",TRUE,_xlfn._xlws.FILTER(tblThreatControls[Threat ID],(tblThreatControls[Control ID]=$A121)*(tblThreatControls[Threat applies]="Applies"),"")))</f>
        <v/>
      </c>
    </row>
    <row r="122" ht="45" customHeight="1" s="19">
      <c r="A122" s="49" t="n"/>
      <c r="B122" s="49" t="n"/>
      <c r="C122" s="49" t="n"/>
      <c r="D122" s="50" t="n"/>
      <c r="E122" s="49" t="n"/>
      <c r="F122" s="49" t="n"/>
      <c r="G122" s="49">
        <f>TRUE()</f>
        <v/>
      </c>
      <c r="H122" s="50">
        <f>IF($A122="","",IF(AND(G122,D122&lt;=TARGET_LEVEL_NUM),"Applicable","N/A"))</f>
        <v/>
      </c>
      <c r="I122" s="49" t="n"/>
      <c r="J122" s="49" t="n"/>
      <c r="K122" s="49" t="n"/>
      <c r="L122" s="49" t="n"/>
      <c r="M122" s="49" t="n"/>
      <c r="N122" s="49" t="n"/>
      <c r="O122" s="50" t="n"/>
      <c r="P122" s="50">
        <f>IF($A122="","",IF(H122="N/A","N/A",IFERROR(INDEX(CRIT_MATRIX,MATCH(O122,CRIT_MATRIX_ROWS,0),MATCH(APP_RISK_TIER,CRIT_MATRIX_COLS,0)),"")))</f>
        <v/>
      </c>
      <c r="Q122" s="49" t="n"/>
      <c r="R122" s="49" cm="1">
        <f t="array" ref="R122">IF($A122="","",COUNTIFS(tblThreatControls[Control ID],$A122,tblThreatControls[Threat applies],"Applies"))</f>
        <v/>
      </c>
      <c r="S122" s="49" cm="1">
        <f t="array" ref="S122">IF($A122="","",IF(R122=0,"",INDEX(RISK_SCALE_NAMES,_xlfn.MAXIFS(tblThreatControls[Threat risk score],tblThreatControls[Control ID],$A122))))</f>
        <v/>
      </c>
      <c r="T122" s="49" cm="1">
        <f t="array" ref="T122">IF($A122="","",IF(AND(H122="Applicable",OR(L122="Not assessed",L122=""),R122&gt;0),"Yes","No"))</f>
        <v/>
      </c>
      <c r="U122" s="49" cm="1">
        <f t="array" ref="U122">IF($A122="","",IF(AND(H122="Applicable",OR(L122="Gap",L122="Partial coverage")),INDEX(RISK_SCALE_NAMES,MAX(IFERROR(MATCH(P122,RISK_SCALE_NAMES,0),1),IFERROR(MATCH(S122,RISK_SCALE_NAMES,0),0))),""))</f>
        <v/>
      </c>
      <c r="V122" s="49" cm="1">
        <f t="array" ref="V122">IF($A122="","",_xlfn.TEXTJOIN("; ",TRUE,_xlfn._xlws.FILTER(tblThreatControls[Threat ID],(tblThreatControls[Control ID]=$A122)*(tblThreatControls[Threat applies]="Applies"),"")))</f>
        <v/>
      </c>
    </row>
    <row r="123" ht="45" customHeight="1" s="19">
      <c r="A123" s="49" t="n"/>
      <c r="B123" s="49" t="n"/>
      <c r="C123" s="49" t="n"/>
      <c r="D123" s="50" t="n"/>
      <c r="E123" s="49" t="n"/>
      <c r="F123" s="49" t="n"/>
      <c r="G123" s="49">
        <f>TRUE()</f>
        <v/>
      </c>
      <c r="H123" s="50">
        <f>IF($A123="","",IF(AND(G123,D123&lt;=TARGET_LEVEL_NUM),"Applicable","N/A"))</f>
        <v/>
      </c>
      <c r="I123" s="49" t="n"/>
      <c r="J123" s="49" t="n"/>
      <c r="K123" s="49" t="n"/>
      <c r="L123" s="49" t="n"/>
      <c r="M123" s="49" t="n"/>
      <c r="N123" s="49" t="n"/>
      <c r="O123" s="50" t="n"/>
      <c r="P123" s="50">
        <f>IF($A123="","",IF(H123="N/A","N/A",IFERROR(INDEX(CRIT_MATRIX,MATCH(O123,CRIT_MATRIX_ROWS,0),MATCH(APP_RISK_TIER,CRIT_MATRIX_COLS,0)),"")))</f>
        <v/>
      </c>
      <c r="Q123" s="49" t="n"/>
      <c r="R123" s="49" cm="1">
        <f t="array" ref="R123">IF($A123="","",COUNTIFS(tblThreatControls[Control ID],$A123,tblThreatControls[Threat applies],"Applies"))</f>
        <v/>
      </c>
      <c r="S123" s="49" cm="1">
        <f t="array" ref="S123">IF($A123="","",IF(R123=0,"",INDEX(RISK_SCALE_NAMES,_xlfn.MAXIFS(tblThreatControls[Threat risk score],tblThreatControls[Control ID],$A123))))</f>
        <v/>
      </c>
      <c r="T123" s="49" cm="1">
        <f t="array" ref="T123">IF($A123="","",IF(AND(H123="Applicable",OR(L123="Not assessed",L123=""),R123&gt;0),"Yes","No"))</f>
        <v/>
      </c>
      <c r="U123" s="49" cm="1">
        <f t="array" ref="U123">IF($A123="","",IF(AND(H123="Applicable",OR(L123="Gap",L123="Partial coverage")),INDEX(RISK_SCALE_NAMES,MAX(IFERROR(MATCH(P123,RISK_SCALE_NAMES,0),1),IFERROR(MATCH(S123,RISK_SCALE_NAMES,0),0))),""))</f>
        <v/>
      </c>
      <c r="V123" s="49" cm="1">
        <f t="array" ref="V123">IF($A123="","",_xlfn.TEXTJOIN("; ",TRUE,_xlfn._xlws.FILTER(tblThreatControls[Threat ID],(tblThreatControls[Control ID]=$A123)*(tblThreatControls[Threat applies]="Applies"),"")))</f>
        <v/>
      </c>
    </row>
    <row r="124" ht="45" customHeight="1" s="19">
      <c r="A124" s="49" t="n"/>
      <c r="B124" s="49" t="n"/>
      <c r="C124" s="49" t="n"/>
      <c r="D124" s="50" t="n"/>
      <c r="E124" s="49" t="n"/>
      <c r="F124" s="49" t="n"/>
      <c r="G124" s="49">
        <f>TRUE()</f>
        <v/>
      </c>
      <c r="H124" s="50">
        <f>IF($A124="","",IF(AND(G124,D124&lt;=TARGET_LEVEL_NUM),"Applicable","N/A"))</f>
        <v/>
      </c>
      <c r="I124" s="49" t="n"/>
      <c r="J124" s="49" t="n"/>
      <c r="K124" s="49" t="n"/>
      <c r="L124" s="49" t="n"/>
      <c r="M124" s="49" t="n"/>
      <c r="N124" s="49" t="n"/>
      <c r="O124" s="50" t="n"/>
      <c r="P124" s="50">
        <f>IF($A124="","",IF(H124="N/A","N/A",IFERROR(INDEX(CRIT_MATRIX,MATCH(O124,CRIT_MATRIX_ROWS,0),MATCH(APP_RISK_TIER,CRIT_MATRIX_COLS,0)),"")))</f>
        <v/>
      </c>
      <c r="Q124" s="49" t="n"/>
      <c r="R124" s="49" cm="1">
        <f t="array" ref="R124">IF($A124="","",COUNTIFS(tblThreatControls[Control ID],$A124,tblThreatControls[Threat applies],"Applies"))</f>
        <v/>
      </c>
      <c r="S124" s="49" cm="1">
        <f t="array" ref="S124">IF($A124="","",IF(R124=0,"",INDEX(RISK_SCALE_NAMES,_xlfn.MAXIFS(tblThreatControls[Threat risk score],tblThreatControls[Control ID],$A124))))</f>
        <v/>
      </c>
      <c r="T124" s="49" cm="1">
        <f t="array" ref="T124">IF($A124="","",IF(AND(H124="Applicable",OR(L124="Not assessed",L124=""),R124&gt;0),"Yes","No"))</f>
        <v/>
      </c>
      <c r="U124" s="49" cm="1">
        <f t="array" ref="U124">IF($A124="","",IF(AND(H124="Applicable",OR(L124="Gap",L124="Partial coverage")),INDEX(RISK_SCALE_NAMES,MAX(IFERROR(MATCH(P124,RISK_SCALE_NAMES,0),1),IFERROR(MATCH(S124,RISK_SCALE_NAMES,0),0))),""))</f>
        <v/>
      </c>
      <c r="V124" s="49" cm="1">
        <f t="array" ref="V124">IF($A124="","",_xlfn.TEXTJOIN("; ",TRUE,_xlfn._xlws.FILTER(tblThreatControls[Threat ID],(tblThreatControls[Control ID]=$A124)*(tblThreatControls[Threat applies]="Applies"),"")))</f>
        <v/>
      </c>
    </row>
    <row r="125" ht="45" customHeight="1" s="19">
      <c r="A125" s="49" t="n"/>
      <c r="B125" s="49" t="n"/>
      <c r="C125" s="49" t="n"/>
      <c r="D125" s="50" t="n"/>
      <c r="E125" s="49" t="n"/>
      <c r="F125" s="49" t="n"/>
      <c r="G125" s="49">
        <f>TRUE()</f>
        <v/>
      </c>
      <c r="H125" s="50">
        <f>IF($A125="","",IF(AND(G125,D125&lt;=TARGET_LEVEL_NUM),"Applicable","N/A"))</f>
        <v/>
      </c>
      <c r="I125" s="49" t="n"/>
      <c r="J125" s="49" t="n"/>
      <c r="K125" s="49" t="n"/>
      <c r="L125" s="49" t="n"/>
      <c r="M125" s="49" t="n"/>
      <c r="N125" s="49" t="n"/>
      <c r="O125" s="50" t="n"/>
      <c r="P125" s="50">
        <f>IF($A125="","",IF(H125="N/A","N/A",IFERROR(INDEX(CRIT_MATRIX,MATCH(O125,CRIT_MATRIX_ROWS,0),MATCH(APP_RISK_TIER,CRIT_MATRIX_COLS,0)),"")))</f>
        <v/>
      </c>
      <c r="Q125" s="49" t="n"/>
      <c r="R125" s="49" cm="1">
        <f t="array" ref="R125">IF($A125="","",COUNTIFS(tblThreatControls[Control ID],$A125,tblThreatControls[Threat applies],"Applies"))</f>
        <v/>
      </c>
      <c r="S125" s="49" cm="1">
        <f t="array" ref="S125">IF($A125="","",IF(R125=0,"",INDEX(RISK_SCALE_NAMES,_xlfn.MAXIFS(tblThreatControls[Threat risk score],tblThreatControls[Control ID],$A125))))</f>
        <v/>
      </c>
      <c r="T125" s="49" cm="1">
        <f t="array" ref="T125">IF($A125="","",IF(AND(H125="Applicable",OR(L125="Not assessed",L125=""),R125&gt;0),"Yes","No"))</f>
        <v/>
      </c>
      <c r="U125" s="49" cm="1">
        <f t="array" ref="U125">IF($A125="","",IF(AND(H125="Applicable",OR(L125="Gap",L125="Partial coverage")),INDEX(RISK_SCALE_NAMES,MAX(IFERROR(MATCH(P125,RISK_SCALE_NAMES,0),1),IFERROR(MATCH(S125,RISK_SCALE_NAMES,0),0))),""))</f>
        <v/>
      </c>
      <c r="V125" s="49" cm="1">
        <f t="array" ref="V125">IF($A125="","",_xlfn.TEXTJOIN("; ",TRUE,_xlfn._xlws.FILTER(tblThreatControls[Threat ID],(tblThreatControls[Control ID]=$A125)*(tblThreatControls[Threat applies]="Applies"),"")))</f>
        <v/>
      </c>
    </row>
    <row r="126" ht="45" customHeight="1" s="19">
      <c r="A126" s="49" t="n"/>
      <c r="B126" s="49" t="n"/>
      <c r="C126" s="49" t="n"/>
      <c r="D126" s="50" t="n"/>
      <c r="E126" s="49" t="n"/>
      <c r="F126" s="49" t="n"/>
      <c r="G126" s="49">
        <f>TRUE()</f>
        <v/>
      </c>
      <c r="H126" s="50">
        <f>IF($A126="","",IF(AND(G126,D126&lt;=TARGET_LEVEL_NUM),"Applicable","N/A"))</f>
        <v/>
      </c>
      <c r="I126" s="49" t="n"/>
      <c r="J126" s="49" t="n"/>
      <c r="K126" s="49" t="n"/>
      <c r="L126" s="49" t="n"/>
      <c r="M126" s="49" t="n"/>
      <c r="N126" s="49" t="n"/>
      <c r="O126" s="50" t="n"/>
      <c r="P126" s="50">
        <f>IF($A126="","",IF(H126="N/A","N/A",IFERROR(INDEX(CRIT_MATRIX,MATCH(O126,CRIT_MATRIX_ROWS,0),MATCH(APP_RISK_TIER,CRIT_MATRIX_COLS,0)),"")))</f>
        <v/>
      </c>
      <c r="Q126" s="49" t="n"/>
      <c r="R126" s="49" cm="1">
        <f t="array" ref="R126">IF($A126="","",COUNTIFS(tblThreatControls[Control ID],$A126,tblThreatControls[Threat applies],"Applies"))</f>
        <v/>
      </c>
      <c r="S126" s="49" cm="1">
        <f t="array" ref="S126">IF($A126="","",IF(R126=0,"",INDEX(RISK_SCALE_NAMES,_xlfn.MAXIFS(tblThreatControls[Threat risk score],tblThreatControls[Control ID],$A126))))</f>
        <v/>
      </c>
      <c r="T126" s="49" cm="1">
        <f t="array" ref="T126">IF($A126="","",IF(AND(H126="Applicable",OR(L126="Not assessed",L126=""),R126&gt;0),"Yes","No"))</f>
        <v/>
      </c>
      <c r="U126" s="49" cm="1">
        <f t="array" ref="U126">IF($A126="","",IF(AND(H126="Applicable",OR(L126="Gap",L126="Partial coverage")),INDEX(RISK_SCALE_NAMES,MAX(IFERROR(MATCH(P126,RISK_SCALE_NAMES,0),1),IFERROR(MATCH(S126,RISK_SCALE_NAMES,0),0))),""))</f>
        <v/>
      </c>
      <c r="V126" s="49" cm="1">
        <f t="array" ref="V126">IF($A126="","",_xlfn.TEXTJOIN("; ",TRUE,_xlfn._xlws.FILTER(tblThreatControls[Threat ID],(tblThreatControls[Control ID]=$A126)*(tblThreatControls[Threat applies]="Applies"),"")))</f>
        <v/>
      </c>
    </row>
    <row r="127" ht="45" customHeight="1" s="19">
      <c r="A127" s="49" t="n"/>
      <c r="B127" s="49" t="n"/>
      <c r="C127" s="49" t="n"/>
      <c r="D127" s="50" t="n"/>
      <c r="E127" s="49" t="n"/>
      <c r="F127" s="49" t="n"/>
      <c r="G127" s="49">
        <f>TRUE()</f>
        <v/>
      </c>
      <c r="H127" s="50">
        <f>IF($A127="","",IF(AND(G127,D127&lt;=TARGET_LEVEL_NUM),"Applicable","N/A"))</f>
        <v/>
      </c>
      <c r="I127" s="49" t="n"/>
      <c r="J127" s="49" t="n"/>
      <c r="K127" s="49" t="n"/>
      <c r="L127" s="49" t="n"/>
      <c r="M127" s="49" t="n"/>
      <c r="N127" s="49" t="n"/>
      <c r="O127" s="50" t="n"/>
      <c r="P127" s="50">
        <f>IF($A127="","",IF(H127="N/A","N/A",IFERROR(INDEX(CRIT_MATRIX,MATCH(O127,CRIT_MATRIX_ROWS,0),MATCH(APP_RISK_TIER,CRIT_MATRIX_COLS,0)),"")))</f>
        <v/>
      </c>
      <c r="Q127" s="49" t="n"/>
      <c r="R127" s="49" cm="1">
        <f t="array" ref="R127">IF($A127="","",COUNTIFS(tblThreatControls[Control ID],$A127,tblThreatControls[Threat applies],"Applies"))</f>
        <v/>
      </c>
      <c r="S127" s="49" cm="1">
        <f t="array" ref="S127">IF($A127="","",IF(R127=0,"",INDEX(RISK_SCALE_NAMES,_xlfn.MAXIFS(tblThreatControls[Threat risk score],tblThreatControls[Control ID],$A127))))</f>
        <v/>
      </c>
      <c r="T127" s="49" cm="1">
        <f t="array" ref="T127">IF($A127="","",IF(AND(H127="Applicable",OR(L127="Not assessed",L127=""),R127&gt;0),"Yes","No"))</f>
        <v/>
      </c>
      <c r="U127" s="49" cm="1">
        <f t="array" ref="U127">IF($A127="","",IF(AND(H127="Applicable",OR(L127="Gap",L127="Partial coverage")),INDEX(RISK_SCALE_NAMES,MAX(IFERROR(MATCH(P127,RISK_SCALE_NAMES,0),1),IFERROR(MATCH(S127,RISK_SCALE_NAMES,0),0))),""))</f>
        <v/>
      </c>
      <c r="V127" s="49" cm="1">
        <f t="array" ref="V127">IF($A127="","",_xlfn.TEXTJOIN("; ",TRUE,_xlfn._xlws.FILTER(tblThreatControls[Threat ID],(tblThreatControls[Control ID]=$A127)*(tblThreatControls[Threat applies]="Applies"),"")))</f>
        <v/>
      </c>
    </row>
    <row r="128" ht="45" customHeight="1" s="19">
      <c r="A128" s="49" t="n"/>
      <c r="B128" s="49" t="n"/>
      <c r="C128" s="49" t="n"/>
      <c r="D128" s="50" t="n"/>
      <c r="E128" s="49" t="n"/>
      <c r="F128" s="49" t="n"/>
      <c r="G128" s="49">
        <f>TRUE()</f>
        <v/>
      </c>
      <c r="H128" s="50">
        <f>IF($A128="","",IF(AND(G128,D128&lt;=TARGET_LEVEL_NUM),"Applicable","N/A"))</f>
        <v/>
      </c>
      <c r="I128" s="49" t="n"/>
      <c r="J128" s="49" t="n"/>
      <c r="K128" s="49" t="n"/>
      <c r="L128" s="49" t="n"/>
      <c r="M128" s="49" t="n"/>
      <c r="N128" s="49" t="n"/>
      <c r="O128" s="50" t="n"/>
      <c r="P128" s="50">
        <f>IF($A128="","",IF(H128="N/A","N/A",IFERROR(INDEX(CRIT_MATRIX,MATCH(O128,CRIT_MATRIX_ROWS,0),MATCH(APP_RISK_TIER,CRIT_MATRIX_COLS,0)),"")))</f>
        <v/>
      </c>
      <c r="Q128" s="49" t="n"/>
      <c r="R128" s="49" cm="1">
        <f t="array" ref="R128">IF($A128="","",COUNTIFS(tblThreatControls[Control ID],$A128,tblThreatControls[Threat applies],"Applies"))</f>
        <v/>
      </c>
      <c r="S128" s="49" cm="1">
        <f t="array" ref="S128">IF($A128="","",IF(R128=0,"",INDEX(RISK_SCALE_NAMES,_xlfn.MAXIFS(tblThreatControls[Threat risk score],tblThreatControls[Control ID],$A128))))</f>
        <v/>
      </c>
      <c r="T128" s="49" cm="1">
        <f t="array" ref="T128">IF($A128="","",IF(AND(H128="Applicable",OR(L128="Not assessed",L128=""),R128&gt;0),"Yes","No"))</f>
        <v/>
      </c>
      <c r="U128" s="49" cm="1">
        <f t="array" ref="U128">IF($A128="","",IF(AND(H128="Applicable",OR(L128="Gap",L128="Partial coverage")),INDEX(RISK_SCALE_NAMES,MAX(IFERROR(MATCH(P128,RISK_SCALE_NAMES,0),1),IFERROR(MATCH(S128,RISK_SCALE_NAMES,0),0))),""))</f>
        <v/>
      </c>
      <c r="V128" s="49" cm="1">
        <f t="array" ref="V128">IF($A128="","",_xlfn.TEXTJOIN("; ",TRUE,_xlfn._xlws.FILTER(tblThreatControls[Threat ID],(tblThreatControls[Control ID]=$A128)*(tblThreatControls[Threat applies]="Applies"),"")))</f>
        <v/>
      </c>
    </row>
    <row r="129" ht="45" customHeight="1" s="19">
      <c r="A129" s="49" t="n"/>
      <c r="B129" s="49" t="n"/>
      <c r="C129" s="49" t="n"/>
      <c r="D129" s="50" t="n"/>
      <c r="E129" s="49" t="n"/>
      <c r="F129" s="49" t="n"/>
      <c r="G129" s="49">
        <f>TRUE()</f>
        <v/>
      </c>
      <c r="H129" s="50">
        <f>IF($A129="","",IF(AND(G129,D129&lt;=TARGET_LEVEL_NUM),"Applicable","N/A"))</f>
        <v/>
      </c>
      <c r="I129" s="49" t="n"/>
      <c r="J129" s="49" t="n"/>
      <c r="K129" s="49" t="n"/>
      <c r="L129" s="49" t="n"/>
      <c r="M129" s="49" t="n"/>
      <c r="N129" s="49" t="n"/>
      <c r="O129" s="50" t="n"/>
      <c r="P129" s="50">
        <f>IF($A129="","",IF(H129="N/A","N/A",IFERROR(INDEX(CRIT_MATRIX,MATCH(O129,CRIT_MATRIX_ROWS,0),MATCH(APP_RISK_TIER,CRIT_MATRIX_COLS,0)),"")))</f>
        <v/>
      </c>
      <c r="Q129" s="49" t="n"/>
      <c r="R129" s="49" cm="1">
        <f t="array" ref="R129">IF($A129="","",COUNTIFS(tblThreatControls[Control ID],$A129,tblThreatControls[Threat applies],"Applies"))</f>
        <v/>
      </c>
      <c r="S129" s="49" cm="1">
        <f t="array" ref="S129">IF($A129="","",IF(R129=0,"",INDEX(RISK_SCALE_NAMES,_xlfn.MAXIFS(tblThreatControls[Threat risk score],tblThreatControls[Control ID],$A129))))</f>
        <v/>
      </c>
      <c r="T129" s="49" cm="1">
        <f t="array" ref="T129">IF($A129="","",IF(AND(H129="Applicable",OR(L129="Not assessed",L129=""),R129&gt;0),"Yes","No"))</f>
        <v/>
      </c>
      <c r="U129" s="49" cm="1">
        <f t="array" ref="U129">IF($A129="","",IF(AND(H129="Applicable",OR(L129="Gap",L129="Partial coverage")),INDEX(RISK_SCALE_NAMES,MAX(IFERROR(MATCH(P129,RISK_SCALE_NAMES,0),1),IFERROR(MATCH(S129,RISK_SCALE_NAMES,0),0))),""))</f>
        <v/>
      </c>
      <c r="V129" s="49" cm="1">
        <f t="array" ref="V129">IF($A129="","",_xlfn.TEXTJOIN("; ",TRUE,_xlfn._xlws.FILTER(tblThreatControls[Threat ID],(tblThreatControls[Control ID]=$A129)*(tblThreatControls[Threat applies]="Applies"),"")))</f>
        <v/>
      </c>
    </row>
    <row r="130" ht="45" customHeight="1" s="19">
      <c r="A130" s="49" t="n"/>
      <c r="B130" s="49" t="n"/>
      <c r="C130" s="49" t="n"/>
      <c r="D130" s="50" t="n"/>
      <c r="E130" s="49" t="n"/>
      <c r="F130" s="49" t="n"/>
      <c r="G130" s="49">
        <f>TRUE()</f>
        <v/>
      </c>
      <c r="H130" s="50">
        <f>IF($A130="","",IF(AND(G130,D130&lt;=TARGET_LEVEL_NUM),"Applicable","N/A"))</f>
        <v/>
      </c>
      <c r="I130" s="49" t="n"/>
      <c r="J130" s="49" t="n"/>
      <c r="K130" s="49" t="n"/>
      <c r="L130" s="49" t="n"/>
      <c r="M130" s="49" t="n"/>
      <c r="N130" s="49" t="n"/>
      <c r="O130" s="50" t="n"/>
      <c r="P130" s="50">
        <f>IF($A130="","",IF(H130="N/A","N/A",IFERROR(INDEX(CRIT_MATRIX,MATCH(O130,CRIT_MATRIX_ROWS,0),MATCH(APP_RISK_TIER,CRIT_MATRIX_COLS,0)),"")))</f>
        <v/>
      </c>
      <c r="Q130" s="49" t="n"/>
      <c r="R130" s="49" cm="1">
        <f t="array" ref="R130">IF($A130="","",COUNTIFS(tblThreatControls[Control ID],$A130,tblThreatControls[Threat applies],"Applies"))</f>
        <v/>
      </c>
      <c r="S130" s="49" cm="1">
        <f t="array" ref="S130">IF($A130="","",IF(R130=0,"",INDEX(RISK_SCALE_NAMES,_xlfn.MAXIFS(tblThreatControls[Threat risk score],tblThreatControls[Control ID],$A130))))</f>
        <v/>
      </c>
      <c r="T130" s="49" cm="1">
        <f t="array" ref="T130">IF($A130="","",IF(AND(H130="Applicable",OR(L130="Not assessed",L130=""),R130&gt;0),"Yes","No"))</f>
        <v/>
      </c>
      <c r="U130" s="49" cm="1">
        <f t="array" ref="U130">IF($A130="","",IF(AND(H130="Applicable",OR(L130="Gap",L130="Partial coverage")),INDEX(RISK_SCALE_NAMES,MAX(IFERROR(MATCH(P130,RISK_SCALE_NAMES,0),1),IFERROR(MATCH(S130,RISK_SCALE_NAMES,0),0))),""))</f>
        <v/>
      </c>
      <c r="V130" s="49" cm="1">
        <f t="array" ref="V130">IF($A130="","",_xlfn.TEXTJOIN("; ",TRUE,_xlfn._xlws.FILTER(tblThreatControls[Threat ID],(tblThreatControls[Control ID]=$A130)*(tblThreatControls[Threat applies]="Applies"),"")))</f>
        <v/>
      </c>
    </row>
    <row r="131" ht="45" customHeight="1" s="19">
      <c r="A131" s="49" t="n"/>
      <c r="B131" s="49" t="n"/>
      <c r="C131" s="49" t="n"/>
      <c r="D131" s="50" t="n"/>
      <c r="E131" s="49" t="n"/>
      <c r="F131" s="49" t="n"/>
      <c r="G131" s="49">
        <f>TRUE()</f>
        <v/>
      </c>
      <c r="H131" s="50">
        <f>IF($A131="","",IF(AND(G131,D131&lt;=TARGET_LEVEL_NUM),"Applicable","N/A"))</f>
        <v/>
      </c>
      <c r="I131" s="49" t="n"/>
      <c r="J131" s="49" t="n"/>
      <c r="K131" s="49" t="n"/>
      <c r="L131" s="49" t="n"/>
      <c r="M131" s="49" t="n"/>
      <c r="N131" s="49" t="n"/>
      <c r="O131" s="50" t="n"/>
      <c r="P131" s="50">
        <f>IF($A131="","",IF(H131="N/A","N/A",IFERROR(INDEX(CRIT_MATRIX,MATCH(O131,CRIT_MATRIX_ROWS,0),MATCH(APP_RISK_TIER,CRIT_MATRIX_COLS,0)),"")))</f>
        <v/>
      </c>
      <c r="Q131" s="49" t="n"/>
      <c r="R131" s="49" cm="1">
        <f t="array" ref="R131">IF($A131="","",COUNTIFS(tblThreatControls[Control ID],$A131,tblThreatControls[Threat applies],"Applies"))</f>
        <v/>
      </c>
      <c r="S131" s="49" cm="1">
        <f t="array" ref="S131">IF($A131="","",IF(R131=0,"",INDEX(RISK_SCALE_NAMES,_xlfn.MAXIFS(tblThreatControls[Threat risk score],tblThreatControls[Control ID],$A131))))</f>
        <v/>
      </c>
      <c r="T131" s="49" cm="1">
        <f t="array" ref="T131">IF($A131="","",IF(AND(H131="Applicable",OR(L131="Not assessed",L131=""),R131&gt;0),"Yes","No"))</f>
        <v/>
      </c>
      <c r="U131" s="49" cm="1">
        <f t="array" ref="U131">IF($A131="","",IF(AND(H131="Applicable",OR(L131="Gap",L131="Partial coverage")),INDEX(RISK_SCALE_NAMES,MAX(IFERROR(MATCH(P131,RISK_SCALE_NAMES,0),1),IFERROR(MATCH(S131,RISK_SCALE_NAMES,0),0))),""))</f>
        <v/>
      </c>
      <c r="V131" s="49" cm="1">
        <f t="array" ref="V131">IF($A131="","",_xlfn.TEXTJOIN("; ",TRUE,_xlfn._xlws.FILTER(tblThreatControls[Threat ID],(tblThreatControls[Control ID]=$A131)*(tblThreatControls[Threat applies]="Applies"),"")))</f>
        <v/>
      </c>
    </row>
    <row r="132" ht="45" customHeight="1" s="19">
      <c r="A132" s="49" t="n"/>
      <c r="B132" s="49" t="n"/>
      <c r="C132" s="49" t="n"/>
      <c r="D132" s="50" t="n"/>
      <c r="E132" s="49" t="n"/>
      <c r="F132" s="49" t="n"/>
      <c r="G132" s="49">
        <f>TRUE()</f>
        <v/>
      </c>
      <c r="H132" s="50">
        <f>IF($A132="","",IF(AND(G132,D132&lt;=TARGET_LEVEL_NUM),"Applicable","N/A"))</f>
        <v/>
      </c>
      <c r="I132" s="49" t="n"/>
      <c r="J132" s="49" t="n"/>
      <c r="K132" s="49" t="n"/>
      <c r="L132" s="49" t="n"/>
      <c r="M132" s="49" t="n"/>
      <c r="N132" s="49" t="n"/>
      <c r="O132" s="50" t="n"/>
      <c r="P132" s="50">
        <f>IF($A132="","",IF(H132="N/A","N/A",IFERROR(INDEX(CRIT_MATRIX,MATCH(O132,CRIT_MATRIX_ROWS,0),MATCH(APP_RISK_TIER,CRIT_MATRIX_COLS,0)),"")))</f>
        <v/>
      </c>
      <c r="Q132" s="49" t="n"/>
      <c r="R132" s="49" cm="1">
        <f t="array" ref="R132">IF($A132="","",COUNTIFS(tblThreatControls[Control ID],$A132,tblThreatControls[Threat applies],"Applies"))</f>
        <v/>
      </c>
      <c r="S132" s="49" cm="1">
        <f t="array" ref="S132">IF($A132="","",IF(R132=0,"",INDEX(RISK_SCALE_NAMES,_xlfn.MAXIFS(tblThreatControls[Threat risk score],tblThreatControls[Control ID],$A132))))</f>
        <v/>
      </c>
      <c r="T132" s="49" cm="1">
        <f t="array" ref="T132">IF($A132="","",IF(AND(H132="Applicable",OR(L132="Not assessed",L132=""),R132&gt;0),"Yes","No"))</f>
        <v/>
      </c>
      <c r="U132" s="49" cm="1">
        <f t="array" ref="U132">IF($A132="","",IF(AND(H132="Applicable",OR(L132="Gap",L132="Partial coverage")),INDEX(RISK_SCALE_NAMES,MAX(IFERROR(MATCH(P132,RISK_SCALE_NAMES,0),1),IFERROR(MATCH(S132,RISK_SCALE_NAMES,0),0))),""))</f>
        <v/>
      </c>
      <c r="V132" s="49" cm="1">
        <f t="array" ref="V132">IF($A132="","",_xlfn.TEXTJOIN("; ",TRUE,_xlfn._xlws.FILTER(tblThreatControls[Threat ID],(tblThreatControls[Control ID]=$A132)*(tblThreatControls[Threat applies]="Applies"),"")))</f>
        <v/>
      </c>
    </row>
    <row r="133" ht="45" customHeight="1" s="19">
      <c r="A133" s="49" t="n"/>
      <c r="B133" s="49" t="n"/>
      <c r="C133" s="49" t="n"/>
      <c r="D133" s="50" t="n"/>
      <c r="E133" s="49" t="n"/>
      <c r="F133" s="49" t="n"/>
      <c r="G133" s="49">
        <f>TRUE()</f>
        <v/>
      </c>
      <c r="H133" s="50">
        <f>IF($A133="","",IF(AND(G133,D133&lt;=TARGET_LEVEL_NUM),"Applicable","N/A"))</f>
        <v/>
      </c>
      <c r="I133" s="49" t="n"/>
      <c r="J133" s="49" t="n"/>
      <c r="K133" s="49" t="n"/>
      <c r="L133" s="49" t="n"/>
      <c r="M133" s="49" t="n"/>
      <c r="N133" s="49" t="n"/>
      <c r="O133" s="50" t="n"/>
      <c r="P133" s="50">
        <f>IF($A133="","",IF(H133="N/A","N/A",IFERROR(INDEX(CRIT_MATRIX,MATCH(O133,CRIT_MATRIX_ROWS,0),MATCH(APP_RISK_TIER,CRIT_MATRIX_COLS,0)),"")))</f>
        <v/>
      </c>
      <c r="Q133" s="49" t="n"/>
      <c r="R133" s="49" cm="1">
        <f t="array" ref="R133">IF($A133="","",COUNTIFS(tblThreatControls[Control ID],$A133,tblThreatControls[Threat applies],"Applies"))</f>
        <v/>
      </c>
      <c r="S133" s="49" cm="1">
        <f t="array" ref="S133">IF($A133="","",IF(R133=0,"",INDEX(RISK_SCALE_NAMES,_xlfn.MAXIFS(tblThreatControls[Threat risk score],tblThreatControls[Control ID],$A133))))</f>
        <v/>
      </c>
      <c r="T133" s="49" cm="1">
        <f t="array" ref="T133">IF($A133="","",IF(AND(H133="Applicable",OR(L133="Not assessed",L133=""),R133&gt;0),"Yes","No"))</f>
        <v/>
      </c>
      <c r="U133" s="49" cm="1">
        <f t="array" ref="U133">IF($A133="","",IF(AND(H133="Applicable",OR(L133="Gap",L133="Partial coverage")),INDEX(RISK_SCALE_NAMES,MAX(IFERROR(MATCH(P133,RISK_SCALE_NAMES,0),1),IFERROR(MATCH(S133,RISK_SCALE_NAMES,0),0))),""))</f>
        <v/>
      </c>
      <c r="V133" s="49" cm="1">
        <f t="array" ref="V133">IF($A133="","",_xlfn.TEXTJOIN("; ",TRUE,_xlfn._xlws.FILTER(tblThreatControls[Threat ID],(tblThreatControls[Control ID]=$A133)*(tblThreatControls[Threat applies]="Applies"),"")))</f>
        <v/>
      </c>
    </row>
    <row r="134" ht="45" customHeight="1" s="19">
      <c r="A134" s="49" t="n"/>
      <c r="B134" s="49" t="n"/>
      <c r="C134" s="49" t="n"/>
      <c r="D134" s="50" t="n"/>
      <c r="E134" s="49" t="n"/>
      <c r="F134" s="49" t="n"/>
      <c r="G134" s="49">
        <f>TRUE()</f>
        <v/>
      </c>
      <c r="H134" s="50">
        <f>IF($A134="","",IF(AND(G134,D134&lt;=TARGET_LEVEL_NUM),"Applicable","N/A"))</f>
        <v/>
      </c>
      <c r="I134" s="49" t="n"/>
      <c r="J134" s="49" t="n"/>
      <c r="K134" s="49" t="n"/>
      <c r="L134" s="49" t="n"/>
      <c r="M134" s="49" t="n"/>
      <c r="N134" s="49" t="n"/>
      <c r="O134" s="50" t="n"/>
      <c r="P134" s="50">
        <f>IF($A134="","",IF(H134="N/A","N/A",IFERROR(INDEX(CRIT_MATRIX,MATCH(O134,CRIT_MATRIX_ROWS,0),MATCH(APP_RISK_TIER,CRIT_MATRIX_COLS,0)),"")))</f>
        <v/>
      </c>
      <c r="Q134" s="49" t="n"/>
      <c r="R134" s="49" cm="1">
        <f t="array" ref="R134">IF($A134="","",COUNTIFS(tblThreatControls[Control ID],$A134,tblThreatControls[Threat applies],"Applies"))</f>
        <v/>
      </c>
      <c r="S134" s="49" cm="1">
        <f t="array" ref="S134">IF($A134="","",IF(R134=0,"",INDEX(RISK_SCALE_NAMES,_xlfn.MAXIFS(tblThreatControls[Threat risk score],tblThreatControls[Control ID],$A134))))</f>
        <v/>
      </c>
      <c r="T134" s="49" cm="1">
        <f t="array" ref="T134">IF($A134="","",IF(AND(H134="Applicable",OR(L134="Not assessed",L134=""),R134&gt;0),"Yes","No"))</f>
        <v/>
      </c>
      <c r="U134" s="49" cm="1">
        <f t="array" ref="U134">IF($A134="","",IF(AND(H134="Applicable",OR(L134="Gap",L134="Partial coverage")),INDEX(RISK_SCALE_NAMES,MAX(IFERROR(MATCH(P134,RISK_SCALE_NAMES,0),1),IFERROR(MATCH(S134,RISK_SCALE_NAMES,0),0))),""))</f>
        <v/>
      </c>
      <c r="V134" s="49" cm="1">
        <f t="array" ref="V134">IF($A134="","",_xlfn.TEXTJOIN("; ",TRUE,_xlfn._xlws.FILTER(tblThreatControls[Threat ID],(tblThreatControls[Control ID]=$A134)*(tblThreatControls[Threat applies]="Applies"),"")))</f>
        <v/>
      </c>
    </row>
    <row r="135" ht="45" customHeight="1" s="19">
      <c r="A135" s="49" t="n"/>
      <c r="B135" s="49" t="n"/>
      <c r="C135" s="49" t="n"/>
      <c r="D135" s="50" t="n"/>
      <c r="E135" s="49" t="n"/>
      <c r="F135" s="49" t="n"/>
      <c r="G135" s="49">
        <f>TRUE()</f>
        <v/>
      </c>
      <c r="H135" s="50">
        <f>IF($A135="","",IF(AND(G135,D135&lt;=TARGET_LEVEL_NUM),"Applicable","N/A"))</f>
        <v/>
      </c>
      <c r="I135" s="49" t="n"/>
      <c r="J135" s="49" t="n"/>
      <c r="K135" s="49" t="n"/>
      <c r="L135" s="49" t="n"/>
      <c r="M135" s="49" t="n"/>
      <c r="N135" s="49" t="n"/>
      <c r="O135" s="50" t="n"/>
      <c r="P135" s="50">
        <f>IF($A135="","",IF(H135="N/A","N/A",IFERROR(INDEX(CRIT_MATRIX,MATCH(O135,CRIT_MATRIX_ROWS,0),MATCH(APP_RISK_TIER,CRIT_MATRIX_COLS,0)),"")))</f>
        <v/>
      </c>
      <c r="Q135" s="49" t="n"/>
      <c r="R135" s="49" cm="1">
        <f t="array" ref="R135">IF($A135="","",COUNTIFS(tblThreatControls[Control ID],$A135,tblThreatControls[Threat applies],"Applies"))</f>
        <v/>
      </c>
      <c r="S135" s="49" cm="1">
        <f t="array" ref="S135">IF($A135="","",IF(R135=0,"",INDEX(RISK_SCALE_NAMES,_xlfn.MAXIFS(tblThreatControls[Threat risk score],tblThreatControls[Control ID],$A135))))</f>
        <v/>
      </c>
      <c r="T135" s="49" cm="1">
        <f t="array" ref="T135">IF($A135="","",IF(AND(H135="Applicable",OR(L135="Not assessed",L135=""),R135&gt;0),"Yes","No"))</f>
        <v/>
      </c>
      <c r="U135" s="49" cm="1">
        <f t="array" ref="U135">IF($A135="","",IF(AND(H135="Applicable",OR(L135="Gap",L135="Partial coverage")),INDEX(RISK_SCALE_NAMES,MAX(IFERROR(MATCH(P135,RISK_SCALE_NAMES,0),1),IFERROR(MATCH(S135,RISK_SCALE_NAMES,0),0))),""))</f>
        <v/>
      </c>
      <c r="V135" s="49" cm="1">
        <f t="array" ref="V135">IF($A135="","",_xlfn.TEXTJOIN("; ",TRUE,_xlfn._xlws.FILTER(tblThreatControls[Threat ID],(tblThreatControls[Control ID]=$A135)*(tblThreatControls[Threat applies]="Applies"),"")))</f>
        <v/>
      </c>
    </row>
    <row r="136" ht="45" customHeight="1" s="19">
      <c r="A136" s="49" t="n"/>
      <c r="B136" s="49" t="n"/>
      <c r="C136" s="49" t="n"/>
      <c r="D136" s="50" t="n"/>
      <c r="E136" s="49" t="n"/>
      <c r="F136" s="49" t="n"/>
      <c r="G136" s="49">
        <f>TRUE()</f>
        <v/>
      </c>
      <c r="H136" s="50">
        <f>IF($A136="","",IF(AND(G136,D136&lt;=TARGET_LEVEL_NUM),"Applicable","N/A"))</f>
        <v/>
      </c>
      <c r="I136" s="49" t="n"/>
      <c r="J136" s="49" t="n"/>
      <c r="K136" s="49" t="n"/>
      <c r="L136" s="49" t="n"/>
      <c r="M136" s="49" t="n"/>
      <c r="N136" s="49" t="n"/>
      <c r="O136" s="50" t="n"/>
      <c r="P136" s="50">
        <f>IF($A136="","",IF(H136="N/A","N/A",IFERROR(INDEX(CRIT_MATRIX,MATCH(O136,CRIT_MATRIX_ROWS,0),MATCH(APP_RISK_TIER,CRIT_MATRIX_COLS,0)),"")))</f>
        <v/>
      </c>
      <c r="Q136" s="49" t="n"/>
      <c r="R136" s="49" cm="1">
        <f t="array" ref="R136">IF($A136="","",COUNTIFS(tblThreatControls[Control ID],$A136,tblThreatControls[Threat applies],"Applies"))</f>
        <v/>
      </c>
      <c r="S136" s="49" cm="1">
        <f t="array" ref="S136">IF($A136="","",IF(R136=0,"",INDEX(RISK_SCALE_NAMES,_xlfn.MAXIFS(tblThreatControls[Threat risk score],tblThreatControls[Control ID],$A136))))</f>
        <v/>
      </c>
      <c r="T136" s="49" cm="1">
        <f t="array" ref="T136">IF($A136="","",IF(AND(H136="Applicable",OR(L136="Not assessed",L136=""),R136&gt;0),"Yes","No"))</f>
        <v/>
      </c>
      <c r="U136" s="49" cm="1">
        <f t="array" ref="U136">IF($A136="","",IF(AND(H136="Applicable",OR(L136="Gap",L136="Partial coverage")),INDEX(RISK_SCALE_NAMES,MAX(IFERROR(MATCH(P136,RISK_SCALE_NAMES,0),1),IFERROR(MATCH(S136,RISK_SCALE_NAMES,0),0))),""))</f>
        <v/>
      </c>
      <c r="V136" s="49" cm="1">
        <f t="array" ref="V136">IF($A136="","",_xlfn.TEXTJOIN("; ",TRUE,_xlfn._xlws.FILTER(tblThreatControls[Threat ID],(tblThreatControls[Control ID]=$A136)*(tblThreatControls[Threat applies]="Applies"),"")))</f>
        <v/>
      </c>
    </row>
    <row r="137" ht="45" customHeight="1" s="19">
      <c r="A137" s="49" t="n"/>
      <c r="B137" s="49" t="n"/>
      <c r="C137" s="49" t="n"/>
      <c r="D137" s="50" t="n"/>
      <c r="E137" s="49" t="n"/>
      <c r="F137" s="49" t="n"/>
      <c r="G137" s="49">
        <f>TRUE()</f>
        <v/>
      </c>
      <c r="H137" s="50">
        <f>IF($A137="","",IF(AND(G137,D137&lt;=TARGET_LEVEL_NUM),"Applicable","N/A"))</f>
        <v/>
      </c>
      <c r="I137" s="49" t="n"/>
      <c r="J137" s="49" t="n"/>
      <c r="K137" s="49" t="n"/>
      <c r="L137" s="49" t="n"/>
      <c r="M137" s="49" t="n"/>
      <c r="N137" s="49" t="n"/>
      <c r="O137" s="50" t="n"/>
      <c r="P137" s="50">
        <f>IF($A137="","",IF(H137="N/A","N/A",IFERROR(INDEX(CRIT_MATRIX,MATCH(O137,CRIT_MATRIX_ROWS,0),MATCH(APP_RISK_TIER,CRIT_MATRIX_COLS,0)),"")))</f>
        <v/>
      </c>
      <c r="Q137" s="49" t="n"/>
      <c r="R137" s="49" cm="1">
        <f t="array" ref="R137">IF($A137="","",COUNTIFS(tblThreatControls[Control ID],$A137,tblThreatControls[Threat applies],"Applies"))</f>
        <v/>
      </c>
      <c r="S137" s="49" cm="1">
        <f t="array" ref="S137">IF($A137="","",IF(R137=0,"",INDEX(RISK_SCALE_NAMES,_xlfn.MAXIFS(tblThreatControls[Threat risk score],tblThreatControls[Control ID],$A137))))</f>
        <v/>
      </c>
      <c r="T137" s="49" cm="1">
        <f t="array" ref="T137">IF($A137="","",IF(AND(H137="Applicable",OR(L137="Not assessed",L137=""),R137&gt;0),"Yes","No"))</f>
        <v/>
      </c>
      <c r="U137" s="49" cm="1">
        <f t="array" ref="U137">IF($A137="","",IF(AND(H137="Applicable",OR(L137="Gap",L137="Partial coverage")),INDEX(RISK_SCALE_NAMES,MAX(IFERROR(MATCH(P137,RISK_SCALE_NAMES,0),1),IFERROR(MATCH(S137,RISK_SCALE_NAMES,0),0))),""))</f>
        <v/>
      </c>
      <c r="V137" s="49" cm="1">
        <f t="array" ref="V137">IF($A137="","",_xlfn.TEXTJOIN("; ",TRUE,_xlfn._xlws.FILTER(tblThreatControls[Threat ID],(tblThreatControls[Control ID]=$A137)*(tblThreatControls[Threat applies]="Applies"),"")))</f>
        <v/>
      </c>
    </row>
    <row r="138" ht="45" customHeight="1" s="19">
      <c r="A138" s="49" t="n"/>
      <c r="B138" s="49" t="n"/>
      <c r="C138" s="49" t="n"/>
      <c r="D138" s="50" t="n"/>
      <c r="E138" s="49" t="n"/>
      <c r="F138" s="49" t="n"/>
      <c r="G138" s="49">
        <f>TRUE()</f>
        <v/>
      </c>
      <c r="H138" s="50">
        <f>IF($A138="","",IF(AND(G138,D138&lt;=TARGET_LEVEL_NUM),"Applicable","N/A"))</f>
        <v/>
      </c>
      <c r="I138" s="49" t="n"/>
      <c r="J138" s="49" t="n"/>
      <c r="K138" s="49" t="n"/>
      <c r="L138" s="49" t="n"/>
      <c r="M138" s="49" t="n"/>
      <c r="N138" s="49" t="n"/>
      <c r="O138" s="50" t="n"/>
      <c r="P138" s="50">
        <f>IF($A138="","",IF(H138="N/A","N/A",IFERROR(INDEX(CRIT_MATRIX,MATCH(O138,CRIT_MATRIX_ROWS,0),MATCH(APP_RISK_TIER,CRIT_MATRIX_COLS,0)),"")))</f>
        <v/>
      </c>
      <c r="Q138" s="49" t="n"/>
      <c r="R138" s="49" cm="1">
        <f t="array" ref="R138">IF($A138="","",COUNTIFS(tblThreatControls[Control ID],$A138,tblThreatControls[Threat applies],"Applies"))</f>
        <v/>
      </c>
      <c r="S138" s="49" cm="1">
        <f t="array" ref="S138">IF($A138="","",IF(R138=0,"",INDEX(RISK_SCALE_NAMES,_xlfn.MAXIFS(tblThreatControls[Threat risk score],tblThreatControls[Control ID],$A138))))</f>
        <v/>
      </c>
      <c r="T138" s="49" cm="1">
        <f t="array" ref="T138">IF($A138="","",IF(AND(H138="Applicable",OR(L138="Not assessed",L138=""),R138&gt;0),"Yes","No"))</f>
        <v/>
      </c>
      <c r="U138" s="49" cm="1">
        <f t="array" ref="U138">IF($A138="","",IF(AND(H138="Applicable",OR(L138="Gap",L138="Partial coverage")),INDEX(RISK_SCALE_NAMES,MAX(IFERROR(MATCH(P138,RISK_SCALE_NAMES,0),1),IFERROR(MATCH(S138,RISK_SCALE_NAMES,0),0))),""))</f>
        <v/>
      </c>
      <c r="V138" s="49" cm="1">
        <f t="array" ref="V138">IF($A138="","",_xlfn.TEXTJOIN("; ",TRUE,_xlfn._xlws.FILTER(tblThreatControls[Threat ID],(tblThreatControls[Control ID]=$A138)*(tblThreatControls[Threat applies]="Applies"),"")))</f>
        <v/>
      </c>
    </row>
    <row r="139" ht="45" customHeight="1" s="19">
      <c r="A139" s="49" t="n"/>
      <c r="B139" s="49" t="n"/>
      <c r="C139" s="49" t="n"/>
      <c r="D139" s="50" t="n"/>
      <c r="E139" s="49" t="n"/>
      <c r="F139" s="49" t="n"/>
      <c r="G139" s="49">
        <f>TRUE()</f>
        <v/>
      </c>
      <c r="H139" s="50">
        <f>IF($A139="","",IF(AND(G139,D139&lt;=TARGET_LEVEL_NUM),"Applicable","N/A"))</f>
        <v/>
      </c>
      <c r="I139" s="49" t="n"/>
      <c r="J139" s="49" t="n"/>
      <c r="K139" s="49" t="n"/>
      <c r="L139" s="49" t="n"/>
      <c r="M139" s="49" t="n"/>
      <c r="N139" s="49" t="n"/>
      <c r="O139" s="50" t="n"/>
      <c r="P139" s="50">
        <f>IF($A139="","",IF(H139="N/A","N/A",IFERROR(INDEX(CRIT_MATRIX,MATCH(O139,CRIT_MATRIX_ROWS,0),MATCH(APP_RISK_TIER,CRIT_MATRIX_COLS,0)),"")))</f>
        <v/>
      </c>
      <c r="Q139" s="49" t="n"/>
      <c r="R139" s="49" cm="1">
        <f t="array" ref="R139">IF($A139="","",COUNTIFS(tblThreatControls[Control ID],$A139,tblThreatControls[Threat applies],"Applies"))</f>
        <v/>
      </c>
      <c r="S139" s="49" cm="1">
        <f t="array" ref="S139">IF($A139="","",IF(R139=0,"",INDEX(RISK_SCALE_NAMES,_xlfn.MAXIFS(tblThreatControls[Threat risk score],tblThreatControls[Control ID],$A139))))</f>
        <v/>
      </c>
      <c r="T139" s="49" cm="1">
        <f t="array" ref="T139">IF($A139="","",IF(AND(H139="Applicable",OR(L139="Not assessed",L139=""),R139&gt;0),"Yes","No"))</f>
        <v/>
      </c>
      <c r="U139" s="49" cm="1">
        <f t="array" ref="U139">IF($A139="","",IF(AND(H139="Applicable",OR(L139="Gap",L139="Partial coverage")),INDEX(RISK_SCALE_NAMES,MAX(IFERROR(MATCH(P139,RISK_SCALE_NAMES,0),1),IFERROR(MATCH(S139,RISK_SCALE_NAMES,0),0))),""))</f>
        <v/>
      </c>
      <c r="V139" s="49" cm="1">
        <f t="array" ref="V139">IF($A139="","",_xlfn.TEXTJOIN("; ",TRUE,_xlfn._xlws.FILTER(tblThreatControls[Threat ID],(tblThreatControls[Control ID]=$A139)*(tblThreatControls[Threat applies]="Applies"),"")))</f>
        <v/>
      </c>
    </row>
    <row r="140" ht="45" customHeight="1" s="19">
      <c r="A140" s="49" t="n"/>
      <c r="B140" s="49" t="n"/>
      <c r="C140" s="49" t="n"/>
      <c r="D140" s="50" t="n"/>
      <c r="E140" s="49" t="n"/>
      <c r="F140" s="49" t="n"/>
      <c r="G140" s="49">
        <f>TRUE()</f>
        <v/>
      </c>
      <c r="H140" s="50">
        <f>IF($A140="","",IF(AND(G140,D140&lt;=TARGET_LEVEL_NUM),"Applicable","N/A"))</f>
        <v/>
      </c>
      <c r="I140" s="49" t="n"/>
      <c r="J140" s="49" t="n"/>
      <c r="K140" s="49" t="n"/>
      <c r="L140" s="49" t="n"/>
      <c r="M140" s="49" t="n"/>
      <c r="N140" s="49" t="n"/>
      <c r="O140" s="50" t="n"/>
      <c r="P140" s="50">
        <f>IF($A140="","",IF(H140="N/A","N/A",IFERROR(INDEX(CRIT_MATRIX,MATCH(O140,CRIT_MATRIX_ROWS,0),MATCH(APP_RISK_TIER,CRIT_MATRIX_COLS,0)),"")))</f>
        <v/>
      </c>
      <c r="Q140" s="49" t="n"/>
      <c r="R140" s="49" cm="1">
        <f t="array" ref="R140">IF($A140="","",COUNTIFS(tblThreatControls[Control ID],$A140,tblThreatControls[Threat applies],"Applies"))</f>
        <v/>
      </c>
      <c r="S140" s="49" cm="1">
        <f t="array" ref="S140">IF($A140="","",IF(R140=0,"",INDEX(RISK_SCALE_NAMES,_xlfn.MAXIFS(tblThreatControls[Threat risk score],tblThreatControls[Control ID],$A140))))</f>
        <v/>
      </c>
      <c r="T140" s="49" cm="1">
        <f t="array" ref="T140">IF($A140="","",IF(AND(H140="Applicable",OR(L140="Not assessed",L140=""),R140&gt;0),"Yes","No"))</f>
        <v/>
      </c>
      <c r="U140" s="49" cm="1">
        <f t="array" ref="U140">IF($A140="","",IF(AND(H140="Applicable",OR(L140="Gap",L140="Partial coverage")),INDEX(RISK_SCALE_NAMES,MAX(IFERROR(MATCH(P140,RISK_SCALE_NAMES,0),1),IFERROR(MATCH(S140,RISK_SCALE_NAMES,0),0))),""))</f>
        <v/>
      </c>
      <c r="V140" s="49" cm="1">
        <f t="array" ref="V140">IF($A140="","",_xlfn.TEXTJOIN("; ",TRUE,_xlfn._xlws.FILTER(tblThreatControls[Threat ID],(tblThreatControls[Control ID]=$A140)*(tblThreatControls[Threat applies]="Applies"),"")))</f>
        <v/>
      </c>
    </row>
    <row r="141" ht="45" customHeight="1" s="19">
      <c r="A141" s="49" t="n"/>
      <c r="B141" s="49" t="n"/>
      <c r="C141" s="49" t="n"/>
      <c r="D141" s="50" t="n"/>
      <c r="E141" s="49" t="n"/>
      <c r="F141" s="49" t="n"/>
      <c r="G141" s="49">
        <f>TRUE()</f>
        <v/>
      </c>
      <c r="H141" s="50">
        <f>IF($A141="","",IF(AND(G141,D141&lt;=TARGET_LEVEL_NUM),"Applicable","N/A"))</f>
        <v/>
      </c>
      <c r="I141" s="49" t="n"/>
      <c r="J141" s="49" t="n"/>
      <c r="K141" s="49" t="n"/>
      <c r="L141" s="49" t="n"/>
      <c r="M141" s="49" t="n"/>
      <c r="N141" s="49" t="n"/>
      <c r="O141" s="50" t="n"/>
      <c r="P141" s="50">
        <f>IF($A141="","",IF(H141="N/A","N/A",IFERROR(INDEX(CRIT_MATRIX,MATCH(O141,CRIT_MATRIX_ROWS,0),MATCH(APP_RISK_TIER,CRIT_MATRIX_COLS,0)),"")))</f>
        <v/>
      </c>
      <c r="Q141" s="49" t="n"/>
      <c r="R141" s="49" cm="1">
        <f t="array" ref="R141">IF($A141="","",COUNTIFS(tblThreatControls[Control ID],$A141,tblThreatControls[Threat applies],"Applies"))</f>
        <v/>
      </c>
      <c r="S141" s="49" cm="1">
        <f t="array" ref="S141">IF($A141="","",IF(R141=0,"",INDEX(RISK_SCALE_NAMES,_xlfn.MAXIFS(tblThreatControls[Threat risk score],tblThreatControls[Control ID],$A141))))</f>
        <v/>
      </c>
      <c r="T141" s="49" cm="1">
        <f t="array" ref="T141">IF($A141="","",IF(AND(H141="Applicable",OR(L141="Not assessed",L141=""),R141&gt;0),"Yes","No"))</f>
        <v/>
      </c>
      <c r="U141" s="49" cm="1">
        <f t="array" ref="U141">IF($A141="","",IF(AND(H141="Applicable",OR(L141="Gap",L141="Partial coverage")),INDEX(RISK_SCALE_NAMES,MAX(IFERROR(MATCH(P141,RISK_SCALE_NAMES,0),1),IFERROR(MATCH(S141,RISK_SCALE_NAMES,0),0))),""))</f>
        <v/>
      </c>
      <c r="V141" s="49" cm="1">
        <f t="array" ref="V141">IF($A141="","",_xlfn.TEXTJOIN("; ",TRUE,_xlfn._xlws.FILTER(tblThreatControls[Threat ID],(tblThreatControls[Control ID]=$A141)*(tblThreatControls[Threat applies]="Applies"),"")))</f>
        <v/>
      </c>
    </row>
    <row r="142" ht="45" customHeight="1" s="19">
      <c r="A142" s="49" t="n"/>
      <c r="B142" s="49" t="n"/>
      <c r="C142" s="49" t="n"/>
      <c r="D142" s="50" t="n"/>
      <c r="E142" s="49" t="n"/>
      <c r="F142" s="49" t="n"/>
      <c r="G142" s="49">
        <f>TRUE()</f>
        <v/>
      </c>
      <c r="H142" s="50">
        <f>IF($A142="","",IF(AND(G142,D142&lt;=TARGET_LEVEL_NUM),"Applicable","N/A"))</f>
        <v/>
      </c>
      <c r="I142" s="49" t="n"/>
      <c r="J142" s="49" t="n"/>
      <c r="K142" s="49" t="n"/>
      <c r="L142" s="49" t="n"/>
      <c r="M142" s="49" t="n"/>
      <c r="N142" s="49" t="n"/>
      <c r="O142" s="50" t="n"/>
      <c r="P142" s="50">
        <f>IF($A142="","",IF(H142="N/A","N/A",IFERROR(INDEX(CRIT_MATRIX,MATCH(O142,CRIT_MATRIX_ROWS,0),MATCH(APP_RISK_TIER,CRIT_MATRIX_COLS,0)),"")))</f>
        <v/>
      </c>
      <c r="Q142" s="49" t="n"/>
      <c r="R142" s="49" cm="1">
        <f t="array" ref="R142">IF($A142="","",COUNTIFS(tblThreatControls[Control ID],$A142,tblThreatControls[Threat applies],"Applies"))</f>
        <v/>
      </c>
      <c r="S142" s="49" cm="1">
        <f t="array" ref="S142">IF($A142="","",IF(R142=0,"",INDEX(RISK_SCALE_NAMES,_xlfn.MAXIFS(tblThreatControls[Threat risk score],tblThreatControls[Control ID],$A142))))</f>
        <v/>
      </c>
      <c r="T142" s="49" cm="1">
        <f t="array" ref="T142">IF($A142="","",IF(AND(H142="Applicable",OR(L142="Not assessed",L142=""),R142&gt;0),"Yes","No"))</f>
        <v/>
      </c>
      <c r="U142" s="49" cm="1">
        <f t="array" ref="U142">IF($A142="","",IF(AND(H142="Applicable",OR(L142="Gap",L142="Partial coverage")),INDEX(RISK_SCALE_NAMES,MAX(IFERROR(MATCH(P142,RISK_SCALE_NAMES,0),1),IFERROR(MATCH(S142,RISK_SCALE_NAMES,0),0))),""))</f>
        <v/>
      </c>
      <c r="V142" s="49" cm="1">
        <f t="array" ref="V142">IF($A142="","",_xlfn.TEXTJOIN("; ",TRUE,_xlfn._xlws.FILTER(tblThreatControls[Threat ID],(tblThreatControls[Control ID]=$A142)*(tblThreatControls[Threat applies]="Applies"),"")))</f>
        <v/>
      </c>
    </row>
    <row r="143" ht="45" customHeight="1" s="19">
      <c r="A143" s="49" t="n"/>
      <c r="B143" s="49" t="n"/>
      <c r="C143" s="49" t="n"/>
      <c r="D143" s="50" t="n"/>
      <c r="E143" s="49" t="n"/>
      <c r="F143" s="49" t="n"/>
      <c r="G143" s="49">
        <f>TRUE()</f>
        <v/>
      </c>
      <c r="H143" s="50">
        <f>IF($A143="","",IF(AND(G143,D143&lt;=TARGET_LEVEL_NUM),"Applicable","N/A"))</f>
        <v/>
      </c>
      <c r="I143" s="49" t="n"/>
      <c r="J143" s="49" t="n"/>
      <c r="K143" s="49" t="n"/>
      <c r="L143" s="49" t="n"/>
      <c r="M143" s="49" t="n"/>
      <c r="N143" s="49" t="n"/>
      <c r="O143" s="50" t="n"/>
      <c r="P143" s="50">
        <f>IF($A143="","",IF(H143="N/A","N/A",IFERROR(INDEX(CRIT_MATRIX,MATCH(O143,CRIT_MATRIX_ROWS,0),MATCH(APP_RISK_TIER,CRIT_MATRIX_COLS,0)),"")))</f>
        <v/>
      </c>
      <c r="Q143" s="49" t="n"/>
      <c r="R143" s="49" cm="1">
        <f t="array" ref="R143">IF($A143="","",COUNTIFS(tblThreatControls[Control ID],$A143,tblThreatControls[Threat applies],"Applies"))</f>
        <v/>
      </c>
      <c r="S143" s="49" cm="1">
        <f t="array" ref="S143">IF($A143="","",IF(R143=0,"",INDEX(RISK_SCALE_NAMES,_xlfn.MAXIFS(tblThreatControls[Threat risk score],tblThreatControls[Control ID],$A143))))</f>
        <v/>
      </c>
      <c r="T143" s="49" cm="1">
        <f t="array" ref="T143">IF($A143="","",IF(AND(H143="Applicable",OR(L143="Not assessed",L143=""),R143&gt;0),"Yes","No"))</f>
        <v/>
      </c>
      <c r="U143" s="49" cm="1">
        <f t="array" ref="U143">IF($A143="","",IF(AND(H143="Applicable",OR(L143="Gap",L143="Partial coverage")),INDEX(RISK_SCALE_NAMES,MAX(IFERROR(MATCH(P143,RISK_SCALE_NAMES,0),1),IFERROR(MATCH(S143,RISK_SCALE_NAMES,0),0))),""))</f>
        <v/>
      </c>
      <c r="V143" s="49" cm="1">
        <f t="array" ref="V143">IF($A143="","",_xlfn.TEXTJOIN("; ",TRUE,_xlfn._xlws.FILTER(tblThreatControls[Threat ID],(tblThreatControls[Control ID]=$A143)*(tblThreatControls[Threat applies]="Applies"),"")))</f>
        <v/>
      </c>
    </row>
    <row r="144" ht="45" customHeight="1" s="19">
      <c r="A144" s="49" t="n"/>
      <c r="B144" s="49" t="n"/>
      <c r="C144" s="49" t="n"/>
      <c r="D144" s="50" t="n"/>
      <c r="E144" s="49" t="n"/>
      <c r="F144" s="49" t="n"/>
      <c r="G144" s="49">
        <f>TRUE()</f>
        <v/>
      </c>
      <c r="H144" s="50">
        <f>IF($A144="","",IF(AND(G144,D144&lt;=TARGET_LEVEL_NUM),"Applicable","N/A"))</f>
        <v/>
      </c>
      <c r="I144" s="49" t="n"/>
      <c r="J144" s="49" t="n"/>
      <c r="K144" s="49" t="n"/>
      <c r="L144" s="49" t="n"/>
      <c r="M144" s="49" t="n"/>
      <c r="N144" s="49" t="n"/>
      <c r="O144" s="50" t="n"/>
      <c r="P144" s="50">
        <f>IF($A144="","",IF(H144="N/A","N/A",IFERROR(INDEX(CRIT_MATRIX,MATCH(O144,CRIT_MATRIX_ROWS,0),MATCH(APP_RISK_TIER,CRIT_MATRIX_COLS,0)),"")))</f>
        <v/>
      </c>
      <c r="Q144" s="49" t="n"/>
      <c r="R144" s="49" cm="1">
        <f t="array" ref="R144">IF($A144="","",COUNTIFS(tblThreatControls[Control ID],$A144,tblThreatControls[Threat applies],"Applies"))</f>
        <v/>
      </c>
      <c r="S144" s="49" cm="1">
        <f t="array" ref="S144">IF($A144="","",IF(R144=0,"",INDEX(RISK_SCALE_NAMES,_xlfn.MAXIFS(tblThreatControls[Threat risk score],tblThreatControls[Control ID],$A144))))</f>
        <v/>
      </c>
      <c r="T144" s="49" cm="1">
        <f t="array" ref="T144">IF($A144="","",IF(AND(H144="Applicable",OR(L144="Not assessed",L144=""),R144&gt;0),"Yes","No"))</f>
        <v/>
      </c>
      <c r="U144" s="49" cm="1">
        <f t="array" ref="U144">IF($A144="","",IF(AND(H144="Applicable",OR(L144="Gap",L144="Partial coverage")),INDEX(RISK_SCALE_NAMES,MAX(IFERROR(MATCH(P144,RISK_SCALE_NAMES,0),1),IFERROR(MATCH(S144,RISK_SCALE_NAMES,0),0))),""))</f>
        <v/>
      </c>
      <c r="V144" s="49" cm="1">
        <f t="array" ref="V144">IF($A144="","",_xlfn.TEXTJOIN("; ",TRUE,_xlfn._xlws.FILTER(tblThreatControls[Threat ID],(tblThreatControls[Control ID]=$A144)*(tblThreatControls[Threat applies]="Applies"),"")))</f>
        <v/>
      </c>
    </row>
    <row r="145" ht="45" customHeight="1" s="19">
      <c r="A145" s="49" t="n"/>
      <c r="B145" s="49" t="n"/>
      <c r="C145" s="49" t="n"/>
      <c r="D145" s="50" t="n"/>
      <c r="E145" s="49" t="n"/>
      <c r="F145" s="49" t="n"/>
      <c r="G145" s="49">
        <f>TRUE()</f>
        <v/>
      </c>
      <c r="H145" s="50">
        <f>IF($A145="","",IF(AND(G145,D145&lt;=TARGET_LEVEL_NUM),"Applicable","N/A"))</f>
        <v/>
      </c>
      <c r="I145" s="49" t="n"/>
      <c r="J145" s="49" t="n"/>
      <c r="K145" s="49" t="n"/>
      <c r="L145" s="49" t="n"/>
      <c r="M145" s="49" t="n"/>
      <c r="N145" s="49" t="n"/>
      <c r="O145" s="50" t="n"/>
      <c r="P145" s="50">
        <f>IF($A145="","",IF(H145="N/A","N/A",IFERROR(INDEX(CRIT_MATRIX,MATCH(O145,CRIT_MATRIX_ROWS,0),MATCH(APP_RISK_TIER,CRIT_MATRIX_COLS,0)),"")))</f>
        <v/>
      </c>
      <c r="Q145" s="49" t="n"/>
      <c r="R145" s="49" cm="1">
        <f t="array" ref="R145">IF($A145="","",COUNTIFS(tblThreatControls[Control ID],$A145,tblThreatControls[Threat applies],"Applies"))</f>
        <v/>
      </c>
      <c r="S145" s="49" cm="1">
        <f t="array" ref="S145">IF($A145="","",IF(R145=0,"",INDEX(RISK_SCALE_NAMES,_xlfn.MAXIFS(tblThreatControls[Threat risk score],tblThreatControls[Control ID],$A145))))</f>
        <v/>
      </c>
      <c r="T145" s="49" cm="1">
        <f t="array" ref="T145">IF($A145="","",IF(AND(H145="Applicable",OR(L145="Not assessed",L145=""),R145&gt;0),"Yes","No"))</f>
        <v/>
      </c>
      <c r="U145" s="49" cm="1">
        <f t="array" ref="U145">IF($A145="","",IF(AND(H145="Applicable",OR(L145="Gap",L145="Partial coverage")),INDEX(RISK_SCALE_NAMES,MAX(IFERROR(MATCH(P145,RISK_SCALE_NAMES,0),1),IFERROR(MATCH(S145,RISK_SCALE_NAMES,0),0))),""))</f>
        <v/>
      </c>
      <c r="V145" s="49" cm="1">
        <f t="array" ref="V145">IF($A145="","",_xlfn.TEXTJOIN("; ",TRUE,_xlfn._xlws.FILTER(tblThreatControls[Threat ID],(tblThreatControls[Control ID]=$A145)*(tblThreatControls[Threat applies]="Applies"),"")))</f>
        <v/>
      </c>
    </row>
    <row r="146" ht="45" customHeight="1" s="19">
      <c r="A146" s="49" t="n"/>
      <c r="B146" s="49" t="n"/>
      <c r="C146" s="49" t="n"/>
      <c r="D146" s="50" t="n"/>
      <c r="E146" s="49" t="n"/>
      <c r="F146" s="49" t="n"/>
      <c r="G146" s="49">
        <f>TRUE()</f>
        <v/>
      </c>
      <c r="H146" s="50">
        <f>IF($A146="","",IF(AND(G146,D146&lt;=TARGET_LEVEL_NUM),"Applicable","N/A"))</f>
        <v/>
      </c>
      <c r="I146" s="49" t="n"/>
      <c r="J146" s="49" t="n"/>
      <c r="K146" s="49" t="n"/>
      <c r="L146" s="49" t="n"/>
      <c r="M146" s="49" t="n"/>
      <c r="N146" s="49" t="n"/>
      <c r="O146" s="50" t="n"/>
      <c r="P146" s="50">
        <f>IF($A146="","",IF(H146="N/A","N/A",IFERROR(INDEX(CRIT_MATRIX,MATCH(O146,CRIT_MATRIX_ROWS,0),MATCH(APP_RISK_TIER,CRIT_MATRIX_COLS,0)),"")))</f>
        <v/>
      </c>
      <c r="Q146" s="49" t="n"/>
      <c r="R146" s="49" cm="1">
        <f t="array" ref="R146">IF($A146="","",COUNTIFS(tblThreatControls[Control ID],$A146,tblThreatControls[Threat applies],"Applies"))</f>
        <v/>
      </c>
      <c r="S146" s="49" cm="1">
        <f t="array" ref="S146">IF($A146="","",IF(R146=0,"",INDEX(RISK_SCALE_NAMES,_xlfn.MAXIFS(tblThreatControls[Threat risk score],tblThreatControls[Control ID],$A146))))</f>
        <v/>
      </c>
      <c r="T146" s="49" cm="1">
        <f t="array" ref="T146">IF($A146="","",IF(AND(H146="Applicable",OR(L146="Not assessed",L146=""),R146&gt;0),"Yes","No"))</f>
        <v/>
      </c>
      <c r="U146" s="49" cm="1">
        <f t="array" ref="U146">IF($A146="","",IF(AND(H146="Applicable",OR(L146="Gap",L146="Partial coverage")),INDEX(RISK_SCALE_NAMES,MAX(IFERROR(MATCH(P146,RISK_SCALE_NAMES,0),1),IFERROR(MATCH(S146,RISK_SCALE_NAMES,0),0))),""))</f>
        <v/>
      </c>
      <c r="V146" s="49" cm="1">
        <f t="array" ref="V146">IF($A146="","",_xlfn.TEXTJOIN("; ",TRUE,_xlfn._xlws.FILTER(tblThreatControls[Threat ID],(tblThreatControls[Control ID]=$A146)*(tblThreatControls[Threat applies]="Applies"),"")))</f>
        <v/>
      </c>
    </row>
    <row r="147" ht="45" customHeight="1" s="19">
      <c r="A147" s="49" t="n"/>
      <c r="B147" s="49" t="n"/>
      <c r="C147" s="49" t="n"/>
      <c r="D147" s="50" t="n"/>
      <c r="E147" s="49" t="n"/>
      <c r="F147" s="49" t="n"/>
      <c r="G147" s="49">
        <f>TRUE()</f>
        <v/>
      </c>
      <c r="H147" s="50">
        <f>IF($A147="","",IF(AND(G147,D147&lt;=TARGET_LEVEL_NUM),"Applicable","N/A"))</f>
        <v/>
      </c>
      <c r="I147" s="49" t="n"/>
      <c r="J147" s="49" t="n"/>
      <c r="K147" s="49" t="n"/>
      <c r="L147" s="49" t="n"/>
      <c r="M147" s="49" t="n"/>
      <c r="N147" s="49" t="n"/>
      <c r="O147" s="50" t="n"/>
      <c r="P147" s="50">
        <f>IF($A147="","",IF(H147="N/A","N/A",IFERROR(INDEX(CRIT_MATRIX,MATCH(O147,CRIT_MATRIX_ROWS,0),MATCH(APP_RISK_TIER,CRIT_MATRIX_COLS,0)),"")))</f>
        <v/>
      </c>
      <c r="Q147" s="49" t="n"/>
      <c r="R147" s="49" cm="1">
        <f t="array" ref="R147">IF($A147="","",COUNTIFS(tblThreatControls[Control ID],$A147,tblThreatControls[Threat applies],"Applies"))</f>
        <v/>
      </c>
      <c r="S147" s="49" cm="1">
        <f t="array" ref="S147">IF($A147="","",IF(R147=0,"",INDEX(RISK_SCALE_NAMES,_xlfn.MAXIFS(tblThreatControls[Threat risk score],tblThreatControls[Control ID],$A147))))</f>
        <v/>
      </c>
      <c r="T147" s="49" cm="1">
        <f t="array" ref="T147">IF($A147="","",IF(AND(H147="Applicable",OR(L147="Not assessed",L147=""),R147&gt;0),"Yes","No"))</f>
        <v/>
      </c>
      <c r="U147" s="49" cm="1">
        <f t="array" ref="U147">IF($A147="","",IF(AND(H147="Applicable",OR(L147="Gap",L147="Partial coverage")),INDEX(RISK_SCALE_NAMES,MAX(IFERROR(MATCH(P147,RISK_SCALE_NAMES,0),1),IFERROR(MATCH(S147,RISK_SCALE_NAMES,0),0))),""))</f>
        <v/>
      </c>
      <c r="V147" s="49" cm="1">
        <f t="array" ref="V147">IF($A147="","",_xlfn.TEXTJOIN("; ",TRUE,_xlfn._xlws.FILTER(tblThreatControls[Threat ID],(tblThreatControls[Control ID]=$A147)*(tblThreatControls[Threat applies]="Applies"),"")))</f>
        <v/>
      </c>
    </row>
    <row r="148" ht="45" customHeight="1" s="19">
      <c r="A148" s="49" t="n"/>
      <c r="B148" s="49" t="n"/>
      <c r="C148" s="49" t="n"/>
      <c r="D148" s="50" t="n"/>
      <c r="E148" s="49" t="n"/>
      <c r="F148" s="49" t="n"/>
      <c r="G148" s="49">
        <f>TRUE()</f>
        <v/>
      </c>
      <c r="H148" s="50">
        <f>IF($A148="","",IF(AND(G148,D148&lt;=TARGET_LEVEL_NUM),"Applicable","N/A"))</f>
        <v/>
      </c>
      <c r="I148" s="49" t="n"/>
      <c r="J148" s="49" t="n"/>
      <c r="K148" s="49" t="n"/>
      <c r="L148" s="49" t="n"/>
      <c r="M148" s="49" t="n"/>
      <c r="N148" s="49" t="n"/>
      <c r="O148" s="50" t="n"/>
      <c r="P148" s="50">
        <f>IF($A148="","",IF(H148="N/A","N/A",IFERROR(INDEX(CRIT_MATRIX,MATCH(O148,CRIT_MATRIX_ROWS,0),MATCH(APP_RISK_TIER,CRIT_MATRIX_COLS,0)),"")))</f>
        <v/>
      </c>
      <c r="Q148" s="49" t="n"/>
      <c r="R148" s="49" cm="1">
        <f t="array" ref="R148">IF($A148="","",COUNTIFS(tblThreatControls[Control ID],$A148,tblThreatControls[Threat applies],"Applies"))</f>
        <v/>
      </c>
      <c r="S148" s="49" cm="1">
        <f t="array" ref="S148">IF($A148="","",IF(R148=0,"",INDEX(RISK_SCALE_NAMES,_xlfn.MAXIFS(tblThreatControls[Threat risk score],tblThreatControls[Control ID],$A148))))</f>
        <v/>
      </c>
      <c r="T148" s="49" cm="1">
        <f t="array" ref="T148">IF($A148="","",IF(AND(H148="Applicable",OR(L148="Not assessed",L148=""),R148&gt;0),"Yes","No"))</f>
        <v/>
      </c>
      <c r="U148" s="49" cm="1">
        <f t="array" ref="U148">IF($A148="","",IF(AND(H148="Applicable",OR(L148="Gap",L148="Partial coverage")),INDEX(RISK_SCALE_NAMES,MAX(IFERROR(MATCH(P148,RISK_SCALE_NAMES,0),1),IFERROR(MATCH(S148,RISK_SCALE_NAMES,0),0))),""))</f>
        <v/>
      </c>
      <c r="V148" s="49" cm="1">
        <f t="array" ref="V148">IF($A148="","",_xlfn.TEXTJOIN("; ",TRUE,_xlfn._xlws.FILTER(tblThreatControls[Threat ID],(tblThreatControls[Control ID]=$A148)*(tblThreatControls[Threat applies]="Applies"),"")))</f>
        <v/>
      </c>
    </row>
    <row r="149" ht="45" customHeight="1" s="19">
      <c r="A149" s="49" t="n"/>
      <c r="B149" s="49" t="n"/>
      <c r="C149" s="49" t="n"/>
      <c r="D149" s="50" t="n"/>
      <c r="E149" s="49" t="n"/>
      <c r="F149" s="49" t="n"/>
      <c r="G149" s="49">
        <f>TRUE()</f>
        <v/>
      </c>
      <c r="H149" s="50">
        <f>IF($A149="","",IF(AND(G149,D149&lt;=TARGET_LEVEL_NUM),"Applicable","N/A"))</f>
        <v/>
      </c>
      <c r="I149" s="49" t="n"/>
      <c r="J149" s="49" t="n"/>
      <c r="K149" s="49" t="n"/>
      <c r="L149" s="49" t="n"/>
      <c r="M149" s="49" t="n"/>
      <c r="N149" s="49" t="n"/>
      <c r="O149" s="50" t="n"/>
      <c r="P149" s="50">
        <f>IF($A149="","",IF(H149="N/A","N/A",IFERROR(INDEX(CRIT_MATRIX,MATCH(O149,CRIT_MATRIX_ROWS,0),MATCH(APP_RISK_TIER,CRIT_MATRIX_COLS,0)),"")))</f>
        <v/>
      </c>
      <c r="Q149" s="49" t="n"/>
      <c r="R149" s="49" cm="1">
        <f t="array" ref="R149">IF($A149="","",COUNTIFS(tblThreatControls[Control ID],$A149,tblThreatControls[Threat applies],"Applies"))</f>
        <v/>
      </c>
      <c r="S149" s="49" cm="1">
        <f t="array" ref="S149">IF($A149="","",IF(R149=0,"",INDEX(RISK_SCALE_NAMES,_xlfn.MAXIFS(tblThreatControls[Threat risk score],tblThreatControls[Control ID],$A149))))</f>
        <v/>
      </c>
      <c r="T149" s="49" cm="1">
        <f t="array" ref="T149">IF($A149="","",IF(AND(H149="Applicable",OR(L149="Not assessed",L149=""),R149&gt;0),"Yes","No"))</f>
        <v/>
      </c>
      <c r="U149" s="49" cm="1">
        <f t="array" ref="U149">IF($A149="","",IF(AND(H149="Applicable",OR(L149="Gap",L149="Partial coverage")),INDEX(RISK_SCALE_NAMES,MAX(IFERROR(MATCH(P149,RISK_SCALE_NAMES,0),1),IFERROR(MATCH(S149,RISK_SCALE_NAMES,0),0))),""))</f>
        <v/>
      </c>
      <c r="V149" s="49" cm="1">
        <f t="array" ref="V149">IF($A149="","",_xlfn.TEXTJOIN("; ",TRUE,_xlfn._xlws.FILTER(tblThreatControls[Threat ID],(tblThreatControls[Control ID]=$A149)*(tblThreatControls[Threat applies]="Applies"),"")))</f>
        <v/>
      </c>
    </row>
    <row r="150" ht="45" customHeight="1" s="19">
      <c r="A150" s="49" t="n"/>
      <c r="B150" s="49" t="n"/>
      <c r="C150" s="49" t="n"/>
      <c r="D150" s="50" t="n"/>
      <c r="E150" s="49" t="n"/>
      <c r="F150" s="49" t="n"/>
      <c r="G150" s="49">
        <f>TRUE()</f>
        <v/>
      </c>
      <c r="H150" s="50">
        <f>IF($A150="","",IF(AND(G150,D150&lt;=TARGET_LEVEL_NUM),"Applicable","N/A"))</f>
        <v/>
      </c>
      <c r="I150" s="49" t="n"/>
      <c r="J150" s="49" t="n"/>
      <c r="K150" s="49" t="n"/>
      <c r="L150" s="49" t="n"/>
      <c r="M150" s="49" t="n"/>
      <c r="N150" s="49" t="n"/>
      <c r="O150" s="50" t="n"/>
      <c r="P150" s="50">
        <f>IF($A150="","",IF(H150="N/A","N/A",IFERROR(INDEX(CRIT_MATRIX,MATCH(O150,CRIT_MATRIX_ROWS,0),MATCH(APP_RISK_TIER,CRIT_MATRIX_COLS,0)),"")))</f>
        <v/>
      </c>
      <c r="Q150" s="49" t="n"/>
      <c r="R150" s="49" cm="1">
        <f t="array" ref="R150">IF($A150="","",COUNTIFS(tblThreatControls[Control ID],$A150,tblThreatControls[Threat applies],"Applies"))</f>
        <v/>
      </c>
      <c r="S150" s="49" cm="1">
        <f t="array" ref="S150">IF($A150="","",IF(R150=0,"",INDEX(RISK_SCALE_NAMES,_xlfn.MAXIFS(tblThreatControls[Threat risk score],tblThreatControls[Control ID],$A150))))</f>
        <v/>
      </c>
      <c r="T150" s="49" cm="1">
        <f t="array" ref="T150">IF($A150="","",IF(AND(H150="Applicable",OR(L150="Not assessed",L150=""),R150&gt;0),"Yes","No"))</f>
        <v/>
      </c>
      <c r="U150" s="49" cm="1">
        <f t="array" ref="U150">IF($A150="","",IF(AND(H150="Applicable",OR(L150="Gap",L150="Partial coverage")),INDEX(RISK_SCALE_NAMES,MAX(IFERROR(MATCH(P150,RISK_SCALE_NAMES,0),1),IFERROR(MATCH(S150,RISK_SCALE_NAMES,0),0))),""))</f>
        <v/>
      </c>
      <c r="V150" s="49" cm="1">
        <f t="array" ref="V150">IF($A150="","",_xlfn.TEXTJOIN("; ",TRUE,_xlfn._xlws.FILTER(tblThreatControls[Threat ID],(tblThreatControls[Control ID]=$A150)*(tblThreatControls[Threat applies]="Applies"),"")))</f>
        <v/>
      </c>
    </row>
    <row r="151" ht="45" customHeight="1" s="19">
      <c r="A151" s="49" t="n"/>
      <c r="B151" s="49" t="n"/>
      <c r="C151" s="49" t="n"/>
      <c r="D151" s="50" t="n"/>
      <c r="E151" s="49" t="n"/>
      <c r="F151" s="49" t="n"/>
      <c r="G151" s="49">
        <f>TRUE()</f>
        <v/>
      </c>
      <c r="H151" s="50">
        <f>IF($A151="","",IF(AND(G151,D151&lt;=TARGET_LEVEL_NUM),"Applicable","N/A"))</f>
        <v/>
      </c>
      <c r="I151" s="49" t="n"/>
      <c r="J151" s="49" t="n"/>
      <c r="K151" s="49" t="n"/>
      <c r="L151" s="49" t="n"/>
      <c r="M151" s="49" t="n"/>
      <c r="N151" s="49" t="n"/>
      <c r="O151" s="50" t="n"/>
      <c r="P151" s="50">
        <f>IF($A151="","",IF(H151="N/A","N/A",IFERROR(INDEX(CRIT_MATRIX,MATCH(O151,CRIT_MATRIX_ROWS,0),MATCH(APP_RISK_TIER,CRIT_MATRIX_COLS,0)),"")))</f>
        <v/>
      </c>
      <c r="Q151" s="49" t="n"/>
      <c r="R151" s="49" cm="1">
        <f t="array" ref="R151">IF($A151="","",COUNTIFS(tblThreatControls[Control ID],$A151,tblThreatControls[Threat applies],"Applies"))</f>
        <v/>
      </c>
      <c r="S151" s="49" cm="1">
        <f t="array" ref="S151">IF($A151="","",IF(R151=0,"",INDEX(RISK_SCALE_NAMES,_xlfn.MAXIFS(tblThreatControls[Threat risk score],tblThreatControls[Control ID],$A151))))</f>
        <v/>
      </c>
      <c r="T151" s="49" cm="1">
        <f t="array" ref="T151">IF($A151="","",IF(AND(H151="Applicable",OR(L151="Not assessed",L151=""),R151&gt;0),"Yes","No"))</f>
        <v/>
      </c>
      <c r="U151" s="49" cm="1">
        <f t="array" ref="U151">IF($A151="","",IF(AND(H151="Applicable",OR(L151="Gap",L151="Partial coverage")),INDEX(RISK_SCALE_NAMES,MAX(IFERROR(MATCH(P151,RISK_SCALE_NAMES,0),1),IFERROR(MATCH(S151,RISK_SCALE_NAMES,0),0))),""))</f>
        <v/>
      </c>
      <c r="V151" s="49" cm="1">
        <f t="array" ref="V151">IF($A151="","",_xlfn.TEXTJOIN("; ",TRUE,_xlfn._xlws.FILTER(tblThreatControls[Threat ID],(tblThreatControls[Control ID]=$A151)*(tblThreatControls[Threat applies]="Applies"),"")))</f>
        <v/>
      </c>
    </row>
    <row r="152" ht="45" customHeight="1" s="19">
      <c r="A152" s="49" t="n"/>
      <c r="B152" s="49" t="n"/>
      <c r="C152" s="49" t="n"/>
      <c r="D152" s="50" t="n"/>
      <c r="E152" s="49" t="n"/>
      <c r="F152" s="49" t="n"/>
      <c r="G152" s="49">
        <f>TRUE()</f>
        <v/>
      </c>
      <c r="H152" s="50">
        <f>IF($A152="","",IF(AND(G152,D152&lt;=TARGET_LEVEL_NUM),"Applicable","N/A"))</f>
        <v/>
      </c>
      <c r="I152" s="49" t="n"/>
      <c r="J152" s="49" t="n"/>
      <c r="K152" s="49" t="n"/>
      <c r="L152" s="49" t="n"/>
      <c r="M152" s="49" t="n"/>
      <c r="N152" s="49" t="n"/>
      <c r="O152" s="50" t="n"/>
      <c r="P152" s="50">
        <f>IF($A152="","",IF(H152="N/A","N/A",IFERROR(INDEX(CRIT_MATRIX,MATCH(O152,CRIT_MATRIX_ROWS,0),MATCH(APP_RISK_TIER,CRIT_MATRIX_COLS,0)),"")))</f>
        <v/>
      </c>
      <c r="Q152" s="49" t="n"/>
      <c r="R152" s="49" cm="1">
        <f t="array" ref="R152">IF($A152="","",COUNTIFS(tblThreatControls[Control ID],$A152,tblThreatControls[Threat applies],"Applies"))</f>
        <v/>
      </c>
      <c r="S152" s="49" cm="1">
        <f t="array" ref="S152">IF($A152="","",IF(R152=0,"",INDEX(RISK_SCALE_NAMES,_xlfn.MAXIFS(tblThreatControls[Threat risk score],tblThreatControls[Control ID],$A152))))</f>
        <v/>
      </c>
      <c r="T152" s="49" cm="1">
        <f t="array" ref="T152">IF($A152="","",IF(AND(H152="Applicable",OR(L152="Not assessed",L152=""),R152&gt;0),"Yes","No"))</f>
        <v/>
      </c>
      <c r="U152" s="49" cm="1">
        <f t="array" ref="U152">IF($A152="","",IF(AND(H152="Applicable",OR(L152="Gap",L152="Partial coverage")),INDEX(RISK_SCALE_NAMES,MAX(IFERROR(MATCH(P152,RISK_SCALE_NAMES,0),1),IFERROR(MATCH(S152,RISK_SCALE_NAMES,0),0))),""))</f>
        <v/>
      </c>
      <c r="V152" s="49" cm="1">
        <f t="array" ref="V152">IF($A152="","",_xlfn.TEXTJOIN("; ",TRUE,_xlfn._xlws.FILTER(tblThreatControls[Threat ID],(tblThreatControls[Control ID]=$A152)*(tblThreatControls[Threat applies]="Applies"),"")))</f>
        <v/>
      </c>
    </row>
    <row r="153" ht="45" customHeight="1" s="19">
      <c r="A153" s="49" t="n"/>
      <c r="B153" s="49" t="n"/>
      <c r="C153" s="49" t="n"/>
      <c r="D153" s="50" t="n"/>
      <c r="E153" s="49" t="n"/>
      <c r="F153" s="49" t="n"/>
      <c r="G153" s="49">
        <f>TRUE()</f>
        <v/>
      </c>
      <c r="H153" s="50">
        <f>IF($A153="","",IF(AND(G153,D153&lt;=TARGET_LEVEL_NUM),"Applicable","N/A"))</f>
        <v/>
      </c>
      <c r="I153" s="49" t="n"/>
      <c r="J153" s="49" t="n"/>
      <c r="K153" s="49" t="n"/>
      <c r="L153" s="49" t="n"/>
      <c r="M153" s="49" t="n"/>
      <c r="N153" s="49" t="n"/>
      <c r="O153" s="50" t="n"/>
      <c r="P153" s="50">
        <f>IF($A153="","",IF(H153="N/A","N/A",IFERROR(INDEX(CRIT_MATRIX,MATCH(O153,CRIT_MATRIX_ROWS,0),MATCH(APP_RISK_TIER,CRIT_MATRIX_COLS,0)),"")))</f>
        <v/>
      </c>
      <c r="Q153" s="49" t="n"/>
      <c r="R153" s="49" cm="1">
        <f t="array" ref="R153">IF($A153="","",COUNTIFS(tblThreatControls[Control ID],$A153,tblThreatControls[Threat applies],"Applies"))</f>
        <v/>
      </c>
      <c r="S153" s="49" cm="1">
        <f t="array" ref="S153">IF($A153="","",IF(R153=0,"",INDEX(RISK_SCALE_NAMES,_xlfn.MAXIFS(tblThreatControls[Threat risk score],tblThreatControls[Control ID],$A153))))</f>
        <v/>
      </c>
      <c r="T153" s="49" cm="1">
        <f t="array" ref="T153">IF($A153="","",IF(AND(H153="Applicable",OR(L153="Not assessed",L153=""),R153&gt;0),"Yes","No"))</f>
        <v/>
      </c>
      <c r="U153" s="49" cm="1">
        <f t="array" ref="U153">IF($A153="","",IF(AND(H153="Applicable",OR(L153="Gap",L153="Partial coverage")),INDEX(RISK_SCALE_NAMES,MAX(IFERROR(MATCH(P153,RISK_SCALE_NAMES,0),1),IFERROR(MATCH(S153,RISK_SCALE_NAMES,0),0))),""))</f>
        <v/>
      </c>
      <c r="V153" s="49" cm="1">
        <f t="array" ref="V153">IF($A153="","",_xlfn.TEXTJOIN("; ",TRUE,_xlfn._xlws.FILTER(tblThreatControls[Threat ID],(tblThreatControls[Control ID]=$A153)*(tblThreatControls[Threat applies]="Applies"),"")))</f>
        <v/>
      </c>
    </row>
    <row r="154" ht="45" customHeight="1" s="19">
      <c r="A154" s="49" t="n"/>
      <c r="B154" s="49" t="n"/>
      <c r="C154" s="49" t="n"/>
      <c r="D154" s="50" t="n"/>
      <c r="E154" s="49" t="n"/>
      <c r="F154" s="49" t="n"/>
      <c r="G154" s="49">
        <f>TRUE()</f>
        <v/>
      </c>
      <c r="H154" s="50">
        <f>IF($A154="","",IF(AND(G154,D154&lt;=TARGET_LEVEL_NUM),"Applicable","N/A"))</f>
        <v/>
      </c>
      <c r="I154" s="49" t="n"/>
      <c r="J154" s="49" t="n"/>
      <c r="K154" s="49" t="n"/>
      <c r="L154" s="49" t="n"/>
      <c r="M154" s="49" t="n"/>
      <c r="N154" s="49" t="n"/>
      <c r="O154" s="50" t="n"/>
      <c r="P154" s="50">
        <f>IF($A154="","",IF(H154="N/A","N/A",IFERROR(INDEX(CRIT_MATRIX,MATCH(O154,CRIT_MATRIX_ROWS,0),MATCH(APP_RISK_TIER,CRIT_MATRIX_COLS,0)),"")))</f>
        <v/>
      </c>
      <c r="Q154" s="49" t="n"/>
      <c r="R154" s="49" cm="1">
        <f t="array" ref="R154">IF($A154="","",COUNTIFS(tblThreatControls[Control ID],$A154,tblThreatControls[Threat applies],"Applies"))</f>
        <v/>
      </c>
      <c r="S154" s="49" cm="1">
        <f t="array" ref="S154">IF($A154="","",IF(R154=0,"",INDEX(RISK_SCALE_NAMES,_xlfn.MAXIFS(tblThreatControls[Threat risk score],tblThreatControls[Control ID],$A154))))</f>
        <v/>
      </c>
      <c r="T154" s="49" cm="1">
        <f t="array" ref="T154">IF($A154="","",IF(AND(H154="Applicable",OR(L154="Not assessed",L154=""),R154&gt;0),"Yes","No"))</f>
        <v/>
      </c>
      <c r="U154" s="49" cm="1">
        <f t="array" ref="U154">IF($A154="","",IF(AND(H154="Applicable",OR(L154="Gap",L154="Partial coverage")),INDEX(RISK_SCALE_NAMES,MAX(IFERROR(MATCH(P154,RISK_SCALE_NAMES,0),1),IFERROR(MATCH(S154,RISK_SCALE_NAMES,0),0))),""))</f>
        <v/>
      </c>
      <c r="V154" s="49" cm="1">
        <f t="array" ref="V154">IF($A154="","",_xlfn.TEXTJOIN("; ",TRUE,_xlfn._xlws.FILTER(tblThreatControls[Threat ID],(tblThreatControls[Control ID]=$A154)*(tblThreatControls[Threat applies]="Applies"),"")))</f>
        <v/>
      </c>
    </row>
    <row r="155" ht="45" customHeight="1" s="19">
      <c r="A155" s="49" t="n"/>
      <c r="B155" s="49" t="n"/>
      <c r="C155" s="49" t="n"/>
      <c r="D155" s="50" t="n"/>
      <c r="E155" s="49" t="n"/>
      <c r="F155" s="49" t="n"/>
      <c r="G155" s="49">
        <f>TRUE()</f>
        <v/>
      </c>
      <c r="H155" s="50">
        <f>IF($A155="","",IF(AND(G155,D155&lt;=TARGET_LEVEL_NUM),"Applicable","N/A"))</f>
        <v/>
      </c>
      <c r="I155" s="49" t="n"/>
      <c r="J155" s="49" t="n"/>
      <c r="K155" s="49" t="n"/>
      <c r="L155" s="49" t="n"/>
      <c r="M155" s="49" t="n"/>
      <c r="N155" s="49" t="n"/>
      <c r="O155" s="50" t="n"/>
      <c r="P155" s="50">
        <f>IF($A155="","",IF(H155="N/A","N/A",IFERROR(INDEX(CRIT_MATRIX,MATCH(O155,CRIT_MATRIX_ROWS,0),MATCH(APP_RISK_TIER,CRIT_MATRIX_COLS,0)),"")))</f>
        <v/>
      </c>
      <c r="Q155" s="49" t="n"/>
      <c r="R155" s="49" cm="1">
        <f t="array" ref="R155">IF($A155="","",COUNTIFS(tblThreatControls[Control ID],$A155,tblThreatControls[Threat applies],"Applies"))</f>
        <v/>
      </c>
      <c r="S155" s="49" cm="1">
        <f t="array" ref="S155">IF($A155="","",IF(R155=0,"",INDEX(RISK_SCALE_NAMES,_xlfn.MAXIFS(tblThreatControls[Threat risk score],tblThreatControls[Control ID],$A155))))</f>
        <v/>
      </c>
      <c r="T155" s="49" cm="1">
        <f t="array" ref="T155">IF($A155="","",IF(AND(H155="Applicable",OR(L155="Not assessed",L155=""),R155&gt;0),"Yes","No"))</f>
        <v/>
      </c>
      <c r="U155" s="49" cm="1">
        <f t="array" ref="U155">IF($A155="","",IF(AND(H155="Applicable",OR(L155="Gap",L155="Partial coverage")),INDEX(RISK_SCALE_NAMES,MAX(IFERROR(MATCH(P155,RISK_SCALE_NAMES,0),1),IFERROR(MATCH(S155,RISK_SCALE_NAMES,0),0))),""))</f>
        <v/>
      </c>
      <c r="V155" s="49" cm="1">
        <f t="array" ref="V155">IF($A155="","",_xlfn.TEXTJOIN("; ",TRUE,_xlfn._xlws.FILTER(tblThreatControls[Threat ID],(tblThreatControls[Control ID]=$A155)*(tblThreatControls[Threat applies]="Applies"),"")))</f>
        <v/>
      </c>
    </row>
    <row r="156" ht="45" customHeight="1" s="19">
      <c r="A156" s="49" t="n"/>
      <c r="B156" s="49" t="n"/>
      <c r="C156" s="49" t="n"/>
      <c r="D156" s="50" t="n"/>
      <c r="E156" s="49" t="n"/>
      <c r="F156" s="49" t="n"/>
      <c r="G156" s="49">
        <f>TRUE()</f>
        <v/>
      </c>
      <c r="H156" s="50">
        <f>IF($A156="","",IF(AND(G156,D156&lt;=TARGET_LEVEL_NUM),"Applicable","N/A"))</f>
        <v/>
      </c>
      <c r="I156" s="49" t="n"/>
      <c r="J156" s="49" t="n"/>
      <c r="K156" s="49" t="n"/>
      <c r="L156" s="49" t="n"/>
      <c r="M156" s="49" t="n"/>
      <c r="N156" s="49" t="n"/>
      <c r="O156" s="50" t="n"/>
      <c r="P156" s="50">
        <f>IF($A156="","",IF(H156="N/A","N/A",IFERROR(INDEX(CRIT_MATRIX,MATCH(O156,CRIT_MATRIX_ROWS,0),MATCH(APP_RISK_TIER,CRIT_MATRIX_COLS,0)),"")))</f>
        <v/>
      </c>
      <c r="Q156" s="49" t="n"/>
      <c r="R156" s="49" cm="1">
        <f t="array" ref="R156">IF($A156="","",COUNTIFS(tblThreatControls[Control ID],$A156,tblThreatControls[Threat applies],"Applies"))</f>
        <v/>
      </c>
      <c r="S156" s="49" cm="1">
        <f t="array" ref="S156">IF($A156="","",IF(R156=0,"",INDEX(RISK_SCALE_NAMES,_xlfn.MAXIFS(tblThreatControls[Threat risk score],tblThreatControls[Control ID],$A156))))</f>
        <v/>
      </c>
      <c r="T156" s="49" cm="1">
        <f t="array" ref="T156">IF($A156="","",IF(AND(H156="Applicable",OR(L156="Not assessed",L156=""),R156&gt;0),"Yes","No"))</f>
        <v/>
      </c>
      <c r="U156" s="49" cm="1">
        <f t="array" ref="U156">IF($A156="","",IF(AND(H156="Applicable",OR(L156="Gap",L156="Partial coverage")),INDEX(RISK_SCALE_NAMES,MAX(IFERROR(MATCH(P156,RISK_SCALE_NAMES,0),1),IFERROR(MATCH(S156,RISK_SCALE_NAMES,0),0))),""))</f>
        <v/>
      </c>
      <c r="V156" s="49" cm="1">
        <f t="array" ref="V156">IF($A156="","",_xlfn.TEXTJOIN("; ",TRUE,_xlfn._xlws.FILTER(tblThreatControls[Threat ID],(tblThreatControls[Control ID]=$A156)*(tblThreatControls[Threat applies]="Applies"),"")))</f>
        <v/>
      </c>
    </row>
    <row r="157" ht="45" customHeight="1" s="19">
      <c r="A157" s="49" t="n"/>
      <c r="B157" s="49" t="n"/>
      <c r="C157" s="49" t="n"/>
      <c r="D157" s="50" t="n"/>
      <c r="E157" s="49" t="n"/>
      <c r="F157" s="49" t="n"/>
      <c r="G157" s="49">
        <f>TRUE()</f>
        <v/>
      </c>
      <c r="H157" s="50">
        <f>IF($A157="","",IF(AND(G157,D157&lt;=TARGET_LEVEL_NUM),"Applicable","N/A"))</f>
        <v/>
      </c>
      <c r="I157" s="49" t="n"/>
      <c r="J157" s="49" t="n"/>
      <c r="K157" s="49" t="n"/>
      <c r="L157" s="49" t="n"/>
      <c r="M157" s="49" t="n"/>
      <c r="N157" s="49" t="n"/>
      <c r="O157" s="50" t="n"/>
      <c r="P157" s="50">
        <f>IF($A157="","",IF(H157="N/A","N/A",IFERROR(INDEX(CRIT_MATRIX,MATCH(O157,CRIT_MATRIX_ROWS,0),MATCH(APP_RISK_TIER,CRIT_MATRIX_COLS,0)),"")))</f>
        <v/>
      </c>
      <c r="Q157" s="49" t="n"/>
      <c r="R157" s="49" cm="1">
        <f t="array" ref="R157">IF($A157="","",COUNTIFS(tblThreatControls[Control ID],$A157,tblThreatControls[Threat applies],"Applies"))</f>
        <v/>
      </c>
      <c r="S157" s="49" cm="1">
        <f t="array" ref="S157">IF($A157="","",IF(R157=0,"",INDEX(RISK_SCALE_NAMES,_xlfn.MAXIFS(tblThreatControls[Threat risk score],tblThreatControls[Control ID],$A157))))</f>
        <v/>
      </c>
      <c r="T157" s="49" cm="1">
        <f t="array" ref="T157">IF($A157="","",IF(AND(H157="Applicable",OR(L157="Not assessed",L157=""),R157&gt;0),"Yes","No"))</f>
        <v/>
      </c>
      <c r="U157" s="49" cm="1">
        <f t="array" ref="U157">IF($A157="","",IF(AND(H157="Applicable",OR(L157="Gap",L157="Partial coverage")),INDEX(RISK_SCALE_NAMES,MAX(IFERROR(MATCH(P157,RISK_SCALE_NAMES,0),1),IFERROR(MATCH(S157,RISK_SCALE_NAMES,0),0))),""))</f>
        <v/>
      </c>
      <c r="V157" s="49" cm="1">
        <f t="array" ref="V157">IF($A157="","",_xlfn.TEXTJOIN("; ",TRUE,_xlfn._xlws.FILTER(tblThreatControls[Threat ID],(tblThreatControls[Control ID]=$A157)*(tblThreatControls[Threat applies]="Applies"),"")))</f>
        <v/>
      </c>
    </row>
    <row r="158" ht="45" customHeight="1" s="19">
      <c r="A158" s="49" t="n"/>
      <c r="B158" s="49" t="n"/>
      <c r="C158" s="49" t="n"/>
      <c r="D158" s="50" t="n"/>
      <c r="E158" s="49" t="n"/>
      <c r="F158" s="49" t="n"/>
      <c r="G158" s="49">
        <f>TRUE()</f>
        <v/>
      </c>
      <c r="H158" s="50">
        <f>IF($A158="","",IF(AND(G158,D158&lt;=TARGET_LEVEL_NUM),"Applicable","N/A"))</f>
        <v/>
      </c>
      <c r="I158" s="49" t="n"/>
      <c r="J158" s="49" t="n"/>
      <c r="K158" s="49" t="n"/>
      <c r="L158" s="49" t="n"/>
      <c r="M158" s="49" t="n"/>
      <c r="N158" s="49" t="n"/>
      <c r="O158" s="50" t="n"/>
      <c r="P158" s="50">
        <f>IF($A158="","",IF(H158="N/A","N/A",IFERROR(INDEX(CRIT_MATRIX,MATCH(O158,CRIT_MATRIX_ROWS,0),MATCH(APP_RISK_TIER,CRIT_MATRIX_COLS,0)),"")))</f>
        <v/>
      </c>
      <c r="Q158" s="49" t="n"/>
      <c r="R158" s="49" cm="1">
        <f t="array" ref="R158">IF($A158="","",COUNTIFS(tblThreatControls[Control ID],$A158,tblThreatControls[Threat applies],"Applies"))</f>
        <v/>
      </c>
      <c r="S158" s="49" cm="1">
        <f t="array" ref="S158">IF($A158="","",IF(R158=0,"",INDEX(RISK_SCALE_NAMES,_xlfn.MAXIFS(tblThreatControls[Threat risk score],tblThreatControls[Control ID],$A158))))</f>
        <v/>
      </c>
      <c r="T158" s="49" cm="1">
        <f t="array" ref="T158">IF($A158="","",IF(AND(H158="Applicable",OR(L158="Not assessed",L158=""),R158&gt;0),"Yes","No"))</f>
        <v/>
      </c>
      <c r="U158" s="49" cm="1">
        <f t="array" ref="U158">IF($A158="","",IF(AND(H158="Applicable",OR(L158="Gap",L158="Partial coverage")),INDEX(RISK_SCALE_NAMES,MAX(IFERROR(MATCH(P158,RISK_SCALE_NAMES,0),1),IFERROR(MATCH(S158,RISK_SCALE_NAMES,0),0))),""))</f>
        <v/>
      </c>
      <c r="V158" s="49" cm="1">
        <f t="array" ref="V158">IF($A158="","",_xlfn.TEXTJOIN("; ",TRUE,_xlfn._xlws.FILTER(tblThreatControls[Threat ID],(tblThreatControls[Control ID]=$A158)*(tblThreatControls[Threat applies]="Applies"),"")))</f>
        <v/>
      </c>
    </row>
    <row r="159" ht="45" customHeight="1" s="19">
      <c r="A159" s="49" t="n"/>
      <c r="B159" s="49" t="n"/>
      <c r="C159" s="49" t="n"/>
      <c r="D159" s="50" t="n"/>
      <c r="E159" s="49" t="n"/>
      <c r="F159" s="49" t="n"/>
      <c r="G159" s="49">
        <f>TRUE()</f>
        <v/>
      </c>
      <c r="H159" s="50">
        <f>IF($A159="","",IF(AND(G159,D159&lt;=TARGET_LEVEL_NUM),"Applicable","N/A"))</f>
        <v/>
      </c>
      <c r="I159" s="49" t="n"/>
      <c r="J159" s="49" t="n"/>
      <c r="K159" s="49" t="n"/>
      <c r="L159" s="49" t="n"/>
      <c r="M159" s="49" t="n"/>
      <c r="N159" s="49" t="n"/>
      <c r="O159" s="50" t="n"/>
      <c r="P159" s="50">
        <f>IF($A159="","",IF(H159="N/A","N/A",IFERROR(INDEX(CRIT_MATRIX,MATCH(O159,CRIT_MATRIX_ROWS,0),MATCH(APP_RISK_TIER,CRIT_MATRIX_COLS,0)),"")))</f>
        <v/>
      </c>
      <c r="Q159" s="49" t="n"/>
      <c r="R159" s="49" cm="1">
        <f t="array" ref="R159">IF($A159="","",COUNTIFS(tblThreatControls[Control ID],$A159,tblThreatControls[Threat applies],"Applies"))</f>
        <v/>
      </c>
      <c r="S159" s="49" cm="1">
        <f t="array" ref="S159">IF($A159="","",IF(R159=0,"",INDEX(RISK_SCALE_NAMES,_xlfn.MAXIFS(tblThreatControls[Threat risk score],tblThreatControls[Control ID],$A159))))</f>
        <v/>
      </c>
      <c r="T159" s="49" cm="1">
        <f t="array" ref="T159">IF($A159="","",IF(AND(H159="Applicable",OR(L159="Not assessed",L159=""),R159&gt;0),"Yes","No"))</f>
        <v/>
      </c>
      <c r="U159" s="49" cm="1">
        <f t="array" ref="U159">IF($A159="","",IF(AND(H159="Applicable",OR(L159="Gap",L159="Partial coverage")),INDEX(RISK_SCALE_NAMES,MAX(IFERROR(MATCH(P159,RISK_SCALE_NAMES,0),1),IFERROR(MATCH(S159,RISK_SCALE_NAMES,0),0))),""))</f>
        <v/>
      </c>
      <c r="V159" s="49" cm="1">
        <f t="array" ref="V159">IF($A159="","",_xlfn.TEXTJOIN("; ",TRUE,_xlfn._xlws.FILTER(tblThreatControls[Threat ID],(tblThreatControls[Control ID]=$A159)*(tblThreatControls[Threat applies]="Applies"),"")))</f>
        <v/>
      </c>
    </row>
    <row r="160" ht="45" customHeight="1" s="19">
      <c r="A160" s="49" t="n"/>
      <c r="B160" s="49" t="n"/>
      <c r="C160" s="49" t="n"/>
      <c r="D160" s="50" t="n"/>
      <c r="E160" s="49" t="n"/>
      <c r="F160" s="49" t="n"/>
      <c r="G160" s="49">
        <f>TRUE()</f>
        <v/>
      </c>
      <c r="H160" s="50">
        <f>IF($A160="","",IF(AND(G160,D160&lt;=TARGET_LEVEL_NUM),"Applicable","N/A"))</f>
        <v/>
      </c>
      <c r="I160" s="49" t="n"/>
      <c r="J160" s="49" t="n"/>
      <c r="K160" s="49" t="n"/>
      <c r="L160" s="49" t="n"/>
      <c r="M160" s="49" t="n"/>
      <c r="N160" s="49" t="n"/>
      <c r="O160" s="50" t="n"/>
      <c r="P160" s="50">
        <f>IF($A160="","",IF(H160="N/A","N/A",IFERROR(INDEX(CRIT_MATRIX,MATCH(O160,CRIT_MATRIX_ROWS,0),MATCH(APP_RISK_TIER,CRIT_MATRIX_COLS,0)),"")))</f>
        <v/>
      </c>
      <c r="Q160" s="49" t="n"/>
      <c r="R160" s="49" cm="1">
        <f t="array" ref="R160">IF($A160="","",COUNTIFS(tblThreatControls[Control ID],$A160,tblThreatControls[Threat applies],"Applies"))</f>
        <v/>
      </c>
      <c r="S160" s="49" cm="1">
        <f t="array" ref="S160">IF($A160="","",IF(R160=0,"",INDEX(RISK_SCALE_NAMES,_xlfn.MAXIFS(tblThreatControls[Threat risk score],tblThreatControls[Control ID],$A160))))</f>
        <v/>
      </c>
      <c r="T160" s="49" cm="1">
        <f t="array" ref="T160">IF($A160="","",IF(AND(H160="Applicable",OR(L160="Not assessed",L160=""),R160&gt;0),"Yes","No"))</f>
        <v/>
      </c>
      <c r="U160" s="49" cm="1">
        <f t="array" ref="U160">IF($A160="","",IF(AND(H160="Applicable",OR(L160="Gap",L160="Partial coverage")),INDEX(RISK_SCALE_NAMES,MAX(IFERROR(MATCH(P160,RISK_SCALE_NAMES,0),1),IFERROR(MATCH(S160,RISK_SCALE_NAMES,0),0))),""))</f>
        <v/>
      </c>
      <c r="V160" s="49" cm="1">
        <f t="array" ref="V160">IF($A160="","",_xlfn.TEXTJOIN("; ",TRUE,_xlfn._xlws.FILTER(tblThreatControls[Threat ID],(tblThreatControls[Control ID]=$A160)*(tblThreatControls[Threat applies]="Applies"),"")))</f>
        <v/>
      </c>
    </row>
    <row r="161" ht="45" customHeight="1" s="19">
      <c r="A161" s="49" t="n"/>
      <c r="B161" s="49" t="n"/>
      <c r="C161" s="49" t="n"/>
      <c r="D161" s="50" t="n"/>
      <c r="E161" s="49" t="n"/>
      <c r="F161" s="49" t="n"/>
      <c r="G161" s="49">
        <f>TRUE()</f>
        <v/>
      </c>
      <c r="H161" s="50">
        <f>IF($A161="","",IF(AND(G161,D161&lt;=TARGET_LEVEL_NUM),"Applicable","N/A"))</f>
        <v/>
      </c>
      <c r="I161" s="49" t="n"/>
      <c r="J161" s="49" t="n"/>
      <c r="K161" s="49" t="n"/>
      <c r="L161" s="49" t="n"/>
      <c r="M161" s="49" t="n"/>
      <c r="N161" s="49" t="n"/>
      <c r="O161" s="50" t="n"/>
      <c r="P161" s="50">
        <f>IF($A161="","",IF(H161="N/A","N/A",IFERROR(INDEX(CRIT_MATRIX,MATCH(O161,CRIT_MATRIX_ROWS,0),MATCH(APP_RISK_TIER,CRIT_MATRIX_COLS,0)),"")))</f>
        <v/>
      </c>
      <c r="Q161" s="49" t="n"/>
      <c r="R161" s="49" cm="1">
        <f t="array" ref="R161">IF($A161="","",COUNTIFS(tblThreatControls[Control ID],$A161,tblThreatControls[Threat applies],"Applies"))</f>
        <v/>
      </c>
      <c r="S161" s="49" cm="1">
        <f t="array" ref="S161">IF($A161="","",IF(R161=0,"",INDEX(RISK_SCALE_NAMES,_xlfn.MAXIFS(tblThreatControls[Threat risk score],tblThreatControls[Control ID],$A161))))</f>
        <v/>
      </c>
      <c r="T161" s="49" cm="1">
        <f t="array" ref="T161">IF($A161="","",IF(AND(H161="Applicable",OR(L161="Not assessed",L161=""),R161&gt;0),"Yes","No"))</f>
        <v/>
      </c>
      <c r="U161" s="49" cm="1">
        <f t="array" ref="U161">IF($A161="","",IF(AND(H161="Applicable",OR(L161="Gap",L161="Partial coverage")),INDEX(RISK_SCALE_NAMES,MAX(IFERROR(MATCH(P161,RISK_SCALE_NAMES,0),1),IFERROR(MATCH(S161,RISK_SCALE_NAMES,0),0))),""))</f>
        <v/>
      </c>
      <c r="V161" s="49" cm="1">
        <f t="array" ref="V161">IF($A161="","",_xlfn.TEXTJOIN("; ",TRUE,_xlfn._xlws.FILTER(tblThreatControls[Threat ID],(tblThreatControls[Control ID]=$A161)*(tblThreatControls[Threat applies]="Applies"),"")))</f>
        <v/>
      </c>
    </row>
    <row r="162" ht="45" customHeight="1" s="19">
      <c r="A162" s="49" t="n"/>
      <c r="B162" s="49" t="n"/>
      <c r="C162" s="49" t="n"/>
      <c r="D162" s="50" t="n"/>
      <c r="E162" s="49" t="n"/>
      <c r="F162" s="49" t="n"/>
      <c r="G162" s="49">
        <f>TRUE()</f>
        <v/>
      </c>
      <c r="H162" s="50">
        <f>IF($A162="","",IF(AND(G162,D162&lt;=TARGET_LEVEL_NUM),"Applicable","N/A"))</f>
        <v/>
      </c>
      <c r="I162" s="49" t="n"/>
      <c r="J162" s="49" t="n"/>
      <c r="K162" s="49" t="n"/>
      <c r="L162" s="49" t="n"/>
      <c r="M162" s="49" t="n"/>
      <c r="N162" s="49" t="n"/>
      <c r="O162" s="50" t="n"/>
      <c r="P162" s="50">
        <f>IF($A162="","",IF(H162="N/A","N/A",IFERROR(INDEX(CRIT_MATRIX,MATCH(O162,CRIT_MATRIX_ROWS,0),MATCH(APP_RISK_TIER,CRIT_MATRIX_COLS,0)),"")))</f>
        <v/>
      </c>
      <c r="Q162" s="49" t="n"/>
      <c r="R162" s="49" cm="1">
        <f t="array" ref="R162">IF($A162="","",COUNTIFS(tblThreatControls[Control ID],$A162,tblThreatControls[Threat applies],"Applies"))</f>
        <v/>
      </c>
      <c r="S162" s="49" cm="1">
        <f t="array" ref="S162">IF($A162="","",IF(R162=0,"",INDEX(RISK_SCALE_NAMES,_xlfn.MAXIFS(tblThreatControls[Threat risk score],tblThreatControls[Control ID],$A162))))</f>
        <v/>
      </c>
      <c r="T162" s="49" cm="1">
        <f t="array" ref="T162">IF($A162="","",IF(AND(H162="Applicable",OR(L162="Not assessed",L162=""),R162&gt;0),"Yes","No"))</f>
        <v/>
      </c>
      <c r="U162" s="49" cm="1">
        <f t="array" ref="U162">IF($A162="","",IF(AND(H162="Applicable",OR(L162="Gap",L162="Partial coverage")),INDEX(RISK_SCALE_NAMES,MAX(IFERROR(MATCH(P162,RISK_SCALE_NAMES,0),1),IFERROR(MATCH(S162,RISK_SCALE_NAMES,0),0))),""))</f>
        <v/>
      </c>
      <c r="V162" s="49" cm="1">
        <f t="array" ref="V162">IF($A162="","",_xlfn.TEXTJOIN("; ",TRUE,_xlfn._xlws.FILTER(tblThreatControls[Threat ID],(tblThreatControls[Control ID]=$A162)*(tblThreatControls[Threat applies]="Applies"),"")))</f>
        <v/>
      </c>
    </row>
    <row r="163" ht="45" customHeight="1" s="19">
      <c r="A163" s="49" t="n"/>
      <c r="B163" s="49" t="n"/>
      <c r="C163" s="49" t="n"/>
      <c r="D163" s="50" t="n"/>
      <c r="E163" s="49" t="n"/>
      <c r="F163" s="49" t="n"/>
      <c r="G163" s="49">
        <f>TRUE()</f>
        <v/>
      </c>
      <c r="H163" s="50">
        <f>IF($A163="","",IF(AND(G163,D163&lt;=TARGET_LEVEL_NUM),"Applicable","N/A"))</f>
        <v/>
      </c>
      <c r="I163" s="49" t="n"/>
      <c r="J163" s="49" t="n"/>
      <c r="K163" s="49" t="n"/>
      <c r="L163" s="49" t="n"/>
      <c r="M163" s="49" t="n"/>
      <c r="N163" s="49" t="n"/>
      <c r="O163" s="50" t="n"/>
      <c r="P163" s="50">
        <f>IF($A163="","",IF(H163="N/A","N/A",IFERROR(INDEX(CRIT_MATRIX,MATCH(O163,CRIT_MATRIX_ROWS,0),MATCH(APP_RISK_TIER,CRIT_MATRIX_COLS,0)),"")))</f>
        <v/>
      </c>
      <c r="Q163" s="49" t="n"/>
      <c r="R163" s="49" cm="1">
        <f t="array" ref="R163">IF($A163="","",COUNTIFS(tblThreatControls[Control ID],$A163,tblThreatControls[Threat applies],"Applies"))</f>
        <v/>
      </c>
      <c r="S163" s="49" cm="1">
        <f t="array" ref="S163">IF($A163="","",IF(R163=0,"",INDEX(RISK_SCALE_NAMES,_xlfn.MAXIFS(tblThreatControls[Threat risk score],tblThreatControls[Control ID],$A163))))</f>
        <v/>
      </c>
      <c r="T163" s="49" cm="1">
        <f t="array" ref="T163">IF($A163="","",IF(AND(H163="Applicable",OR(L163="Not assessed",L163=""),R163&gt;0),"Yes","No"))</f>
        <v/>
      </c>
      <c r="U163" s="49" cm="1">
        <f t="array" ref="U163">IF($A163="","",IF(AND(H163="Applicable",OR(L163="Gap",L163="Partial coverage")),INDEX(RISK_SCALE_NAMES,MAX(IFERROR(MATCH(P163,RISK_SCALE_NAMES,0),1),IFERROR(MATCH(S163,RISK_SCALE_NAMES,0),0))),""))</f>
        <v/>
      </c>
      <c r="V163" s="49" cm="1">
        <f t="array" ref="V163">IF($A163="","",_xlfn.TEXTJOIN("; ",TRUE,_xlfn._xlws.FILTER(tblThreatControls[Threat ID],(tblThreatControls[Control ID]=$A163)*(tblThreatControls[Threat applies]="Applies"),"")))</f>
        <v/>
      </c>
    </row>
    <row r="164" ht="45" customHeight="1" s="19">
      <c r="A164" s="49" t="n"/>
      <c r="B164" s="49" t="n"/>
      <c r="C164" s="49" t="n"/>
      <c r="D164" s="50" t="n"/>
      <c r="E164" s="49" t="n"/>
      <c r="F164" s="49" t="n"/>
      <c r="G164" s="49">
        <f>TRUE()</f>
        <v/>
      </c>
      <c r="H164" s="50">
        <f>IF($A164="","",IF(AND(G164,D164&lt;=TARGET_LEVEL_NUM),"Applicable","N/A"))</f>
        <v/>
      </c>
      <c r="I164" s="49" t="n"/>
      <c r="J164" s="49" t="n"/>
      <c r="K164" s="49" t="n"/>
      <c r="L164" s="49" t="n"/>
      <c r="M164" s="49" t="n"/>
      <c r="N164" s="49" t="n"/>
      <c r="O164" s="50" t="n"/>
      <c r="P164" s="50">
        <f>IF($A164="","",IF(H164="N/A","N/A",IFERROR(INDEX(CRIT_MATRIX,MATCH(O164,CRIT_MATRIX_ROWS,0),MATCH(APP_RISK_TIER,CRIT_MATRIX_COLS,0)),"")))</f>
        <v/>
      </c>
      <c r="Q164" s="49" t="n"/>
      <c r="R164" s="49" cm="1">
        <f t="array" ref="R164">IF($A164="","",COUNTIFS(tblThreatControls[Control ID],$A164,tblThreatControls[Threat applies],"Applies"))</f>
        <v/>
      </c>
      <c r="S164" s="49" cm="1">
        <f t="array" ref="S164">IF($A164="","",IF(R164=0,"",INDEX(RISK_SCALE_NAMES,_xlfn.MAXIFS(tblThreatControls[Threat risk score],tblThreatControls[Control ID],$A164))))</f>
        <v/>
      </c>
      <c r="T164" s="49" cm="1">
        <f t="array" ref="T164">IF($A164="","",IF(AND(H164="Applicable",OR(L164="Not assessed",L164=""),R164&gt;0),"Yes","No"))</f>
        <v/>
      </c>
      <c r="U164" s="49" cm="1">
        <f t="array" ref="U164">IF($A164="","",IF(AND(H164="Applicable",OR(L164="Gap",L164="Partial coverage")),INDEX(RISK_SCALE_NAMES,MAX(IFERROR(MATCH(P164,RISK_SCALE_NAMES,0),1),IFERROR(MATCH(S164,RISK_SCALE_NAMES,0),0))),""))</f>
        <v/>
      </c>
      <c r="V164" s="49" cm="1">
        <f t="array" ref="V164">IF($A164="","",_xlfn.TEXTJOIN("; ",TRUE,_xlfn._xlws.FILTER(tblThreatControls[Threat ID],(tblThreatControls[Control ID]=$A164)*(tblThreatControls[Threat applies]="Applies"),"")))</f>
        <v/>
      </c>
    </row>
    <row r="165" ht="45" customHeight="1" s="19">
      <c r="A165" s="49" t="n"/>
      <c r="B165" s="49" t="n"/>
      <c r="C165" s="49" t="n"/>
      <c r="D165" s="50" t="n"/>
      <c r="E165" s="49" t="n"/>
      <c r="F165" s="49" t="n"/>
      <c r="G165" s="49">
        <f>TRUE()</f>
        <v/>
      </c>
      <c r="H165" s="50">
        <f>IF($A165="","",IF(AND(G165,D165&lt;=TARGET_LEVEL_NUM),"Applicable","N/A"))</f>
        <v/>
      </c>
      <c r="I165" s="49" t="n"/>
      <c r="J165" s="49" t="n"/>
      <c r="K165" s="49" t="n"/>
      <c r="L165" s="49" t="n"/>
      <c r="M165" s="49" t="n"/>
      <c r="N165" s="49" t="n"/>
      <c r="O165" s="50" t="n"/>
      <c r="P165" s="50">
        <f>IF($A165="","",IF(H165="N/A","N/A",IFERROR(INDEX(CRIT_MATRIX,MATCH(O165,CRIT_MATRIX_ROWS,0),MATCH(APP_RISK_TIER,CRIT_MATRIX_COLS,0)),"")))</f>
        <v/>
      </c>
      <c r="Q165" s="49" t="n"/>
      <c r="R165" s="49" cm="1">
        <f t="array" ref="R165">IF($A165="","",COUNTIFS(tblThreatControls[Control ID],$A165,tblThreatControls[Threat applies],"Applies"))</f>
        <v/>
      </c>
      <c r="S165" s="49" cm="1">
        <f t="array" ref="S165">IF($A165="","",IF(R165=0,"",INDEX(RISK_SCALE_NAMES,_xlfn.MAXIFS(tblThreatControls[Threat risk score],tblThreatControls[Control ID],$A165))))</f>
        <v/>
      </c>
      <c r="T165" s="49" cm="1">
        <f t="array" ref="T165">IF($A165="","",IF(AND(H165="Applicable",OR(L165="Not assessed",L165=""),R165&gt;0),"Yes","No"))</f>
        <v/>
      </c>
      <c r="U165" s="49" cm="1">
        <f t="array" ref="U165">IF($A165="","",IF(AND(H165="Applicable",OR(L165="Gap",L165="Partial coverage")),INDEX(RISK_SCALE_NAMES,MAX(IFERROR(MATCH(P165,RISK_SCALE_NAMES,0),1),IFERROR(MATCH(S165,RISK_SCALE_NAMES,0),0))),""))</f>
        <v/>
      </c>
      <c r="V165" s="49" cm="1">
        <f t="array" ref="V165">IF($A165="","",_xlfn.TEXTJOIN("; ",TRUE,_xlfn._xlws.FILTER(tblThreatControls[Threat ID],(tblThreatControls[Control ID]=$A165)*(tblThreatControls[Threat applies]="Applies"),"")))</f>
        <v/>
      </c>
    </row>
    <row r="166" ht="45" customHeight="1" s="19">
      <c r="A166" s="49" t="n"/>
      <c r="B166" s="49" t="n"/>
      <c r="C166" s="49" t="n"/>
      <c r="D166" s="50" t="n"/>
      <c r="E166" s="49" t="n"/>
      <c r="F166" s="49" t="n"/>
      <c r="G166" s="49">
        <f>TRUE()</f>
        <v/>
      </c>
      <c r="H166" s="50">
        <f>IF($A166="","",IF(AND(G166,D166&lt;=TARGET_LEVEL_NUM),"Applicable","N/A"))</f>
        <v/>
      </c>
      <c r="I166" s="49" t="n"/>
      <c r="J166" s="49" t="n"/>
      <c r="K166" s="49" t="n"/>
      <c r="L166" s="49" t="n"/>
      <c r="M166" s="49" t="n"/>
      <c r="N166" s="49" t="n"/>
      <c r="O166" s="50" t="n"/>
      <c r="P166" s="50">
        <f>IF($A166="","",IF(H166="N/A","N/A",IFERROR(INDEX(CRIT_MATRIX,MATCH(O166,CRIT_MATRIX_ROWS,0),MATCH(APP_RISK_TIER,CRIT_MATRIX_COLS,0)),"")))</f>
        <v/>
      </c>
      <c r="Q166" s="49" t="n"/>
      <c r="R166" s="49" cm="1">
        <f t="array" ref="R166">IF($A166="","",COUNTIFS(tblThreatControls[Control ID],$A166,tblThreatControls[Threat applies],"Applies"))</f>
        <v/>
      </c>
      <c r="S166" s="49" cm="1">
        <f t="array" ref="S166">IF($A166="","",IF(R166=0,"",INDEX(RISK_SCALE_NAMES,_xlfn.MAXIFS(tblThreatControls[Threat risk score],tblThreatControls[Control ID],$A166))))</f>
        <v/>
      </c>
      <c r="T166" s="49" cm="1">
        <f t="array" ref="T166">IF($A166="","",IF(AND(H166="Applicable",OR(L166="Not assessed",L166=""),R166&gt;0),"Yes","No"))</f>
        <v/>
      </c>
      <c r="U166" s="49" cm="1">
        <f t="array" ref="U166">IF($A166="","",IF(AND(H166="Applicable",OR(L166="Gap",L166="Partial coverage")),INDEX(RISK_SCALE_NAMES,MAX(IFERROR(MATCH(P166,RISK_SCALE_NAMES,0),1),IFERROR(MATCH(S166,RISK_SCALE_NAMES,0),0))),""))</f>
        <v/>
      </c>
      <c r="V166" s="49" cm="1">
        <f t="array" ref="V166">IF($A166="","",_xlfn.TEXTJOIN("; ",TRUE,_xlfn._xlws.FILTER(tblThreatControls[Threat ID],(tblThreatControls[Control ID]=$A166)*(tblThreatControls[Threat applies]="Applies"),"")))</f>
        <v/>
      </c>
    </row>
    <row r="167" ht="45" customHeight="1" s="19">
      <c r="A167" s="49" t="n"/>
      <c r="B167" s="49" t="n"/>
      <c r="C167" s="49" t="n"/>
      <c r="D167" s="50" t="n"/>
      <c r="E167" s="49" t="n"/>
      <c r="F167" s="49" t="n"/>
      <c r="G167" s="49">
        <f>TRUE()</f>
        <v/>
      </c>
      <c r="H167" s="50">
        <f>IF($A167="","",IF(AND(G167,D167&lt;=TARGET_LEVEL_NUM),"Applicable","N/A"))</f>
        <v/>
      </c>
      <c r="I167" s="49" t="n"/>
      <c r="J167" s="49" t="n"/>
      <c r="K167" s="49" t="n"/>
      <c r="L167" s="49" t="n"/>
      <c r="M167" s="49" t="n"/>
      <c r="N167" s="49" t="n"/>
      <c r="O167" s="50" t="n"/>
      <c r="P167" s="50">
        <f>IF($A167="","",IF(H167="N/A","N/A",IFERROR(INDEX(CRIT_MATRIX,MATCH(O167,CRIT_MATRIX_ROWS,0),MATCH(APP_RISK_TIER,CRIT_MATRIX_COLS,0)),"")))</f>
        <v/>
      </c>
      <c r="Q167" s="49" t="n"/>
      <c r="R167" s="49" cm="1">
        <f t="array" ref="R167">IF($A167="","",COUNTIFS(tblThreatControls[Control ID],$A167,tblThreatControls[Threat applies],"Applies"))</f>
        <v/>
      </c>
      <c r="S167" s="49" cm="1">
        <f t="array" ref="S167">IF($A167="","",IF(R167=0,"",INDEX(RISK_SCALE_NAMES,_xlfn.MAXIFS(tblThreatControls[Threat risk score],tblThreatControls[Control ID],$A167))))</f>
        <v/>
      </c>
      <c r="T167" s="49" cm="1">
        <f t="array" ref="T167">IF($A167="","",IF(AND(H167="Applicable",OR(L167="Not assessed",L167=""),R167&gt;0),"Yes","No"))</f>
        <v/>
      </c>
      <c r="U167" s="49" cm="1">
        <f t="array" ref="U167">IF($A167="","",IF(AND(H167="Applicable",OR(L167="Gap",L167="Partial coverage")),INDEX(RISK_SCALE_NAMES,MAX(IFERROR(MATCH(P167,RISK_SCALE_NAMES,0),1),IFERROR(MATCH(S167,RISK_SCALE_NAMES,0),0))),""))</f>
        <v/>
      </c>
      <c r="V167" s="49" cm="1">
        <f t="array" ref="V167">IF($A167="","",_xlfn.TEXTJOIN("; ",TRUE,_xlfn._xlws.FILTER(tblThreatControls[Threat ID],(tblThreatControls[Control ID]=$A167)*(tblThreatControls[Threat applies]="Applies"),"")))</f>
        <v/>
      </c>
    </row>
    <row r="168" ht="45" customHeight="1" s="19">
      <c r="A168" s="49" t="n"/>
      <c r="B168" s="49" t="n"/>
      <c r="C168" s="49" t="n"/>
      <c r="D168" s="50" t="n"/>
      <c r="E168" s="49" t="n"/>
      <c r="F168" s="49" t="n"/>
      <c r="G168" s="49">
        <f>TRUE()</f>
        <v/>
      </c>
      <c r="H168" s="50">
        <f>IF($A168="","",IF(AND(G168,D168&lt;=TARGET_LEVEL_NUM),"Applicable","N/A"))</f>
        <v/>
      </c>
      <c r="I168" s="49" t="n"/>
      <c r="J168" s="49" t="n"/>
      <c r="K168" s="49" t="n"/>
      <c r="L168" s="49" t="n"/>
      <c r="M168" s="49" t="n"/>
      <c r="N168" s="49" t="n"/>
      <c r="O168" s="50" t="n"/>
      <c r="P168" s="50">
        <f>IF($A168="","",IF(H168="N/A","N/A",IFERROR(INDEX(CRIT_MATRIX,MATCH(O168,CRIT_MATRIX_ROWS,0),MATCH(APP_RISK_TIER,CRIT_MATRIX_COLS,0)),"")))</f>
        <v/>
      </c>
      <c r="Q168" s="49" t="n"/>
      <c r="R168" s="49" cm="1">
        <f t="array" ref="R168">IF($A168="","",COUNTIFS(tblThreatControls[Control ID],$A168,tblThreatControls[Threat applies],"Applies"))</f>
        <v/>
      </c>
      <c r="S168" s="49" cm="1">
        <f t="array" ref="S168">IF($A168="","",IF(R168=0,"",INDEX(RISK_SCALE_NAMES,_xlfn.MAXIFS(tblThreatControls[Threat risk score],tblThreatControls[Control ID],$A168))))</f>
        <v/>
      </c>
      <c r="T168" s="49" cm="1">
        <f t="array" ref="T168">IF($A168="","",IF(AND(H168="Applicable",OR(L168="Not assessed",L168=""),R168&gt;0),"Yes","No"))</f>
        <v/>
      </c>
      <c r="U168" s="49" cm="1">
        <f t="array" ref="U168">IF($A168="","",IF(AND(H168="Applicable",OR(L168="Gap",L168="Partial coverage")),INDEX(RISK_SCALE_NAMES,MAX(IFERROR(MATCH(P168,RISK_SCALE_NAMES,0),1),IFERROR(MATCH(S168,RISK_SCALE_NAMES,0),0))),""))</f>
        <v/>
      </c>
      <c r="V168" s="49" cm="1">
        <f t="array" ref="V168">IF($A168="","",_xlfn.TEXTJOIN("; ",TRUE,_xlfn._xlws.FILTER(tblThreatControls[Threat ID],(tblThreatControls[Control ID]=$A168)*(tblThreatControls[Threat applies]="Applies"),"")))</f>
        <v/>
      </c>
    </row>
    <row r="169" ht="45" customHeight="1" s="19">
      <c r="A169" s="49" t="n"/>
      <c r="B169" s="49" t="n"/>
      <c r="C169" s="49" t="n"/>
      <c r="D169" s="50" t="n"/>
      <c r="E169" s="49" t="n"/>
      <c r="F169" s="49" t="n"/>
      <c r="G169" s="49">
        <f>TRUE()</f>
        <v/>
      </c>
      <c r="H169" s="50">
        <f>IF($A169="","",IF(AND(G169,D169&lt;=TARGET_LEVEL_NUM),"Applicable","N/A"))</f>
        <v/>
      </c>
      <c r="I169" s="49" t="n"/>
      <c r="J169" s="49" t="n"/>
      <c r="K169" s="49" t="n"/>
      <c r="L169" s="49" t="n"/>
      <c r="M169" s="49" t="n"/>
      <c r="N169" s="49" t="n"/>
      <c r="O169" s="50" t="n"/>
      <c r="P169" s="50">
        <f>IF($A169="","",IF(H169="N/A","N/A",IFERROR(INDEX(CRIT_MATRIX,MATCH(O169,CRIT_MATRIX_ROWS,0),MATCH(APP_RISK_TIER,CRIT_MATRIX_COLS,0)),"")))</f>
        <v/>
      </c>
      <c r="Q169" s="49" t="n"/>
      <c r="R169" s="49" cm="1">
        <f t="array" ref="R169">IF($A169="","",COUNTIFS(tblThreatControls[Control ID],$A169,tblThreatControls[Threat applies],"Applies"))</f>
        <v/>
      </c>
      <c r="S169" s="49" cm="1">
        <f t="array" ref="S169">IF($A169="","",IF(R169=0,"",INDEX(RISK_SCALE_NAMES,_xlfn.MAXIFS(tblThreatControls[Threat risk score],tblThreatControls[Control ID],$A169))))</f>
        <v/>
      </c>
      <c r="T169" s="49" cm="1">
        <f t="array" ref="T169">IF($A169="","",IF(AND(H169="Applicable",OR(L169="Not assessed",L169=""),R169&gt;0),"Yes","No"))</f>
        <v/>
      </c>
      <c r="U169" s="49" cm="1">
        <f t="array" ref="U169">IF($A169="","",IF(AND(H169="Applicable",OR(L169="Gap",L169="Partial coverage")),INDEX(RISK_SCALE_NAMES,MAX(IFERROR(MATCH(P169,RISK_SCALE_NAMES,0),1),IFERROR(MATCH(S169,RISK_SCALE_NAMES,0),0))),""))</f>
        <v/>
      </c>
      <c r="V169" s="49" cm="1">
        <f t="array" ref="V169">IF($A169="","",_xlfn.TEXTJOIN("; ",TRUE,_xlfn._xlws.FILTER(tblThreatControls[Threat ID],(tblThreatControls[Control ID]=$A169)*(tblThreatControls[Threat applies]="Applies"),"")))</f>
        <v/>
      </c>
    </row>
    <row r="170" ht="45" customHeight="1" s="19">
      <c r="A170" s="49" t="n"/>
      <c r="B170" s="49" t="n"/>
      <c r="C170" s="49" t="n"/>
      <c r="D170" s="50" t="n"/>
      <c r="E170" s="49" t="n"/>
      <c r="F170" s="49" t="n"/>
      <c r="G170" s="49">
        <f>TRUE()</f>
        <v/>
      </c>
      <c r="H170" s="50">
        <f>IF($A170="","",IF(AND(G170,D170&lt;=TARGET_LEVEL_NUM),"Applicable","N/A"))</f>
        <v/>
      </c>
      <c r="I170" s="49" t="n"/>
      <c r="J170" s="49" t="n"/>
      <c r="K170" s="49" t="n"/>
      <c r="L170" s="49" t="n"/>
      <c r="M170" s="49" t="n"/>
      <c r="N170" s="49" t="n"/>
      <c r="O170" s="50" t="n"/>
      <c r="P170" s="50">
        <f>IF($A170="","",IF(H170="N/A","N/A",IFERROR(INDEX(CRIT_MATRIX,MATCH(O170,CRIT_MATRIX_ROWS,0),MATCH(APP_RISK_TIER,CRIT_MATRIX_COLS,0)),"")))</f>
        <v/>
      </c>
      <c r="Q170" s="49" t="n"/>
      <c r="R170" s="49" cm="1">
        <f t="array" ref="R170">IF($A170="","",COUNTIFS(tblThreatControls[Control ID],$A170,tblThreatControls[Threat applies],"Applies"))</f>
        <v/>
      </c>
      <c r="S170" s="49" cm="1">
        <f t="array" ref="S170">IF($A170="","",IF(R170=0,"",INDEX(RISK_SCALE_NAMES,_xlfn.MAXIFS(tblThreatControls[Threat risk score],tblThreatControls[Control ID],$A170))))</f>
        <v/>
      </c>
      <c r="T170" s="49" cm="1">
        <f t="array" ref="T170">IF($A170="","",IF(AND(H170="Applicable",OR(L170="Not assessed",L170=""),R170&gt;0),"Yes","No"))</f>
        <v/>
      </c>
      <c r="U170" s="49" cm="1">
        <f t="array" ref="U170">IF($A170="","",IF(AND(H170="Applicable",OR(L170="Gap",L170="Partial coverage")),INDEX(RISK_SCALE_NAMES,MAX(IFERROR(MATCH(P170,RISK_SCALE_NAMES,0),1),IFERROR(MATCH(S170,RISK_SCALE_NAMES,0),0))),""))</f>
        <v/>
      </c>
      <c r="V170" s="49" cm="1">
        <f t="array" ref="V170">IF($A170="","",_xlfn.TEXTJOIN("; ",TRUE,_xlfn._xlws.FILTER(tblThreatControls[Threat ID],(tblThreatControls[Control ID]=$A170)*(tblThreatControls[Threat applies]="Applies"),"")))</f>
        <v/>
      </c>
    </row>
    <row r="171" ht="45" customHeight="1" s="19">
      <c r="A171" s="49" t="n"/>
      <c r="B171" s="49" t="n"/>
      <c r="C171" s="49" t="n"/>
      <c r="D171" s="50" t="n"/>
      <c r="E171" s="49" t="n"/>
      <c r="F171" s="49" t="n"/>
      <c r="G171" s="49">
        <f>TRUE()</f>
        <v/>
      </c>
      <c r="H171" s="50">
        <f>IF($A171="","",IF(AND(G171,D171&lt;=TARGET_LEVEL_NUM),"Applicable","N/A"))</f>
        <v/>
      </c>
      <c r="I171" s="49" t="n"/>
      <c r="J171" s="49" t="n"/>
      <c r="K171" s="49" t="n"/>
      <c r="L171" s="49" t="n"/>
      <c r="M171" s="49" t="n"/>
      <c r="N171" s="49" t="n"/>
      <c r="O171" s="50" t="n"/>
      <c r="P171" s="50">
        <f>IF($A171="","",IF(H171="N/A","N/A",IFERROR(INDEX(CRIT_MATRIX,MATCH(O171,CRIT_MATRIX_ROWS,0),MATCH(APP_RISK_TIER,CRIT_MATRIX_COLS,0)),"")))</f>
        <v/>
      </c>
      <c r="Q171" s="49" t="n"/>
      <c r="R171" s="49" cm="1">
        <f t="array" ref="R171">IF($A171="","",COUNTIFS(tblThreatControls[Control ID],$A171,tblThreatControls[Threat applies],"Applies"))</f>
        <v/>
      </c>
      <c r="S171" s="49" cm="1">
        <f t="array" ref="S171">IF($A171="","",IF(R171=0,"",INDEX(RISK_SCALE_NAMES,_xlfn.MAXIFS(tblThreatControls[Threat risk score],tblThreatControls[Control ID],$A171))))</f>
        <v/>
      </c>
      <c r="T171" s="49" cm="1">
        <f t="array" ref="T171">IF($A171="","",IF(AND(H171="Applicable",OR(L171="Not assessed",L171=""),R171&gt;0),"Yes","No"))</f>
        <v/>
      </c>
      <c r="U171" s="49" cm="1">
        <f t="array" ref="U171">IF($A171="","",IF(AND(H171="Applicable",OR(L171="Gap",L171="Partial coverage")),INDEX(RISK_SCALE_NAMES,MAX(IFERROR(MATCH(P171,RISK_SCALE_NAMES,0),1),IFERROR(MATCH(S171,RISK_SCALE_NAMES,0),0))),""))</f>
        <v/>
      </c>
      <c r="V171" s="49" cm="1">
        <f t="array" ref="V171">IF($A171="","",_xlfn.TEXTJOIN("; ",TRUE,_xlfn._xlws.FILTER(tblThreatControls[Threat ID],(tblThreatControls[Control ID]=$A171)*(tblThreatControls[Threat applies]="Applies"),"")))</f>
        <v/>
      </c>
    </row>
    <row r="172" ht="45" customHeight="1" s="19">
      <c r="A172" s="49" t="n"/>
      <c r="B172" s="49" t="n"/>
      <c r="C172" s="49" t="n"/>
      <c r="D172" s="50" t="n"/>
      <c r="E172" s="49" t="n"/>
      <c r="F172" s="49" t="n"/>
      <c r="G172" s="49">
        <f>TRUE()</f>
        <v/>
      </c>
      <c r="H172" s="50">
        <f>IF($A172="","",IF(AND(G172,D172&lt;=TARGET_LEVEL_NUM),"Applicable","N/A"))</f>
        <v/>
      </c>
      <c r="I172" s="49" t="n"/>
      <c r="J172" s="49" t="n"/>
      <c r="K172" s="49" t="n"/>
      <c r="L172" s="49" t="n"/>
      <c r="M172" s="49" t="n"/>
      <c r="N172" s="49" t="n"/>
      <c r="O172" s="50" t="n"/>
      <c r="P172" s="50">
        <f>IF($A172="","",IF(H172="N/A","N/A",IFERROR(INDEX(CRIT_MATRIX,MATCH(O172,CRIT_MATRIX_ROWS,0),MATCH(APP_RISK_TIER,CRIT_MATRIX_COLS,0)),"")))</f>
        <v/>
      </c>
      <c r="Q172" s="49" t="n"/>
      <c r="R172" s="49" cm="1">
        <f t="array" ref="R172">IF($A172="","",COUNTIFS(tblThreatControls[Control ID],$A172,tblThreatControls[Threat applies],"Applies"))</f>
        <v/>
      </c>
      <c r="S172" s="49" cm="1">
        <f t="array" ref="S172">IF($A172="","",IF(R172=0,"",INDEX(RISK_SCALE_NAMES,_xlfn.MAXIFS(tblThreatControls[Threat risk score],tblThreatControls[Control ID],$A172))))</f>
        <v/>
      </c>
      <c r="T172" s="49" cm="1">
        <f t="array" ref="T172">IF($A172="","",IF(AND(H172="Applicable",OR(L172="Not assessed",L172=""),R172&gt;0),"Yes","No"))</f>
        <v/>
      </c>
      <c r="U172" s="49" cm="1">
        <f t="array" ref="U172">IF($A172="","",IF(AND(H172="Applicable",OR(L172="Gap",L172="Partial coverage")),INDEX(RISK_SCALE_NAMES,MAX(IFERROR(MATCH(P172,RISK_SCALE_NAMES,0),1),IFERROR(MATCH(S172,RISK_SCALE_NAMES,0),0))),""))</f>
        <v/>
      </c>
      <c r="V172" s="49" cm="1">
        <f t="array" ref="V172">IF($A172="","",_xlfn.TEXTJOIN("; ",TRUE,_xlfn._xlws.FILTER(tblThreatControls[Threat ID],(tblThreatControls[Control ID]=$A172)*(tblThreatControls[Threat applies]="Applies"),"")))</f>
        <v/>
      </c>
    </row>
    <row r="173" ht="45" customHeight="1" s="19">
      <c r="A173" s="49" t="n"/>
      <c r="B173" s="49" t="n"/>
      <c r="C173" s="49" t="n"/>
      <c r="D173" s="50" t="n"/>
      <c r="E173" s="49" t="n"/>
      <c r="F173" s="49" t="n"/>
      <c r="G173" s="49">
        <f>TRUE()</f>
        <v/>
      </c>
      <c r="H173" s="50">
        <f>IF($A173="","",IF(AND(G173,D173&lt;=TARGET_LEVEL_NUM),"Applicable","N/A"))</f>
        <v/>
      </c>
      <c r="I173" s="49" t="n"/>
      <c r="J173" s="49" t="n"/>
      <c r="K173" s="49" t="n"/>
      <c r="L173" s="49" t="n"/>
      <c r="M173" s="49" t="n"/>
      <c r="N173" s="49" t="n"/>
      <c r="O173" s="50" t="n"/>
      <c r="P173" s="50">
        <f>IF($A173="","",IF(H173="N/A","N/A",IFERROR(INDEX(CRIT_MATRIX,MATCH(O173,CRIT_MATRIX_ROWS,0),MATCH(APP_RISK_TIER,CRIT_MATRIX_COLS,0)),"")))</f>
        <v/>
      </c>
      <c r="Q173" s="49" t="n"/>
      <c r="R173" s="49" cm="1">
        <f t="array" ref="R173">IF($A173="","",COUNTIFS(tblThreatControls[Control ID],$A173,tblThreatControls[Threat applies],"Applies"))</f>
        <v/>
      </c>
      <c r="S173" s="49" cm="1">
        <f t="array" ref="S173">IF($A173="","",IF(R173=0,"",INDEX(RISK_SCALE_NAMES,_xlfn.MAXIFS(tblThreatControls[Threat risk score],tblThreatControls[Control ID],$A173))))</f>
        <v/>
      </c>
      <c r="T173" s="49" cm="1">
        <f t="array" ref="T173">IF($A173="","",IF(AND(H173="Applicable",OR(L173="Not assessed",L173=""),R173&gt;0),"Yes","No"))</f>
        <v/>
      </c>
      <c r="U173" s="49" cm="1">
        <f t="array" ref="U173">IF($A173="","",IF(AND(H173="Applicable",OR(L173="Gap",L173="Partial coverage")),INDEX(RISK_SCALE_NAMES,MAX(IFERROR(MATCH(P173,RISK_SCALE_NAMES,0),1),IFERROR(MATCH(S173,RISK_SCALE_NAMES,0),0))),""))</f>
        <v/>
      </c>
      <c r="V173" s="49" cm="1">
        <f t="array" ref="V173">IF($A173="","",_xlfn.TEXTJOIN("; ",TRUE,_xlfn._xlws.FILTER(tblThreatControls[Threat ID],(tblThreatControls[Control ID]=$A173)*(tblThreatControls[Threat applies]="Applies"),"")))</f>
        <v/>
      </c>
    </row>
    <row r="174" ht="45" customHeight="1" s="19">
      <c r="A174" s="49" t="n"/>
      <c r="B174" s="49" t="n"/>
      <c r="C174" s="49" t="n"/>
      <c r="D174" s="50" t="n"/>
      <c r="E174" s="49" t="n"/>
      <c r="F174" s="49" t="n"/>
      <c r="G174" s="49">
        <f>TRUE()</f>
        <v/>
      </c>
      <c r="H174" s="50">
        <f>IF($A174="","",IF(AND(G174,D174&lt;=TARGET_LEVEL_NUM),"Applicable","N/A"))</f>
        <v/>
      </c>
      <c r="I174" s="49" t="n"/>
      <c r="J174" s="49" t="n"/>
      <c r="K174" s="49" t="n"/>
      <c r="L174" s="49" t="n"/>
      <c r="M174" s="49" t="n"/>
      <c r="N174" s="49" t="n"/>
      <c r="O174" s="50" t="n"/>
      <c r="P174" s="50">
        <f>IF($A174="","",IF(H174="N/A","N/A",IFERROR(INDEX(CRIT_MATRIX,MATCH(O174,CRIT_MATRIX_ROWS,0),MATCH(APP_RISK_TIER,CRIT_MATRIX_COLS,0)),"")))</f>
        <v/>
      </c>
      <c r="Q174" s="49" t="n"/>
      <c r="R174" s="49" cm="1">
        <f t="array" ref="R174">IF($A174="","",COUNTIFS(tblThreatControls[Control ID],$A174,tblThreatControls[Threat applies],"Applies"))</f>
        <v/>
      </c>
      <c r="S174" s="49" cm="1">
        <f t="array" ref="S174">IF($A174="","",IF(R174=0,"",INDEX(RISK_SCALE_NAMES,_xlfn.MAXIFS(tblThreatControls[Threat risk score],tblThreatControls[Control ID],$A174))))</f>
        <v/>
      </c>
      <c r="T174" s="49" cm="1">
        <f t="array" ref="T174">IF($A174="","",IF(AND(H174="Applicable",OR(L174="Not assessed",L174=""),R174&gt;0),"Yes","No"))</f>
        <v/>
      </c>
      <c r="U174" s="49" cm="1">
        <f t="array" ref="U174">IF($A174="","",IF(AND(H174="Applicable",OR(L174="Gap",L174="Partial coverage")),INDEX(RISK_SCALE_NAMES,MAX(IFERROR(MATCH(P174,RISK_SCALE_NAMES,0),1),IFERROR(MATCH(S174,RISK_SCALE_NAMES,0),0))),""))</f>
        <v/>
      </c>
      <c r="V174" s="49" cm="1">
        <f t="array" ref="V174">IF($A174="","",_xlfn.TEXTJOIN("; ",TRUE,_xlfn._xlws.FILTER(tblThreatControls[Threat ID],(tblThreatControls[Control ID]=$A174)*(tblThreatControls[Threat applies]="Applies"),"")))</f>
        <v/>
      </c>
    </row>
    <row r="175" ht="45" customHeight="1" s="19">
      <c r="A175" s="49" t="n"/>
      <c r="B175" s="49" t="n"/>
      <c r="C175" s="49" t="n"/>
      <c r="D175" s="50" t="n"/>
      <c r="E175" s="49" t="n"/>
      <c r="F175" s="49" t="n"/>
      <c r="G175" s="49">
        <f>TRUE()</f>
        <v/>
      </c>
      <c r="H175" s="50">
        <f>IF($A175="","",IF(AND(G175,D175&lt;=TARGET_LEVEL_NUM),"Applicable","N/A"))</f>
        <v/>
      </c>
      <c r="I175" s="49" t="n"/>
      <c r="J175" s="49" t="n"/>
      <c r="K175" s="49" t="n"/>
      <c r="L175" s="49" t="n"/>
      <c r="M175" s="49" t="n"/>
      <c r="N175" s="49" t="n"/>
      <c r="O175" s="50" t="n"/>
      <c r="P175" s="50">
        <f>IF($A175="","",IF(H175="N/A","N/A",IFERROR(INDEX(CRIT_MATRIX,MATCH(O175,CRIT_MATRIX_ROWS,0),MATCH(APP_RISK_TIER,CRIT_MATRIX_COLS,0)),"")))</f>
        <v/>
      </c>
      <c r="Q175" s="49" t="n"/>
      <c r="R175" s="49" cm="1">
        <f t="array" ref="R175">IF($A175="","",COUNTIFS(tblThreatControls[Control ID],$A175,tblThreatControls[Threat applies],"Applies"))</f>
        <v/>
      </c>
      <c r="S175" s="49" cm="1">
        <f t="array" ref="S175">IF($A175="","",IF(R175=0,"",INDEX(RISK_SCALE_NAMES,_xlfn.MAXIFS(tblThreatControls[Threat risk score],tblThreatControls[Control ID],$A175))))</f>
        <v/>
      </c>
      <c r="T175" s="49" cm="1">
        <f t="array" ref="T175">IF($A175="","",IF(AND(H175="Applicable",OR(L175="Not assessed",L175=""),R175&gt;0),"Yes","No"))</f>
        <v/>
      </c>
      <c r="U175" s="49" cm="1">
        <f t="array" ref="U175">IF($A175="","",IF(AND(H175="Applicable",OR(L175="Gap",L175="Partial coverage")),INDEX(RISK_SCALE_NAMES,MAX(IFERROR(MATCH(P175,RISK_SCALE_NAMES,0),1),IFERROR(MATCH(S175,RISK_SCALE_NAMES,0),0))),""))</f>
        <v/>
      </c>
      <c r="V175" s="49" cm="1">
        <f t="array" ref="V175">IF($A175="","",_xlfn.TEXTJOIN("; ",TRUE,_xlfn._xlws.FILTER(tblThreatControls[Threat ID],(tblThreatControls[Control ID]=$A175)*(tblThreatControls[Threat applies]="Applies"),"")))</f>
        <v/>
      </c>
    </row>
    <row r="176" ht="45" customHeight="1" s="19">
      <c r="A176" s="49" t="n"/>
      <c r="B176" s="49" t="n"/>
      <c r="C176" s="49" t="n"/>
      <c r="D176" s="50" t="n"/>
      <c r="E176" s="49" t="n"/>
      <c r="F176" s="49" t="n"/>
      <c r="G176" s="49">
        <f>TRUE()</f>
        <v/>
      </c>
      <c r="H176" s="50">
        <f>IF($A176="","",IF(AND(G176,D176&lt;=TARGET_LEVEL_NUM),"Applicable","N/A"))</f>
        <v/>
      </c>
      <c r="I176" s="49" t="n"/>
      <c r="J176" s="49" t="n"/>
      <c r="K176" s="49" t="n"/>
      <c r="L176" s="49" t="n"/>
      <c r="M176" s="49" t="n"/>
      <c r="N176" s="49" t="n"/>
      <c r="O176" s="50" t="n"/>
      <c r="P176" s="50">
        <f>IF($A176="","",IF(H176="N/A","N/A",IFERROR(INDEX(CRIT_MATRIX,MATCH(O176,CRIT_MATRIX_ROWS,0),MATCH(APP_RISK_TIER,CRIT_MATRIX_COLS,0)),"")))</f>
        <v/>
      </c>
      <c r="Q176" s="49" t="n"/>
      <c r="R176" s="49" cm="1">
        <f t="array" ref="R176">IF($A176="","",COUNTIFS(tblThreatControls[Control ID],$A176,tblThreatControls[Threat applies],"Applies"))</f>
        <v/>
      </c>
      <c r="S176" s="49" cm="1">
        <f t="array" ref="S176">IF($A176="","",IF(R176=0,"",INDEX(RISK_SCALE_NAMES,_xlfn.MAXIFS(tblThreatControls[Threat risk score],tblThreatControls[Control ID],$A176))))</f>
        <v/>
      </c>
      <c r="T176" s="49" cm="1">
        <f t="array" ref="T176">IF($A176="","",IF(AND(H176="Applicable",OR(L176="Not assessed",L176=""),R176&gt;0),"Yes","No"))</f>
        <v/>
      </c>
      <c r="U176" s="49" cm="1">
        <f t="array" ref="U176">IF($A176="","",IF(AND(H176="Applicable",OR(L176="Gap",L176="Partial coverage")),INDEX(RISK_SCALE_NAMES,MAX(IFERROR(MATCH(P176,RISK_SCALE_NAMES,0),1),IFERROR(MATCH(S176,RISK_SCALE_NAMES,0),0))),""))</f>
        <v/>
      </c>
      <c r="V176" s="49" cm="1">
        <f t="array" ref="V176">IF($A176="","",_xlfn.TEXTJOIN("; ",TRUE,_xlfn._xlws.FILTER(tblThreatControls[Threat ID],(tblThreatControls[Control ID]=$A176)*(tblThreatControls[Threat applies]="Applies"),"")))</f>
        <v/>
      </c>
    </row>
    <row r="177" ht="45" customHeight="1" s="19">
      <c r="A177" s="49" t="n"/>
      <c r="B177" s="49" t="n"/>
      <c r="C177" s="49" t="n"/>
      <c r="D177" s="50" t="n"/>
      <c r="E177" s="49" t="n"/>
      <c r="F177" s="49" t="n"/>
      <c r="G177" s="49">
        <f>TRUE()</f>
        <v/>
      </c>
      <c r="H177" s="50">
        <f>IF($A177="","",IF(AND(G177,D177&lt;=TARGET_LEVEL_NUM),"Applicable","N/A"))</f>
        <v/>
      </c>
      <c r="I177" s="49" t="n"/>
      <c r="J177" s="49" t="n"/>
      <c r="K177" s="49" t="n"/>
      <c r="L177" s="49" t="n"/>
      <c r="M177" s="49" t="n"/>
      <c r="N177" s="49" t="n"/>
      <c r="O177" s="50" t="n"/>
      <c r="P177" s="50">
        <f>IF($A177="","",IF(H177="N/A","N/A",IFERROR(INDEX(CRIT_MATRIX,MATCH(O177,CRIT_MATRIX_ROWS,0),MATCH(APP_RISK_TIER,CRIT_MATRIX_COLS,0)),"")))</f>
        <v/>
      </c>
      <c r="Q177" s="49" t="n"/>
      <c r="R177" s="49" cm="1">
        <f t="array" ref="R177">IF($A177="","",COUNTIFS(tblThreatControls[Control ID],$A177,tblThreatControls[Threat applies],"Applies"))</f>
        <v/>
      </c>
      <c r="S177" s="49" cm="1">
        <f t="array" ref="S177">IF($A177="","",IF(R177=0,"",INDEX(RISK_SCALE_NAMES,_xlfn.MAXIFS(tblThreatControls[Threat risk score],tblThreatControls[Control ID],$A177))))</f>
        <v/>
      </c>
      <c r="T177" s="49" cm="1">
        <f t="array" ref="T177">IF($A177="","",IF(AND(H177="Applicable",OR(L177="Not assessed",L177=""),R177&gt;0),"Yes","No"))</f>
        <v/>
      </c>
      <c r="U177" s="49" cm="1">
        <f t="array" ref="U177">IF($A177="","",IF(AND(H177="Applicable",OR(L177="Gap",L177="Partial coverage")),INDEX(RISK_SCALE_NAMES,MAX(IFERROR(MATCH(P177,RISK_SCALE_NAMES,0),1),IFERROR(MATCH(S177,RISK_SCALE_NAMES,0),0))),""))</f>
        <v/>
      </c>
      <c r="V177" s="49" cm="1">
        <f t="array" ref="V177">IF($A177="","",_xlfn.TEXTJOIN("; ",TRUE,_xlfn._xlws.FILTER(tblThreatControls[Threat ID],(tblThreatControls[Control ID]=$A177)*(tblThreatControls[Threat applies]="Applies"),"")))</f>
        <v/>
      </c>
    </row>
    <row r="178" ht="45" customHeight="1" s="19">
      <c r="A178" s="49" t="n"/>
      <c r="B178" s="49" t="n"/>
      <c r="C178" s="49" t="n"/>
      <c r="D178" s="50" t="n"/>
      <c r="E178" s="49" t="n"/>
      <c r="F178" s="49" t="n"/>
      <c r="G178" s="49">
        <f>TRUE()</f>
        <v/>
      </c>
      <c r="H178" s="50">
        <f>IF($A178="","",IF(AND(G178,D178&lt;=TARGET_LEVEL_NUM),"Applicable","N/A"))</f>
        <v/>
      </c>
      <c r="I178" s="49" t="n"/>
      <c r="J178" s="49" t="n"/>
      <c r="K178" s="49" t="n"/>
      <c r="L178" s="49" t="n"/>
      <c r="M178" s="49" t="n"/>
      <c r="N178" s="49" t="n"/>
      <c r="O178" s="50" t="n"/>
      <c r="P178" s="50">
        <f>IF($A178="","",IF(H178="N/A","N/A",IFERROR(INDEX(CRIT_MATRIX,MATCH(O178,CRIT_MATRIX_ROWS,0),MATCH(APP_RISK_TIER,CRIT_MATRIX_COLS,0)),"")))</f>
        <v/>
      </c>
      <c r="Q178" s="49" t="n"/>
      <c r="R178" s="49" cm="1">
        <f t="array" ref="R178">IF($A178="","",COUNTIFS(tblThreatControls[Control ID],$A178,tblThreatControls[Threat applies],"Applies"))</f>
        <v/>
      </c>
      <c r="S178" s="49" cm="1">
        <f t="array" ref="S178">IF($A178="","",IF(R178=0,"",INDEX(RISK_SCALE_NAMES,_xlfn.MAXIFS(tblThreatControls[Threat risk score],tblThreatControls[Control ID],$A178))))</f>
        <v/>
      </c>
      <c r="T178" s="49" cm="1">
        <f t="array" ref="T178">IF($A178="","",IF(AND(H178="Applicable",OR(L178="Not assessed",L178=""),R178&gt;0),"Yes","No"))</f>
        <v/>
      </c>
      <c r="U178" s="49" cm="1">
        <f t="array" ref="U178">IF($A178="","",IF(AND(H178="Applicable",OR(L178="Gap",L178="Partial coverage")),INDEX(RISK_SCALE_NAMES,MAX(IFERROR(MATCH(P178,RISK_SCALE_NAMES,0),1),IFERROR(MATCH(S178,RISK_SCALE_NAMES,0),0))),""))</f>
        <v/>
      </c>
      <c r="V178" s="49" cm="1">
        <f t="array" ref="V178">IF($A178="","",_xlfn.TEXTJOIN("; ",TRUE,_xlfn._xlws.FILTER(tblThreatControls[Threat ID],(tblThreatControls[Control ID]=$A178)*(tblThreatControls[Threat applies]="Applies"),"")))</f>
        <v/>
      </c>
    </row>
    <row r="179" ht="45" customHeight="1" s="19">
      <c r="A179" s="49" t="n"/>
      <c r="B179" s="49" t="n"/>
      <c r="C179" s="49" t="n"/>
      <c r="D179" s="50" t="n"/>
      <c r="E179" s="49" t="n"/>
      <c r="F179" s="49" t="n"/>
      <c r="G179" s="49">
        <f>TRUE()</f>
        <v/>
      </c>
      <c r="H179" s="50">
        <f>IF($A179="","",IF(AND(G179,D179&lt;=TARGET_LEVEL_NUM),"Applicable","N/A"))</f>
        <v/>
      </c>
      <c r="I179" s="49" t="n"/>
      <c r="J179" s="49" t="n"/>
      <c r="K179" s="49" t="n"/>
      <c r="L179" s="49" t="n"/>
      <c r="M179" s="49" t="n"/>
      <c r="N179" s="49" t="n"/>
      <c r="O179" s="50" t="n"/>
      <c r="P179" s="50">
        <f>IF($A179="","",IF(H179="N/A","N/A",IFERROR(INDEX(CRIT_MATRIX,MATCH(O179,CRIT_MATRIX_ROWS,0),MATCH(APP_RISK_TIER,CRIT_MATRIX_COLS,0)),"")))</f>
        <v/>
      </c>
      <c r="Q179" s="49" t="n"/>
      <c r="R179" s="49" cm="1">
        <f t="array" ref="R179">IF($A179="","",COUNTIFS(tblThreatControls[Control ID],$A179,tblThreatControls[Threat applies],"Applies"))</f>
        <v/>
      </c>
      <c r="S179" s="49" cm="1">
        <f t="array" ref="S179">IF($A179="","",IF(R179=0,"",INDEX(RISK_SCALE_NAMES,_xlfn.MAXIFS(tblThreatControls[Threat risk score],tblThreatControls[Control ID],$A179))))</f>
        <v/>
      </c>
      <c r="T179" s="49" cm="1">
        <f t="array" ref="T179">IF($A179="","",IF(AND(H179="Applicable",OR(L179="Not assessed",L179=""),R179&gt;0),"Yes","No"))</f>
        <v/>
      </c>
      <c r="U179" s="49" cm="1">
        <f t="array" ref="U179">IF($A179="","",IF(AND(H179="Applicable",OR(L179="Gap",L179="Partial coverage")),INDEX(RISK_SCALE_NAMES,MAX(IFERROR(MATCH(P179,RISK_SCALE_NAMES,0),1),IFERROR(MATCH(S179,RISK_SCALE_NAMES,0),0))),""))</f>
        <v/>
      </c>
      <c r="V179" s="49" cm="1">
        <f t="array" ref="V179">IF($A179="","",_xlfn.TEXTJOIN("; ",TRUE,_xlfn._xlws.FILTER(tblThreatControls[Threat ID],(tblThreatControls[Control ID]=$A179)*(tblThreatControls[Threat applies]="Applies"),"")))</f>
        <v/>
      </c>
    </row>
    <row r="180" ht="45" customHeight="1" s="19">
      <c r="A180" s="49" t="n"/>
      <c r="B180" s="49" t="n"/>
      <c r="C180" s="49" t="n"/>
      <c r="D180" s="50" t="n"/>
      <c r="E180" s="49" t="n"/>
      <c r="F180" s="49" t="n"/>
      <c r="G180" s="49">
        <f>TRUE()</f>
        <v/>
      </c>
      <c r="H180" s="50">
        <f>IF($A180="","",IF(AND(G180,D180&lt;=TARGET_LEVEL_NUM),"Applicable","N/A"))</f>
        <v/>
      </c>
      <c r="I180" s="49" t="n"/>
      <c r="J180" s="49" t="n"/>
      <c r="K180" s="49" t="n"/>
      <c r="L180" s="49" t="n"/>
      <c r="M180" s="49" t="n"/>
      <c r="N180" s="49" t="n"/>
      <c r="O180" s="50" t="n"/>
      <c r="P180" s="50">
        <f>IF($A180="","",IF(H180="N/A","N/A",IFERROR(INDEX(CRIT_MATRIX,MATCH(O180,CRIT_MATRIX_ROWS,0),MATCH(APP_RISK_TIER,CRIT_MATRIX_COLS,0)),"")))</f>
        <v/>
      </c>
      <c r="Q180" s="49" t="n"/>
      <c r="R180" s="49" cm="1">
        <f t="array" ref="R180">IF($A180="","",COUNTIFS(tblThreatControls[Control ID],$A180,tblThreatControls[Threat applies],"Applies"))</f>
        <v/>
      </c>
      <c r="S180" s="49" cm="1">
        <f t="array" ref="S180">IF($A180="","",IF(R180=0,"",INDEX(RISK_SCALE_NAMES,_xlfn.MAXIFS(tblThreatControls[Threat risk score],tblThreatControls[Control ID],$A180))))</f>
        <v/>
      </c>
      <c r="T180" s="49" cm="1">
        <f t="array" ref="T180">IF($A180="","",IF(AND(H180="Applicable",OR(L180="Not assessed",L180=""),R180&gt;0),"Yes","No"))</f>
        <v/>
      </c>
      <c r="U180" s="49" cm="1">
        <f t="array" ref="U180">IF($A180="","",IF(AND(H180="Applicable",OR(L180="Gap",L180="Partial coverage")),INDEX(RISK_SCALE_NAMES,MAX(IFERROR(MATCH(P180,RISK_SCALE_NAMES,0),1),IFERROR(MATCH(S180,RISK_SCALE_NAMES,0),0))),""))</f>
        <v/>
      </c>
      <c r="V180" s="49" cm="1">
        <f t="array" ref="V180">IF($A180="","",_xlfn.TEXTJOIN("; ",TRUE,_xlfn._xlws.FILTER(tblThreatControls[Threat ID],(tblThreatControls[Control ID]=$A180)*(tblThreatControls[Threat applies]="Applies"),"")))</f>
        <v/>
      </c>
    </row>
    <row r="181" ht="45" customHeight="1" s="19">
      <c r="A181" s="49" t="n"/>
      <c r="B181" s="49" t="n"/>
      <c r="C181" s="49" t="n"/>
      <c r="D181" s="50" t="n"/>
      <c r="E181" s="49" t="n"/>
      <c r="F181" s="49" t="n"/>
      <c r="G181" s="49">
        <f>TRUE()</f>
        <v/>
      </c>
      <c r="H181" s="50">
        <f>IF($A181="","",IF(AND(G181,D181&lt;=TARGET_LEVEL_NUM),"Applicable","N/A"))</f>
        <v/>
      </c>
      <c r="I181" s="49" t="n"/>
      <c r="J181" s="49" t="n"/>
      <c r="K181" s="49" t="n"/>
      <c r="L181" s="49" t="n"/>
      <c r="M181" s="49" t="n"/>
      <c r="N181" s="49" t="n"/>
      <c r="O181" s="50" t="n"/>
      <c r="P181" s="50">
        <f>IF($A181="","",IF(H181="N/A","N/A",IFERROR(INDEX(CRIT_MATRIX,MATCH(O181,CRIT_MATRIX_ROWS,0),MATCH(APP_RISK_TIER,CRIT_MATRIX_COLS,0)),"")))</f>
        <v/>
      </c>
      <c r="Q181" s="49" t="n"/>
      <c r="R181" s="49" cm="1">
        <f t="array" ref="R181">IF($A181="","",COUNTIFS(tblThreatControls[Control ID],$A181,tblThreatControls[Threat applies],"Applies"))</f>
        <v/>
      </c>
      <c r="S181" s="49" cm="1">
        <f t="array" ref="S181">IF($A181="","",IF(R181=0,"",INDEX(RISK_SCALE_NAMES,_xlfn.MAXIFS(tblThreatControls[Threat risk score],tblThreatControls[Control ID],$A181))))</f>
        <v/>
      </c>
      <c r="T181" s="49" cm="1">
        <f t="array" ref="T181">IF($A181="","",IF(AND(H181="Applicable",OR(L181="Not assessed",L181=""),R181&gt;0),"Yes","No"))</f>
        <v/>
      </c>
      <c r="U181" s="49" cm="1">
        <f t="array" ref="U181">IF($A181="","",IF(AND(H181="Applicable",OR(L181="Gap",L181="Partial coverage")),INDEX(RISK_SCALE_NAMES,MAX(IFERROR(MATCH(P181,RISK_SCALE_NAMES,0),1),IFERROR(MATCH(S181,RISK_SCALE_NAMES,0),0))),""))</f>
        <v/>
      </c>
      <c r="V181" s="49" cm="1">
        <f t="array" ref="V181">IF($A181="","",_xlfn.TEXTJOIN("; ",TRUE,_xlfn._xlws.FILTER(tblThreatControls[Threat ID],(tblThreatControls[Control ID]=$A181)*(tblThreatControls[Threat applies]="Applies"),"")))</f>
        <v/>
      </c>
    </row>
    <row r="182" ht="45" customHeight="1" s="19">
      <c r="A182" s="49" t="n"/>
      <c r="B182" s="49" t="n"/>
      <c r="C182" s="49" t="n"/>
      <c r="D182" s="50" t="n"/>
      <c r="E182" s="49" t="n"/>
      <c r="F182" s="49" t="n"/>
      <c r="G182" s="49">
        <f>TRUE()</f>
        <v/>
      </c>
      <c r="H182" s="50">
        <f>IF($A182="","",IF(AND(G182,D182&lt;=TARGET_LEVEL_NUM),"Applicable","N/A"))</f>
        <v/>
      </c>
      <c r="I182" s="49" t="n"/>
      <c r="J182" s="49" t="n"/>
      <c r="K182" s="49" t="n"/>
      <c r="L182" s="49" t="n"/>
      <c r="M182" s="49" t="n"/>
      <c r="N182" s="49" t="n"/>
      <c r="O182" s="50" t="n"/>
      <c r="P182" s="50">
        <f>IF($A182="","",IF(H182="N/A","N/A",IFERROR(INDEX(CRIT_MATRIX,MATCH(O182,CRIT_MATRIX_ROWS,0),MATCH(APP_RISK_TIER,CRIT_MATRIX_COLS,0)),"")))</f>
        <v/>
      </c>
      <c r="Q182" s="49" t="n"/>
      <c r="R182" s="49" cm="1">
        <f t="array" ref="R182">IF($A182="","",COUNTIFS(tblThreatControls[Control ID],$A182,tblThreatControls[Threat applies],"Applies"))</f>
        <v/>
      </c>
      <c r="S182" s="49" cm="1">
        <f t="array" ref="S182">IF($A182="","",IF(R182=0,"",INDEX(RISK_SCALE_NAMES,_xlfn.MAXIFS(tblThreatControls[Threat risk score],tblThreatControls[Control ID],$A182))))</f>
        <v/>
      </c>
      <c r="T182" s="49" cm="1">
        <f t="array" ref="T182">IF($A182="","",IF(AND(H182="Applicable",OR(L182="Not assessed",L182=""),R182&gt;0),"Yes","No"))</f>
        <v/>
      </c>
      <c r="U182" s="49" cm="1">
        <f t="array" ref="U182">IF($A182="","",IF(AND(H182="Applicable",OR(L182="Gap",L182="Partial coverage")),INDEX(RISK_SCALE_NAMES,MAX(IFERROR(MATCH(P182,RISK_SCALE_NAMES,0),1),IFERROR(MATCH(S182,RISK_SCALE_NAMES,0),0))),""))</f>
        <v/>
      </c>
      <c r="V182" s="49" cm="1">
        <f t="array" ref="V182">IF($A182="","",_xlfn.TEXTJOIN("; ",TRUE,_xlfn._xlws.FILTER(tblThreatControls[Threat ID],(tblThreatControls[Control ID]=$A182)*(tblThreatControls[Threat applies]="Applies"),"")))</f>
        <v/>
      </c>
    </row>
    <row r="183" ht="45" customHeight="1" s="19">
      <c r="A183" s="49" t="n"/>
      <c r="B183" s="49" t="n"/>
      <c r="C183" s="49" t="n"/>
      <c r="D183" s="50" t="n"/>
      <c r="E183" s="49" t="n"/>
      <c r="F183" s="49" t="n"/>
      <c r="G183" s="49">
        <f>TRUE()</f>
        <v/>
      </c>
      <c r="H183" s="50">
        <f>IF($A183="","",IF(AND(G183,D183&lt;=TARGET_LEVEL_NUM),"Applicable","N/A"))</f>
        <v/>
      </c>
      <c r="I183" s="49" t="n"/>
      <c r="J183" s="49" t="n"/>
      <c r="K183" s="49" t="n"/>
      <c r="L183" s="49" t="n"/>
      <c r="M183" s="49" t="n"/>
      <c r="N183" s="49" t="n"/>
      <c r="O183" s="50" t="n"/>
      <c r="P183" s="50">
        <f>IF($A183="","",IF(H183="N/A","N/A",IFERROR(INDEX(CRIT_MATRIX,MATCH(O183,CRIT_MATRIX_ROWS,0),MATCH(APP_RISK_TIER,CRIT_MATRIX_COLS,0)),"")))</f>
        <v/>
      </c>
      <c r="Q183" s="49" t="n"/>
      <c r="R183" s="49" cm="1">
        <f t="array" ref="R183">IF($A183="","",COUNTIFS(tblThreatControls[Control ID],$A183,tblThreatControls[Threat applies],"Applies"))</f>
        <v/>
      </c>
      <c r="S183" s="49" cm="1">
        <f t="array" ref="S183">IF($A183="","",IF(R183=0,"",INDEX(RISK_SCALE_NAMES,_xlfn.MAXIFS(tblThreatControls[Threat risk score],tblThreatControls[Control ID],$A183))))</f>
        <v/>
      </c>
      <c r="T183" s="49" cm="1">
        <f t="array" ref="T183">IF($A183="","",IF(AND(H183="Applicable",OR(L183="Not assessed",L183=""),R183&gt;0),"Yes","No"))</f>
        <v/>
      </c>
      <c r="U183" s="49" cm="1">
        <f t="array" ref="U183">IF($A183="","",IF(AND(H183="Applicable",OR(L183="Gap",L183="Partial coverage")),INDEX(RISK_SCALE_NAMES,MAX(IFERROR(MATCH(P183,RISK_SCALE_NAMES,0),1),IFERROR(MATCH(S183,RISK_SCALE_NAMES,0),0))),""))</f>
        <v/>
      </c>
      <c r="V183" s="49" cm="1">
        <f t="array" ref="V183">IF($A183="","",_xlfn.TEXTJOIN("; ",TRUE,_xlfn._xlws.FILTER(tblThreatControls[Threat ID],(tblThreatControls[Control ID]=$A183)*(tblThreatControls[Threat applies]="Applies"),"")))</f>
        <v/>
      </c>
    </row>
    <row r="184" ht="45" customHeight="1" s="19">
      <c r="A184" s="49" t="n"/>
      <c r="B184" s="49" t="n"/>
      <c r="C184" s="49" t="n"/>
      <c r="D184" s="50" t="n"/>
      <c r="E184" s="49" t="n"/>
      <c r="F184" s="49" t="n"/>
      <c r="G184" s="49">
        <f>TRUE()</f>
        <v/>
      </c>
      <c r="H184" s="50">
        <f>IF($A184="","",IF(AND(G184,D184&lt;=TARGET_LEVEL_NUM),"Applicable","N/A"))</f>
        <v/>
      </c>
      <c r="I184" s="49" t="n"/>
      <c r="J184" s="49" t="n"/>
      <c r="K184" s="49" t="n"/>
      <c r="L184" s="49" t="n"/>
      <c r="M184" s="49" t="n"/>
      <c r="N184" s="49" t="n"/>
      <c r="O184" s="50" t="n"/>
      <c r="P184" s="50">
        <f>IF($A184="","",IF(H184="N/A","N/A",IFERROR(INDEX(CRIT_MATRIX,MATCH(O184,CRIT_MATRIX_ROWS,0),MATCH(APP_RISK_TIER,CRIT_MATRIX_COLS,0)),"")))</f>
        <v/>
      </c>
      <c r="Q184" s="49" t="n"/>
      <c r="R184" s="49" cm="1">
        <f t="array" ref="R184">IF($A184="","",COUNTIFS(tblThreatControls[Control ID],$A184,tblThreatControls[Threat applies],"Applies"))</f>
        <v/>
      </c>
      <c r="S184" s="49" cm="1">
        <f t="array" ref="S184">IF($A184="","",IF(R184=0,"",INDEX(RISK_SCALE_NAMES,_xlfn.MAXIFS(tblThreatControls[Threat risk score],tblThreatControls[Control ID],$A184))))</f>
        <v/>
      </c>
      <c r="T184" s="49" cm="1">
        <f t="array" ref="T184">IF($A184="","",IF(AND(H184="Applicable",OR(L184="Not assessed",L184=""),R184&gt;0),"Yes","No"))</f>
        <v/>
      </c>
      <c r="U184" s="49" cm="1">
        <f t="array" ref="U184">IF($A184="","",IF(AND(H184="Applicable",OR(L184="Gap",L184="Partial coverage")),INDEX(RISK_SCALE_NAMES,MAX(IFERROR(MATCH(P184,RISK_SCALE_NAMES,0),1),IFERROR(MATCH(S184,RISK_SCALE_NAMES,0),0))),""))</f>
        <v/>
      </c>
      <c r="V184" s="49" cm="1">
        <f t="array" ref="V184">IF($A184="","",_xlfn.TEXTJOIN("; ",TRUE,_xlfn._xlws.FILTER(tblThreatControls[Threat ID],(tblThreatControls[Control ID]=$A184)*(tblThreatControls[Threat applies]="Applies"),"")))</f>
        <v/>
      </c>
    </row>
    <row r="185" ht="45" customHeight="1" s="19">
      <c r="A185" s="49" t="n"/>
      <c r="B185" s="49" t="n"/>
      <c r="C185" s="49" t="n"/>
      <c r="D185" s="50" t="n"/>
      <c r="E185" s="49" t="n"/>
      <c r="F185" s="49" t="n"/>
      <c r="G185" s="49">
        <f>TRUE()</f>
        <v/>
      </c>
      <c r="H185" s="50">
        <f>IF($A185="","",IF(AND(G185,D185&lt;=TARGET_LEVEL_NUM),"Applicable","N/A"))</f>
        <v/>
      </c>
      <c r="I185" s="49" t="n"/>
      <c r="J185" s="49" t="n"/>
      <c r="K185" s="49" t="n"/>
      <c r="L185" s="49" t="n"/>
      <c r="M185" s="49" t="n"/>
      <c r="N185" s="49" t="n"/>
      <c r="O185" s="50" t="n"/>
      <c r="P185" s="50">
        <f>IF($A185="","",IF(H185="N/A","N/A",IFERROR(INDEX(CRIT_MATRIX,MATCH(O185,CRIT_MATRIX_ROWS,0),MATCH(APP_RISK_TIER,CRIT_MATRIX_COLS,0)),"")))</f>
        <v/>
      </c>
      <c r="Q185" s="49" t="n"/>
      <c r="R185" s="49" cm="1">
        <f t="array" ref="R185">IF($A185="","",COUNTIFS(tblThreatControls[Control ID],$A185,tblThreatControls[Threat applies],"Applies"))</f>
        <v/>
      </c>
      <c r="S185" s="49" cm="1">
        <f t="array" ref="S185">IF($A185="","",IF(R185=0,"",INDEX(RISK_SCALE_NAMES,_xlfn.MAXIFS(tblThreatControls[Threat risk score],tblThreatControls[Control ID],$A185))))</f>
        <v/>
      </c>
      <c r="T185" s="49" cm="1">
        <f t="array" ref="T185">IF($A185="","",IF(AND(H185="Applicable",OR(L185="Not assessed",L185=""),R185&gt;0),"Yes","No"))</f>
        <v/>
      </c>
      <c r="U185" s="49" cm="1">
        <f t="array" ref="U185">IF($A185="","",IF(AND(H185="Applicable",OR(L185="Gap",L185="Partial coverage")),INDEX(RISK_SCALE_NAMES,MAX(IFERROR(MATCH(P185,RISK_SCALE_NAMES,0),1),IFERROR(MATCH(S185,RISK_SCALE_NAMES,0),0))),""))</f>
        <v/>
      </c>
      <c r="V185" s="49" cm="1">
        <f t="array" ref="V185">IF($A185="","",_xlfn.TEXTJOIN("; ",TRUE,_xlfn._xlws.FILTER(tblThreatControls[Threat ID],(tblThreatControls[Control ID]=$A185)*(tblThreatControls[Threat applies]="Applies"),"")))</f>
        <v/>
      </c>
    </row>
    <row r="186" ht="45" customHeight="1" s="19">
      <c r="A186" s="49" t="n"/>
      <c r="B186" s="49" t="n"/>
      <c r="C186" s="49" t="n"/>
      <c r="D186" s="50" t="n"/>
      <c r="E186" s="49" t="n"/>
      <c r="F186" s="49" t="n"/>
      <c r="G186" s="49">
        <f>TRUE()</f>
        <v/>
      </c>
      <c r="H186" s="50">
        <f>IF($A186="","",IF(AND(G186,D186&lt;=TARGET_LEVEL_NUM),"Applicable","N/A"))</f>
        <v/>
      </c>
      <c r="I186" s="49" t="n"/>
      <c r="J186" s="49" t="n"/>
      <c r="K186" s="49" t="n"/>
      <c r="L186" s="49" t="n"/>
      <c r="M186" s="49" t="n"/>
      <c r="N186" s="49" t="n"/>
      <c r="O186" s="50" t="n"/>
      <c r="P186" s="50">
        <f>IF($A186="","",IF(H186="N/A","N/A",IFERROR(INDEX(CRIT_MATRIX,MATCH(O186,CRIT_MATRIX_ROWS,0),MATCH(APP_RISK_TIER,CRIT_MATRIX_COLS,0)),"")))</f>
        <v/>
      </c>
      <c r="Q186" s="49" t="n"/>
      <c r="R186" s="49" cm="1">
        <f t="array" ref="R186">IF($A186="","",COUNTIFS(tblThreatControls[Control ID],$A186,tblThreatControls[Threat applies],"Applies"))</f>
        <v/>
      </c>
      <c r="S186" s="49" cm="1">
        <f t="array" ref="S186">IF($A186="","",IF(R186=0,"",INDEX(RISK_SCALE_NAMES,_xlfn.MAXIFS(tblThreatControls[Threat risk score],tblThreatControls[Control ID],$A186))))</f>
        <v/>
      </c>
      <c r="T186" s="49" cm="1">
        <f t="array" ref="T186">IF($A186="","",IF(AND(H186="Applicable",OR(L186="Not assessed",L186=""),R186&gt;0),"Yes","No"))</f>
        <v/>
      </c>
      <c r="U186" s="49" cm="1">
        <f t="array" ref="U186">IF($A186="","",IF(AND(H186="Applicable",OR(L186="Gap",L186="Partial coverage")),INDEX(RISK_SCALE_NAMES,MAX(IFERROR(MATCH(P186,RISK_SCALE_NAMES,0),1),IFERROR(MATCH(S186,RISK_SCALE_NAMES,0),0))),""))</f>
        <v/>
      </c>
      <c r="V186" s="49" cm="1">
        <f t="array" ref="V186">IF($A186="","",_xlfn.TEXTJOIN("; ",TRUE,_xlfn._xlws.FILTER(tblThreatControls[Threat ID],(tblThreatControls[Control ID]=$A186)*(tblThreatControls[Threat applies]="Applies"),"")))</f>
        <v/>
      </c>
    </row>
    <row r="187" ht="45" customHeight="1" s="19">
      <c r="A187" s="49" t="n"/>
      <c r="B187" s="49" t="n"/>
      <c r="C187" s="49" t="n"/>
      <c r="D187" s="50" t="n"/>
      <c r="E187" s="49" t="n"/>
      <c r="F187" s="49" t="n"/>
      <c r="G187" s="49">
        <f>TRUE()</f>
        <v/>
      </c>
      <c r="H187" s="50">
        <f>IF($A187="","",IF(AND(G187,D187&lt;=TARGET_LEVEL_NUM),"Applicable","N/A"))</f>
        <v/>
      </c>
      <c r="I187" s="49" t="n"/>
      <c r="J187" s="49" t="n"/>
      <c r="K187" s="49" t="n"/>
      <c r="L187" s="49" t="n"/>
      <c r="M187" s="49" t="n"/>
      <c r="N187" s="49" t="n"/>
      <c r="O187" s="50" t="n"/>
      <c r="P187" s="50">
        <f>IF($A187="","",IF(H187="N/A","N/A",IFERROR(INDEX(CRIT_MATRIX,MATCH(O187,CRIT_MATRIX_ROWS,0),MATCH(APP_RISK_TIER,CRIT_MATRIX_COLS,0)),"")))</f>
        <v/>
      </c>
      <c r="Q187" s="49" t="n"/>
      <c r="R187" s="49" cm="1">
        <f t="array" ref="R187">IF($A187="","",COUNTIFS(tblThreatControls[Control ID],$A187,tblThreatControls[Threat applies],"Applies"))</f>
        <v/>
      </c>
      <c r="S187" s="49" cm="1">
        <f t="array" ref="S187">IF($A187="","",IF(R187=0,"",INDEX(RISK_SCALE_NAMES,_xlfn.MAXIFS(tblThreatControls[Threat risk score],tblThreatControls[Control ID],$A187))))</f>
        <v/>
      </c>
      <c r="T187" s="49" cm="1">
        <f t="array" ref="T187">IF($A187="","",IF(AND(H187="Applicable",OR(L187="Not assessed",L187=""),R187&gt;0),"Yes","No"))</f>
        <v/>
      </c>
      <c r="U187" s="49" cm="1">
        <f t="array" ref="U187">IF($A187="","",IF(AND(H187="Applicable",OR(L187="Gap",L187="Partial coverage")),INDEX(RISK_SCALE_NAMES,MAX(IFERROR(MATCH(P187,RISK_SCALE_NAMES,0),1),IFERROR(MATCH(S187,RISK_SCALE_NAMES,0),0))),""))</f>
        <v/>
      </c>
      <c r="V187" s="49" cm="1">
        <f t="array" ref="V187">IF($A187="","",_xlfn.TEXTJOIN("; ",TRUE,_xlfn._xlws.FILTER(tblThreatControls[Threat ID],(tblThreatControls[Control ID]=$A187)*(tblThreatControls[Threat applies]="Applies"),"")))</f>
        <v/>
      </c>
    </row>
    <row r="188" ht="45" customHeight="1" s="19">
      <c r="A188" s="49" t="n"/>
      <c r="B188" s="49" t="n"/>
      <c r="C188" s="49" t="n"/>
      <c r="D188" s="50" t="n"/>
      <c r="E188" s="49" t="n"/>
      <c r="F188" s="49" t="n"/>
      <c r="G188" s="49">
        <f>TRUE()</f>
        <v/>
      </c>
      <c r="H188" s="50">
        <f>IF($A188="","",IF(AND(G188,D188&lt;=TARGET_LEVEL_NUM),"Applicable","N/A"))</f>
        <v/>
      </c>
      <c r="I188" s="49" t="n"/>
      <c r="J188" s="49" t="n"/>
      <c r="K188" s="49" t="n"/>
      <c r="L188" s="49" t="n"/>
      <c r="M188" s="49" t="n"/>
      <c r="N188" s="49" t="n"/>
      <c r="O188" s="50" t="n"/>
      <c r="P188" s="50">
        <f>IF($A188="","",IF(H188="N/A","N/A",IFERROR(INDEX(CRIT_MATRIX,MATCH(O188,CRIT_MATRIX_ROWS,0),MATCH(APP_RISK_TIER,CRIT_MATRIX_COLS,0)),"")))</f>
        <v/>
      </c>
      <c r="Q188" s="49" t="n"/>
      <c r="R188" s="49" cm="1">
        <f t="array" ref="R188">IF($A188="","",COUNTIFS(tblThreatControls[Control ID],$A188,tblThreatControls[Threat applies],"Applies"))</f>
        <v/>
      </c>
      <c r="S188" s="49" cm="1">
        <f t="array" ref="S188">IF($A188="","",IF(R188=0,"",INDEX(RISK_SCALE_NAMES,_xlfn.MAXIFS(tblThreatControls[Threat risk score],tblThreatControls[Control ID],$A188))))</f>
        <v/>
      </c>
      <c r="T188" s="49" cm="1">
        <f t="array" ref="T188">IF($A188="","",IF(AND(H188="Applicable",OR(L188="Not assessed",L188=""),R188&gt;0),"Yes","No"))</f>
        <v/>
      </c>
      <c r="U188" s="49" cm="1">
        <f t="array" ref="U188">IF($A188="","",IF(AND(H188="Applicable",OR(L188="Gap",L188="Partial coverage")),INDEX(RISK_SCALE_NAMES,MAX(IFERROR(MATCH(P188,RISK_SCALE_NAMES,0),1),IFERROR(MATCH(S188,RISK_SCALE_NAMES,0),0))),""))</f>
        <v/>
      </c>
      <c r="V188" s="49" cm="1">
        <f t="array" ref="V188">IF($A188="","",_xlfn.TEXTJOIN("; ",TRUE,_xlfn._xlws.FILTER(tblThreatControls[Threat ID],(tblThreatControls[Control ID]=$A188)*(tblThreatControls[Threat applies]="Applies"),"")))</f>
        <v/>
      </c>
    </row>
    <row r="189" ht="45" customHeight="1" s="19">
      <c r="A189" s="49" t="n"/>
      <c r="B189" s="49" t="n"/>
      <c r="C189" s="49" t="n"/>
      <c r="D189" s="50" t="n"/>
      <c r="E189" s="49" t="n"/>
      <c r="F189" s="49" t="n"/>
      <c r="G189" s="49">
        <f>TRUE()</f>
        <v/>
      </c>
      <c r="H189" s="50">
        <f>IF($A189="","",IF(AND(G189,D189&lt;=TARGET_LEVEL_NUM),"Applicable","N/A"))</f>
        <v/>
      </c>
      <c r="I189" s="49" t="n"/>
      <c r="J189" s="49" t="n"/>
      <c r="K189" s="49" t="n"/>
      <c r="L189" s="49" t="n"/>
      <c r="M189" s="49" t="n"/>
      <c r="N189" s="49" t="n"/>
      <c r="O189" s="50" t="n"/>
      <c r="P189" s="50">
        <f>IF($A189="","",IF(H189="N/A","N/A",IFERROR(INDEX(CRIT_MATRIX,MATCH(O189,CRIT_MATRIX_ROWS,0),MATCH(APP_RISK_TIER,CRIT_MATRIX_COLS,0)),"")))</f>
        <v/>
      </c>
      <c r="Q189" s="49" t="n"/>
      <c r="R189" s="49" cm="1">
        <f t="array" ref="R189">IF($A189="","",COUNTIFS(tblThreatControls[Control ID],$A189,tblThreatControls[Threat applies],"Applies"))</f>
        <v/>
      </c>
      <c r="S189" s="49" cm="1">
        <f t="array" ref="S189">IF($A189="","",IF(R189=0,"",INDEX(RISK_SCALE_NAMES,_xlfn.MAXIFS(tblThreatControls[Threat risk score],tblThreatControls[Control ID],$A189))))</f>
        <v/>
      </c>
      <c r="T189" s="49" cm="1">
        <f t="array" ref="T189">IF($A189="","",IF(AND(H189="Applicable",OR(L189="Not assessed",L189=""),R189&gt;0),"Yes","No"))</f>
        <v/>
      </c>
      <c r="U189" s="49" cm="1">
        <f t="array" ref="U189">IF($A189="","",IF(AND(H189="Applicable",OR(L189="Gap",L189="Partial coverage")),INDEX(RISK_SCALE_NAMES,MAX(IFERROR(MATCH(P189,RISK_SCALE_NAMES,0),1),IFERROR(MATCH(S189,RISK_SCALE_NAMES,0),0))),""))</f>
        <v/>
      </c>
      <c r="V189" s="49" cm="1">
        <f t="array" ref="V189">IF($A189="","",_xlfn.TEXTJOIN("; ",TRUE,_xlfn._xlws.FILTER(tblThreatControls[Threat ID],(tblThreatControls[Control ID]=$A189)*(tblThreatControls[Threat applies]="Applies"),"")))</f>
        <v/>
      </c>
    </row>
    <row r="190" ht="45" customHeight="1" s="19">
      <c r="A190" s="49" t="n"/>
      <c r="B190" s="49" t="n"/>
      <c r="C190" s="49" t="n"/>
      <c r="D190" s="50" t="n"/>
      <c r="E190" s="49" t="n"/>
      <c r="F190" s="49" t="n"/>
      <c r="G190" s="49">
        <f>TRUE()</f>
        <v/>
      </c>
      <c r="H190" s="50">
        <f>IF($A190="","",IF(AND(G190,D190&lt;=TARGET_LEVEL_NUM),"Applicable","N/A"))</f>
        <v/>
      </c>
      <c r="I190" s="49" t="n"/>
      <c r="J190" s="49" t="n"/>
      <c r="K190" s="49" t="n"/>
      <c r="L190" s="49" t="n"/>
      <c r="M190" s="49" t="n"/>
      <c r="N190" s="49" t="n"/>
      <c r="O190" s="50" t="n"/>
      <c r="P190" s="50">
        <f>IF($A190="","",IF(H190="N/A","N/A",IFERROR(INDEX(CRIT_MATRIX,MATCH(O190,CRIT_MATRIX_ROWS,0),MATCH(APP_RISK_TIER,CRIT_MATRIX_COLS,0)),"")))</f>
        <v/>
      </c>
      <c r="Q190" s="49" t="n"/>
      <c r="R190" s="49" cm="1">
        <f t="array" ref="R190">IF($A190="","",COUNTIFS(tblThreatControls[Control ID],$A190,tblThreatControls[Threat applies],"Applies"))</f>
        <v/>
      </c>
      <c r="S190" s="49" cm="1">
        <f t="array" ref="S190">IF($A190="","",IF(R190=0,"",INDEX(RISK_SCALE_NAMES,_xlfn.MAXIFS(tblThreatControls[Threat risk score],tblThreatControls[Control ID],$A190))))</f>
        <v/>
      </c>
      <c r="T190" s="49" cm="1">
        <f t="array" ref="T190">IF($A190="","",IF(AND(H190="Applicable",OR(L190="Not assessed",L190=""),R190&gt;0),"Yes","No"))</f>
        <v/>
      </c>
      <c r="U190" s="49" cm="1">
        <f t="array" ref="U190">IF($A190="","",IF(AND(H190="Applicable",OR(L190="Gap",L190="Partial coverage")),INDEX(RISK_SCALE_NAMES,MAX(IFERROR(MATCH(P190,RISK_SCALE_NAMES,0),1),IFERROR(MATCH(S190,RISK_SCALE_NAMES,0),0))),""))</f>
        <v/>
      </c>
      <c r="V190" s="49" cm="1">
        <f t="array" ref="V190">IF($A190="","",_xlfn.TEXTJOIN("; ",TRUE,_xlfn._xlws.FILTER(tblThreatControls[Threat ID],(tblThreatControls[Control ID]=$A190)*(tblThreatControls[Threat applies]="Applies"),"")))</f>
        <v/>
      </c>
    </row>
    <row r="191" ht="45" customHeight="1" s="19">
      <c r="A191" s="49" t="n"/>
      <c r="B191" s="49" t="n"/>
      <c r="C191" s="49" t="n"/>
      <c r="D191" s="50" t="n"/>
      <c r="E191" s="49" t="n"/>
      <c r="F191" s="49" t="n"/>
      <c r="G191" s="49">
        <f>TRUE()</f>
        <v/>
      </c>
      <c r="H191" s="50">
        <f>IF($A191="","",IF(AND(G191,D191&lt;=TARGET_LEVEL_NUM),"Applicable","N/A"))</f>
        <v/>
      </c>
      <c r="I191" s="49" t="n"/>
      <c r="J191" s="49" t="n"/>
      <c r="K191" s="49" t="n"/>
      <c r="L191" s="49" t="n"/>
      <c r="M191" s="49" t="n"/>
      <c r="N191" s="49" t="n"/>
      <c r="O191" s="50" t="n"/>
      <c r="P191" s="50">
        <f>IF($A191="","",IF(H191="N/A","N/A",IFERROR(INDEX(CRIT_MATRIX,MATCH(O191,CRIT_MATRIX_ROWS,0),MATCH(APP_RISK_TIER,CRIT_MATRIX_COLS,0)),"")))</f>
        <v/>
      </c>
      <c r="Q191" s="49" t="n"/>
      <c r="R191" s="49" cm="1">
        <f t="array" ref="R191">IF($A191="","",COUNTIFS(tblThreatControls[Control ID],$A191,tblThreatControls[Threat applies],"Applies"))</f>
        <v/>
      </c>
      <c r="S191" s="49" cm="1">
        <f t="array" ref="S191">IF($A191="","",IF(R191=0,"",INDEX(RISK_SCALE_NAMES,_xlfn.MAXIFS(tblThreatControls[Threat risk score],tblThreatControls[Control ID],$A191))))</f>
        <v/>
      </c>
      <c r="T191" s="49" cm="1">
        <f t="array" ref="T191">IF($A191="","",IF(AND(H191="Applicable",OR(L191="Not assessed",L191=""),R191&gt;0),"Yes","No"))</f>
        <v/>
      </c>
      <c r="U191" s="49" cm="1">
        <f t="array" ref="U191">IF($A191="","",IF(AND(H191="Applicable",OR(L191="Gap",L191="Partial coverage")),INDEX(RISK_SCALE_NAMES,MAX(IFERROR(MATCH(P191,RISK_SCALE_NAMES,0),1),IFERROR(MATCH(S191,RISK_SCALE_NAMES,0),0))),""))</f>
        <v/>
      </c>
      <c r="V191" s="49" cm="1">
        <f t="array" ref="V191">IF($A191="","",_xlfn.TEXTJOIN("; ",TRUE,_xlfn._xlws.FILTER(tblThreatControls[Threat ID],(tblThreatControls[Control ID]=$A191)*(tblThreatControls[Threat applies]="Applies"),"")))</f>
        <v/>
      </c>
    </row>
    <row r="192" ht="45" customHeight="1" s="19">
      <c r="A192" s="49" t="n"/>
      <c r="B192" s="49" t="n"/>
      <c r="C192" s="49" t="n"/>
      <c r="D192" s="50" t="n"/>
      <c r="E192" s="49" t="n"/>
      <c r="F192" s="49" t="n"/>
      <c r="G192" s="49">
        <f>TRUE()</f>
        <v/>
      </c>
      <c r="H192" s="50">
        <f>IF($A192="","",IF(AND(G192,D192&lt;=TARGET_LEVEL_NUM),"Applicable","N/A"))</f>
        <v/>
      </c>
      <c r="I192" s="49" t="n"/>
      <c r="J192" s="49" t="n"/>
      <c r="K192" s="49" t="n"/>
      <c r="L192" s="49" t="n"/>
      <c r="M192" s="49" t="n"/>
      <c r="N192" s="49" t="n"/>
      <c r="O192" s="50" t="n"/>
      <c r="P192" s="50">
        <f>IF($A192="","",IF(H192="N/A","N/A",IFERROR(INDEX(CRIT_MATRIX,MATCH(O192,CRIT_MATRIX_ROWS,0),MATCH(APP_RISK_TIER,CRIT_MATRIX_COLS,0)),"")))</f>
        <v/>
      </c>
      <c r="Q192" s="49" t="n"/>
      <c r="R192" s="49" cm="1">
        <f t="array" ref="R192">IF($A192="","",COUNTIFS(tblThreatControls[Control ID],$A192,tblThreatControls[Threat applies],"Applies"))</f>
        <v/>
      </c>
      <c r="S192" s="49" cm="1">
        <f t="array" ref="S192">IF($A192="","",IF(R192=0,"",INDEX(RISK_SCALE_NAMES,_xlfn.MAXIFS(tblThreatControls[Threat risk score],tblThreatControls[Control ID],$A192))))</f>
        <v/>
      </c>
      <c r="T192" s="49" cm="1">
        <f t="array" ref="T192">IF($A192="","",IF(AND(H192="Applicable",OR(L192="Not assessed",L192=""),R192&gt;0),"Yes","No"))</f>
        <v/>
      </c>
      <c r="U192" s="49" cm="1">
        <f t="array" ref="U192">IF($A192="","",IF(AND(H192="Applicable",OR(L192="Gap",L192="Partial coverage")),INDEX(RISK_SCALE_NAMES,MAX(IFERROR(MATCH(P192,RISK_SCALE_NAMES,0),1),IFERROR(MATCH(S192,RISK_SCALE_NAMES,0),0))),""))</f>
        <v/>
      </c>
      <c r="V192" s="49" cm="1">
        <f t="array" ref="V192">IF($A192="","",_xlfn.TEXTJOIN("; ",TRUE,_xlfn._xlws.FILTER(tblThreatControls[Threat ID],(tblThreatControls[Control ID]=$A192)*(tblThreatControls[Threat applies]="Applies"),"")))</f>
        <v/>
      </c>
    </row>
    <row r="193" ht="45" customHeight="1" s="19">
      <c r="A193" s="49" t="n"/>
      <c r="B193" s="49" t="n"/>
      <c r="C193" s="49" t="n"/>
      <c r="D193" s="50" t="n"/>
      <c r="E193" s="49" t="n"/>
      <c r="F193" s="49" t="n"/>
      <c r="G193" s="49">
        <f>TRUE()</f>
        <v/>
      </c>
      <c r="H193" s="50">
        <f>IF($A193="","",IF(AND(G193,D193&lt;=TARGET_LEVEL_NUM),"Applicable","N/A"))</f>
        <v/>
      </c>
      <c r="I193" s="49" t="n"/>
      <c r="J193" s="49" t="n"/>
      <c r="K193" s="49" t="n"/>
      <c r="L193" s="49" t="n"/>
      <c r="M193" s="49" t="n"/>
      <c r="N193" s="49" t="n"/>
      <c r="O193" s="50" t="n"/>
      <c r="P193" s="50">
        <f>IF($A193="","",IF(H193="N/A","N/A",IFERROR(INDEX(CRIT_MATRIX,MATCH(O193,CRIT_MATRIX_ROWS,0),MATCH(APP_RISK_TIER,CRIT_MATRIX_COLS,0)),"")))</f>
        <v/>
      </c>
      <c r="Q193" s="49" t="n"/>
      <c r="R193" s="49" cm="1">
        <f t="array" ref="R193">IF($A193="","",COUNTIFS(tblThreatControls[Control ID],$A193,tblThreatControls[Threat applies],"Applies"))</f>
        <v/>
      </c>
      <c r="S193" s="49" cm="1">
        <f t="array" ref="S193">IF($A193="","",IF(R193=0,"",INDEX(RISK_SCALE_NAMES,_xlfn.MAXIFS(tblThreatControls[Threat risk score],tblThreatControls[Control ID],$A193))))</f>
        <v/>
      </c>
      <c r="T193" s="49" cm="1">
        <f t="array" ref="T193">IF($A193="","",IF(AND(H193="Applicable",OR(L193="Not assessed",L193=""),R193&gt;0),"Yes","No"))</f>
        <v/>
      </c>
      <c r="U193" s="49" cm="1">
        <f t="array" ref="U193">IF($A193="","",IF(AND(H193="Applicable",OR(L193="Gap",L193="Partial coverage")),INDEX(RISK_SCALE_NAMES,MAX(IFERROR(MATCH(P193,RISK_SCALE_NAMES,0),1),IFERROR(MATCH(S193,RISK_SCALE_NAMES,0),0))),""))</f>
        <v/>
      </c>
      <c r="V193" s="49" cm="1">
        <f t="array" ref="V193">IF($A193="","",_xlfn.TEXTJOIN("; ",TRUE,_xlfn._xlws.FILTER(tblThreatControls[Threat ID],(tblThreatControls[Control ID]=$A193)*(tblThreatControls[Threat applies]="Applies"),"")))</f>
        <v/>
      </c>
    </row>
    <row r="194" ht="45" customHeight="1" s="19">
      <c r="A194" s="49" t="n"/>
      <c r="B194" s="49" t="n"/>
      <c r="C194" s="49" t="n"/>
      <c r="D194" s="50" t="n"/>
      <c r="E194" s="49" t="n"/>
      <c r="F194" s="49" t="n"/>
      <c r="G194" s="49">
        <f>TRUE()</f>
        <v/>
      </c>
      <c r="H194" s="50">
        <f>IF($A194="","",IF(AND(G194,D194&lt;=TARGET_LEVEL_NUM),"Applicable","N/A"))</f>
        <v/>
      </c>
      <c r="I194" s="49" t="n"/>
      <c r="J194" s="49" t="n"/>
      <c r="K194" s="49" t="n"/>
      <c r="L194" s="49" t="n"/>
      <c r="M194" s="49" t="n"/>
      <c r="N194" s="49" t="n"/>
      <c r="O194" s="50" t="n"/>
      <c r="P194" s="50">
        <f>IF($A194="","",IF(H194="N/A","N/A",IFERROR(INDEX(CRIT_MATRIX,MATCH(O194,CRIT_MATRIX_ROWS,0),MATCH(APP_RISK_TIER,CRIT_MATRIX_COLS,0)),"")))</f>
        <v/>
      </c>
      <c r="Q194" s="49" t="n"/>
      <c r="R194" s="49" cm="1">
        <f t="array" ref="R194">IF($A194="","",COUNTIFS(tblThreatControls[Control ID],$A194,tblThreatControls[Threat applies],"Applies"))</f>
        <v/>
      </c>
      <c r="S194" s="49" cm="1">
        <f t="array" ref="S194">IF($A194="","",IF(R194=0,"",INDEX(RISK_SCALE_NAMES,_xlfn.MAXIFS(tblThreatControls[Threat risk score],tblThreatControls[Control ID],$A194))))</f>
        <v/>
      </c>
      <c r="T194" s="49" cm="1">
        <f t="array" ref="T194">IF($A194="","",IF(AND(H194="Applicable",OR(L194="Not assessed",L194=""),R194&gt;0),"Yes","No"))</f>
        <v/>
      </c>
      <c r="U194" s="49" cm="1">
        <f t="array" ref="U194">IF($A194="","",IF(AND(H194="Applicable",OR(L194="Gap",L194="Partial coverage")),INDEX(RISK_SCALE_NAMES,MAX(IFERROR(MATCH(P194,RISK_SCALE_NAMES,0),1),IFERROR(MATCH(S194,RISK_SCALE_NAMES,0),0))),""))</f>
        <v/>
      </c>
      <c r="V194" s="49" cm="1">
        <f t="array" ref="V194">IF($A194="","",_xlfn.TEXTJOIN("; ",TRUE,_xlfn._xlws.FILTER(tblThreatControls[Threat ID],(tblThreatControls[Control ID]=$A194)*(tblThreatControls[Threat applies]="Applies"),"")))</f>
        <v/>
      </c>
    </row>
    <row r="195" ht="45" customHeight="1" s="19">
      <c r="A195" s="49" t="n"/>
      <c r="B195" s="49" t="n"/>
      <c r="C195" s="49" t="n"/>
      <c r="D195" s="50" t="n"/>
      <c r="E195" s="49" t="n"/>
      <c r="F195" s="49" t="n"/>
      <c r="G195" s="49">
        <f>TRUE()</f>
        <v/>
      </c>
      <c r="H195" s="50">
        <f>IF($A195="","",IF(AND(G195,D195&lt;=TARGET_LEVEL_NUM),"Applicable","N/A"))</f>
        <v/>
      </c>
      <c r="I195" s="49" t="n"/>
      <c r="J195" s="49" t="n"/>
      <c r="K195" s="49" t="n"/>
      <c r="L195" s="49" t="n"/>
      <c r="M195" s="49" t="n"/>
      <c r="N195" s="49" t="n"/>
      <c r="O195" s="50" t="n"/>
      <c r="P195" s="50">
        <f>IF($A195="","",IF(H195="N/A","N/A",IFERROR(INDEX(CRIT_MATRIX,MATCH(O195,CRIT_MATRIX_ROWS,0),MATCH(APP_RISK_TIER,CRIT_MATRIX_COLS,0)),"")))</f>
        <v/>
      </c>
      <c r="Q195" s="49" t="n"/>
      <c r="R195" s="49" cm="1">
        <f t="array" ref="R195">IF($A195="","",COUNTIFS(tblThreatControls[Control ID],$A195,tblThreatControls[Threat applies],"Applies"))</f>
        <v/>
      </c>
      <c r="S195" s="49" cm="1">
        <f t="array" ref="S195">IF($A195="","",IF(R195=0,"",INDEX(RISK_SCALE_NAMES,_xlfn.MAXIFS(tblThreatControls[Threat risk score],tblThreatControls[Control ID],$A195))))</f>
        <v/>
      </c>
      <c r="T195" s="49" cm="1">
        <f t="array" ref="T195">IF($A195="","",IF(AND(H195="Applicable",OR(L195="Not assessed",L195=""),R195&gt;0),"Yes","No"))</f>
        <v/>
      </c>
      <c r="U195" s="49" cm="1">
        <f t="array" ref="U195">IF($A195="","",IF(AND(H195="Applicable",OR(L195="Gap",L195="Partial coverage")),INDEX(RISK_SCALE_NAMES,MAX(IFERROR(MATCH(P195,RISK_SCALE_NAMES,0),1),IFERROR(MATCH(S195,RISK_SCALE_NAMES,0),0))),""))</f>
        <v/>
      </c>
      <c r="V195" s="49" cm="1">
        <f t="array" ref="V195">IF($A195="","",_xlfn.TEXTJOIN("; ",TRUE,_xlfn._xlws.FILTER(tblThreatControls[Threat ID],(tblThreatControls[Control ID]=$A195)*(tblThreatControls[Threat applies]="Applies"),"")))</f>
        <v/>
      </c>
    </row>
    <row r="196" ht="45" customHeight="1" s="19">
      <c r="A196" s="49" t="n"/>
      <c r="B196" s="49" t="n"/>
      <c r="C196" s="49" t="n"/>
      <c r="D196" s="50" t="n"/>
      <c r="E196" s="49" t="n"/>
      <c r="F196" s="49" t="n"/>
      <c r="G196" s="49">
        <f>TRUE()</f>
        <v/>
      </c>
      <c r="H196" s="50">
        <f>IF($A196="","",IF(AND(G196,D196&lt;=TARGET_LEVEL_NUM),"Applicable","N/A"))</f>
        <v/>
      </c>
      <c r="I196" s="49" t="n"/>
      <c r="J196" s="49" t="n"/>
      <c r="K196" s="49" t="n"/>
      <c r="L196" s="49" t="n"/>
      <c r="M196" s="49" t="n"/>
      <c r="N196" s="49" t="n"/>
      <c r="O196" s="50" t="n"/>
      <c r="P196" s="50">
        <f>IF($A196="","",IF(H196="N/A","N/A",IFERROR(INDEX(CRIT_MATRIX,MATCH(O196,CRIT_MATRIX_ROWS,0),MATCH(APP_RISK_TIER,CRIT_MATRIX_COLS,0)),"")))</f>
        <v/>
      </c>
      <c r="Q196" s="49" t="n"/>
      <c r="R196" s="49" cm="1">
        <f t="array" ref="R196">IF($A196="","",COUNTIFS(tblThreatControls[Control ID],$A196,tblThreatControls[Threat applies],"Applies"))</f>
        <v/>
      </c>
      <c r="S196" s="49" cm="1">
        <f t="array" ref="S196">IF($A196="","",IF(R196=0,"",INDEX(RISK_SCALE_NAMES,_xlfn.MAXIFS(tblThreatControls[Threat risk score],tblThreatControls[Control ID],$A196))))</f>
        <v/>
      </c>
      <c r="T196" s="49" cm="1">
        <f t="array" ref="T196">IF($A196="","",IF(AND(H196="Applicable",OR(L196="Not assessed",L196=""),R196&gt;0),"Yes","No"))</f>
        <v/>
      </c>
      <c r="U196" s="49" cm="1">
        <f t="array" ref="U196">IF($A196="","",IF(AND(H196="Applicable",OR(L196="Gap",L196="Partial coverage")),INDEX(RISK_SCALE_NAMES,MAX(IFERROR(MATCH(P196,RISK_SCALE_NAMES,0),1),IFERROR(MATCH(S196,RISK_SCALE_NAMES,0),0))),""))</f>
        <v/>
      </c>
      <c r="V196" s="49" cm="1">
        <f t="array" ref="V196">IF($A196="","",_xlfn.TEXTJOIN("; ",TRUE,_xlfn._xlws.FILTER(tblThreatControls[Threat ID],(tblThreatControls[Control ID]=$A196)*(tblThreatControls[Threat applies]="Applies"),"")))</f>
        <v/>
      </c>
    </row>
    <row r="197" ht="45" customHeight="1" s="19">
      <c r="A197" s="49" t="n"/>
      <c r="B197" s="49" t="n"/>
      <c r="C197" s="49" t="n"/>
      <c r="D197" s="50" t="n"/>
      <c r="E197" s="49" t="n"/>
      <c r="F197" s="49" t="n"/>
      <c r="G197" s="49">
        <f>TRUE()</f>
        <v/>
      </c>
      <c r="H197" s="50">
        <f>IF($A197="","",IF(AND(G197,D197&lt;=TARGET_LEVEL_NUM),"Applicable","N/A"))</f>
        <v/>
      </c>
      <c r="I197" s="49" t="n"/>
      <c r="J197" s="49" t="n"/>
      <c r="K197" s="49" t="n"/>
      <c r="L197" s="49" t="n"/>
      <c r="M197" s="49" t="n"/>
      <c r="N197" s="49" t="n"/>
      <c r="O197" s="50" t="n"/>
      <c r="P197" s="50">
        <f>IF($A197="","",IF(H197="N/A","N/A",IFERROR(INDEX(CRIT_MATRIX,MATCH(O197,CRIT_MATRIX_ROWS,0),MATCH(APP_RISK_TIER,CRIT_MATRIX_COLS,0)),"")))</f>
        <v/>
      </c>
      <c r="Q197" s="49" t="n"/>
      <c r="R197" s="49" cm="1">
        <f t="array" ref="R197">IF($A197="","",COUNTIFS(tblThreatControls[Control ID],$A197,tblThreatControls[Threat applies],"Applies"))</f>
        <v/>
      </c>
      <c r="S197" s="49" cm="1">
        <f t="array" ref="S197">IF($A197="","",IF(R197=0,"",INDEX(RISK_SCALE_NAMES,_xlfn.MAXIFS(tblThreatControls[Threat risk score],tblThreatControls[Control ID],$A197))))</f>
        <v/>
      </c>
      <c r="T197" s="49" cm="1">
        <f t="array" ref="T197">IF($A197="","",IF(AND(H197="Applicable",OR(L197="Not assessed",L197=""),R197&gt;0),"Yes","No"))</f>
        <v/>
      </c>
      <c r="U197" s="49" cm="1">
        <f t="array" ref="U197">IF($A197="","",IF(AND(H197="Applicable",OR(L197="Gap",L197="Partial coverage")),INDEX(RISK_SCALE_NAMES,MAX(IFERROR(MATCH(P197,RISK_SCALE_NAMES,0),1),IFERROR(MATCH(S197,RISK_SCALE_NAMES,0),0))),""))</f>
        <v/>
      </c>
      <c r="V197" s="49" cm="1">
        <f t="array" ref="V197">IF($A197="","",_xlfn.TEXTJOIN("; ",TRUE,_xlfn._xlws.FILTER(tblThreatControls[Threat ID],(tblThreatControls[Control ID]=$A197)*(tblThreatControls[Threat applies]="Applies"),"")))</f>
        <v/>
      </c>
    </row>
    <row r="198" ht="45" customHeight="1" s="19">
      <c r="A198" s="49" t="n"/>
      <c r="B198" s="49" t="n"/>
      <c r="C198" s="49" t="n"/>
      <c r="D198" s="50" t="n"/>
      <c r="E198" s="49" t="n"/>
      <c r="F198" s="49" t="n"/>
      <c r="G198" s="49">
        <f>TRUE()</f>
        <v/>
      </c>
      <c r="H198" s="50">
        <f>IF($A198="","",IF(AND(G198,D198&lt;=TARGET_LEVEL_NUM),"Applicable","N/A"))</f>
        <v/>
      </c>
      <c r="I198" s="49" t="n"/>
      <c r="J198" s="49" t="n"/>
      <c r="K198" s="49" t="n"/>
      <c r="L198" s="49" t="n"/>
      <c r="M198" s="49" t="n"/>
      <c r="N198" s="49" t="n"/>
      <c r="O198" s="50" t="n"/>
      <c r="P198" s="50">
        <f>IF($A198="","",IF(H198="N/A","N/A",IFERROR(INDEX(CRIT_MATRIX,MATCH(O198,CRIT_MATRIX_ROWS,0),MATCH(APP_RISK_TIER,CRIT_MATRIX_COLS,0)),"")))</f>
        <v/>
      </c>
      <c r="Q198" s="49" t="n"/>
      <c r="R198" s="49" cm="1">
        <f t="array" ref="R198">IF($A198="","",COUNTIFS(tblThreatControls[Control ID],$A198,tblThreatControls[Threat applies],"Applies"))</f>
        <v/>
      </c>
      <c r="S198" s="49" cm="1">
        <f t="array" ref="S198">IF($A198="","",IF(R198=0,"",INDEX(RISK_SCALE_NAMES,_xlfn.MAXIFS(tblThreatControls[Threat risk score],tblThreatControls[Control ID],$A198))))</f>
        <v/>
      </c>
      <c r="T198" s="49" cm="1">
        <f t="array" ref="T198">IF($A198="","",IF(AND(H198="Applicable",OR(L198="Not assessed",L198=""),R198&gt;0),"Yes","No"))</f>
        <v/>
      </c>
      <c r="U198" s="49" cm="1">
        <f t="array" ref="U198">IF($A198="","",IF(AND(H198="Applicable",OR(L198="Gap",L198="Partial coverage")),INDEX(RISK_SCALE_NAMES,MAX(IFERROR(MATCH(P198,RISK_SCALE_NAMES,0),1),IFERROR(MATCH(S198,RISK_SCALE_NAMES,0),0))),""))</f>
        <v/>
      </c>
      <c r="V198" s="49" cm="1">
        <f t="array" ref="V198">IF($A198="","",_xlfn.TEXTJOIN("; ",TRUE,_xlfn._xlws.FILTER(tblThreatControls[Threat ID],(tblThreatControls[Control ID]=$A198)*(tblThreatControls[Threat applies]="Applies"),"")))</f>
        <v/>
      </c>
    </row>
    <row r="199" ht="45" customHeight="1" s="19">
      <c r="A199" s="49" t="n"/>
      <c r="B199" s="49" t="n"/>
      <c r="C199" s="49" t="n"/>
      <c r="D199" s="50" t="n"/>
      <c r="E199" s="49" t="n"/>
      <c r="F199" s="49" t="n"/>
      <c r="G199" s="49">
        <f>TRUE()</f>
        <v/>
      </c>
      <c r="H199" s="50">
        <f>IF($A199="","",IF(AND(G199,D199&lt;=TARGET_LEVEL_NUM),"Applicable","N/A"))</f>
        <v/>
      </c>
      <c r="I199" s="49" t="n"/>
      <c r="J199" s="49" t="n"/>
      <c r="K199" s="49" t="n"/>
      <c r="L199" s="49" t="n"/>
      <c r="M199" s="49" t="n"/>
      <c r="N199" s="49" t="n"/>
      <c r="O199" s="50" t="n"/>
      <c r="P199" s="50">
        <f>IF($A199="","",IF(H199="N/A","N/A",IFERROR(INDEX(CRIT_MATRIX,MATCH(O199,CRIT_MATRIX_ROWS,0),MATCH(APP_RISK_TIER,CRIT_MATRIX_COLS,0)),"")))</f>
        <v/>
      </c>
      <c r="Q199" s="49" t="n"/>
      <c r="R199" s="49" cm="1">
        <f t="array" ref="R199">IF($A199="","",COUNTIFS(tblThreatControls[Control ID],$A199,tblThreatControls[Threat applies],"Applies"))</f>
        <v/>
      </c>
      <c r="S199" s="49" cm="1">
        <f t="array" ref="S199">IF($A199="","",IF(R199=0,"",INDEX(RISK_SCALE_NAMES,_xlfn.MAXIFS(tblThreatControls[Threat risk score],tblThreatControls[Control ID],$A199))))</f>
        <v/>
      </c>
      <c r="T199" s="49" cm="1">
        <f t="array" ref="T199">IF($A199="","",IF(AND(H199="Applicable",OR(L199="Not assessed",L199=""),R199&gt;0),"Yes","No"))</f>
        <v/>
      </c>
      <c r="U199" s="49" cm="1">
        <f t="array" ref="U199">IF($A199="","",IF(AND(H199="Applicable",OR(L199="Gap",L199="Partial coverage")),INDEX(RISK_SCALE_NAMES,MAX(IFERROR(MATCH(P199,RISK_SCALE_NAMES,0),1),IFERROR(MATCH(S199,RISK_SCALE_NAMES,0),0))),""))</f>
        <v/>
      </c>
      <c r="V199" s="49" cm="1">
        <f t="array" ref="V199">IF($A199="","",_xlfn.TEXTJOIN("; ",TRUE,_xlfn._xlws.FILTER(tblThreatControls[Threat ID],(tblThreatControls[Control ID]=$A199)*(tblThreatControls[Threat applies]="Applies"),"")))</f>
        <v/>
      </c>
    </row>
    <row r="200" ht="45" customHeight="1" s="19">
      <c r="A200" s="49" t="n"/>
      <c r="B200" s="49" t="n"/>
      <c r="C200" s="49" t="n"/>
      <c r="D200" s="50" t="n"/>
      <c r="E200" s="49" t="n"/>
      <c r="F200" s="49" t="n"/>
      <c r="G200" s="49">
        <f>TRUE()</f>
        <v/>
      </c>
      <c r="H200" s="50">
        <f>IF($A200="","",IF(AND(G200,D200&lt;=TARGET_LEVEL_NUM),"Applicable","N/A"))</f>
        <v/>
      </c>
      <c r="I200" s="49" t="n"/>
      <c r="J200" s="49" t="n"/>
      <c r="K200" s="49" t="n"/>
      <c r="L200" s="49" t="n"/>
      <c r="M200" s="49" t="n"/>
      <c r="N200" s="49" t="n"/>
      <c r="O200" s="50" t="n"/>
      <c r="P200" s="50">
        <f>IF($A200="","",IF(H200="N/A","N/A",IFERROR(INDEX(CRIT_MATRIX,MATCH(O200,CRIT_MATRIX_ROWS,0),MATCH(APP_RISK_TIER,CRIT_MATRIX_COLS,0)),"")))</f>
        <v/>
      </c>
      <c r="Q200" s="49" t="n"/>
      <c r="R200" s="49" cm="1">
        <f t="array" ref="R200">IF($A200="","",COUNTIFS(tblThreatControls[Control ID],$A200,tblThreatControls[Threat applies],"Applies"))</f>
        <v/>
      </c>
      <c r="S200" s="49" cm="1">
        <f t="array" ref="S200">IF($A200="","",IF(R200=0,"",INDEX(RISK_SCALE_NAMES,_xlfn.MAXIFS(tblThreatControls[Threat risk score],tblThreatControls[Control ID],$A200))))</f>
        <v/>
      </c>
      <c r="T200" s="49" cm="1">
        <f t="array" ref="T200">IF($A200="","",IF(AND(H200="Applicable",OR(L200="Not assessed",L200=""),R200&gt;0),"Yes","No"))</f>
        <v/>
      </c>
      <c r="U200" s="49" cm="1">
        <f t="array" ref="U200">IF($A200="","",IF(AND(H200="Applicable",OR(L200="Gap",L200="Partial coverage")),INDEX(RISK_SCALE_NAMES,MAX(IFERROR(MATCH(P200,RISK_SCALE_NAMES,0),1),IFERROR(MATCH(S200,RISK_SCALE_NAMES,0),0))),""))</f>
        <v/>
      </c>
      <c r="V200" s="49" cm="1">
        <f t="array" ref="V200">IF($A200="","",_xlfn.TEXTJOIN("; ",TRUE,_xlfn._xlws.FILTER(tblThreatControls[Threat ID],(tblThreatControls[Control ID]=$A200)*(tblThreatControls[Threat applies]="Applies"),"")))</f>
        <v/>
      </c>
    </row>
    <row r="201" ht="45" customHeight="1" s="19">
      <c r="A201" s="49" t="n"/>
      <c r="B201" s="49" t="n"/>
      <c r="C201" s="49" t="n"/>
      <c r="D201" s="50" t="n"/>
      <c r="E201" s="49" t="n"/>
      <c r="F201" s="49" t="n"/>
      <c r="G201" s="49">
        <f>TRUE()</f>
        <v/>
      </c>
      <c r="H201" s="50">
        <f>IF($A201="","",IF(AND(G201,D201&lt;=TARGET_LEVEL_NUM),"Applicable","N/A"))</f>
        <v/>
      </c>
      <c r="I201" s="49" t="n"/>
      <c r="J201" s="49" t="n"/>
      <c r="K201" s="49" t="n"/>
      <c r="L201" s="49" t="n"/>
      <c r="M201" s="49" t="n"/>
      <c r="N201" s="49" t="n"/>
      <c r="O201" s="50" t="n"/>
      <c r="P201" s="50">
        <f>IF($A201="","",IF(H201="N/A","N/A",IFERROR(INDEX(CRIT_MATRIX,MATCH(O201,CRIT_MATRIX_ROWS,0),MATCH(APP_RISK_TIER,CRIT_MATRIX_COLS,0)),"")))</f>
        <v/>
      </c>
      <c r="Q201" s="49" t="n"/>
      <c r="R201" s="49" cm="1">
        <f t="array" ref="R201">IF($A201="","",COUNTIFS(tblThreatControls[Control ID],$A201,tblThreatControls[Threat applies],"Applies"))</f>
        <v/>
      </c>
      <c r="S201" s="49" cm="1">
        <f t="array" ref="S201">IF($A201="","",IF(R201=0,"",INDEX(RISK_SCALE_NAMES,_xlfn.MAXIFS(tblThreatControls[Threat risk score],tblThreatControls[Control ID],$A201))))</f>
        <v/>
      </c>
      <c r="T201" s="49" cm="1">
        <f t="array" ref="T201">IF($A201="","",IF(AND(H201="Applicable",OR(L201="Not assessed",L201=""),R201&gt;0),"Yes","No"))</f>
        <v/>
      </c>
      <c r="U201" s="49" cm="1">
        <f t="array" ref="U201">IF($A201="","",IF(AND(H201="Applicable",OR(L201="Gap",L201="Partial coverage")),INDEX(RISK_SCALE_NAMES,MAX(IFERROR(MATCH(P201,RISK_SCALE_NAMES,0),1),IFERROR(MATCH(S201,RISK_SCALE_NAMES,0),0))),""))</f>
        <v/>
      </c>
      <c r="V201" s="49" cm="1">
        <f t="array" ref="V201">IF($A201="","",_xlfn.TEXTJOIN("; ",TRUE,_xlfn._xlws.FILTER(tblThreatControls[Threat ID],(tblThreatControls[Control ID]=$A201)*(tblThreatControls[Threat applies]="Applies"),"")))</f>
        <v/>
      </c>
    </row>
    <row r="202" ht="45" customHeight="1" s="19">
      <c r="A202" s="49" t="n"/>
      <c r="B202" s="49" t="n"/>
      <c r="C202" s="49" t="n"/>
      <c r="D202" s="50" t="n"/>
      <c r="E202" s="49" t="n"/>
      <c r="F202" s="49" t="n"/>
      <c r="G202" s="49">
        <f>TRUE()</f>
        <v/>
      </c>
      <c r="H202" s="50">
        <f>IF($A202="","",IF(AND(G202,D202&lt;=TARGET_LEVEL_NUM),"Applicable","N/A"))</f>
        <v/>
      </c>
      <c r="I202" s="49" t="n"/>
      <c r="J202" s="49" t="n"/>
      <c r="K202" s="49" t="n"/>
      <c r="L202" s="49" t="n"/>
      <c r="M202" s="49" t="n"/>
      <c r="N202" s="49" t="n"/>
      <c r="O202" s="50" t="n"/>
      <c r="P202" s="50">
        <f>IF($A202="","",IF(H202="N/A","N/A",IFERROR(INDEX(CRIT_MATRIX,MATCH(O202,CRIT_MATRIX_ROWS,0),MATCH(APP_RISK_TIER,CRIT_MATRIX_COLS,0)),"")))</f>
        <v/>
      </c>
      <c r="Q202" s="49" t="n"/>
      <c r="R202" s="49" cm="1">
        <f t="array" ref="R202">IF($A202="","",COUNTIFS(tblThreatControls[Control ID],$A202,tblThreatControls[Threat applies],"Applies"))</f>
        <v/>
      </c>
      <c r="S202" s="49" cm="1">
        <f t="array" ref="S202">IF($A202="","",IF(R202=0,"",INDEX(RISK_SCALE_NAMES,_xlfn.MAXIFS(tblThreatControls[Threat risk score],tblThreatControls[Control ID],$A202))))</f>
        <v/>
      </c>
      <c r="T202" s="49" cm="1">
        <f t="array" ref="T202">IF($A202="","",IF(AND(H202="Applicable",OR(L202="Not assessed",L202=""),R202&gt;0),"Yes","No"))</f>
        <v/>
      </c>
      <c r="U202" s="49" cm="1">
        <f t="array" ref="U202">IF($A202="","",IF(AND(H202="Applicable",OR(L202="Gap",L202="Partial coverage")),INDEX(RISK_SCALE_NAMES,MAX(IFERROR(MATCH(P202,RISK_SCALE_NAMES,0),1),IFERROR(MATCH(S202,RISK_SCALE_NAMES,0),0))),""))</f>
        <v/>
      </c>
      <c r="V202" s="49" cm="1">
        <f t="array" ref="V202">IF($A202="","",_xlfn.TEXTJOIN("; ",TRUE,_xlfn._xlws.FILTER(tblThreatControls[Threat ID],(tblThreatControls[Control ID]=$A202)*(tblThreatControls[Threat applies]="Applies"),"")))</f>
        <v/>
      </c>
    </row>
    <row r="203" ht="45" customHeight="1" s="19">
      <c r="A203" s="49" t="n"/>
      <c r="B203" s="49" t="n"/>
      <c r="C203" s="49" t="n"/>
      <c r="D203" s="50" t="n"/>
      <c r="E203" s="49" t="n"/>
      <c r="F203" s="49" t="n"/>
      <c r="G203" s="49">
        <f>TRUE()</f>
        <v/>
      </c>
      <c r="H203" s="50">
        <f>IF($A203="","",IF(AND(G203,D203&lt;=TARGET_LEVEL_NUM),"Applicable","N/A"))</f>
        <v/>
      </c>
      <c r="I203" s="49" t="n"/>
      <c r="J203" s="49" t="n"/>
      <c r="K203" s="49" t="n"/>
      <c r="L203" s="49" t="n"/>
      <c r="M203" s="49" t="n"/>
      <c r="N203" s="49" t="n"/>
      <c r="O203" s="50" t="n"/>
      <c r="P203" s="50">
        <f>IF($A203="","",IF(H203="N/A","N/A",IFERROR(INDEX(CRIT_MATRIX,MATCH(O203,CRIT_MATRIX_ROWS,0),MATCH(APP_RISK_TIER,CRIT_MATRIX_COLS,0)),"")))</f>
        <v/>
      </c>
      <c r="Q203" s="49" t="n"/>
      <c r="R203" s="49" cm="1">
        <f t="array" ref="R203">IF($A203="","",COUNTIFS(tblThreatControls[Control ID],$A203,tblThreatControls[Threat applies],"Applies"))</f>
        <v/>
      </c>
      <c r="S203" s="49" cm="1">
        <f t="array" ref="S203">IF($A203="","",IF(R203=0,"",INDEX(RISK_SCALE_NAMES,_xlfn.MAXIFS(tblThreatControls[Threat risk score],tblThreatControls[Control ID],$A203))))</f>
        <v/>
      </c>
      <c r="T203" s="49" cm="1">
        <f t="array" ref="T203">IF($A203="","",IF(AND(H203="Applicable",OR(L203="Not assessed",L203=""),R203&gt;0),"Yes","No"))</f>
        <v/>
      </c>
      <c r="U203" s="49" cm="1">
        <f t="array" ref="U203">IF($A203="","",IF(AND(H203="Applicable",OR(L203="Gap",L203="Partial coverage")),INDEX(RISK_SCALE_NAMES,MAX(IFERROR(MATCH(P203,RISK_SCALE_NAMES,0),1),IFERROR(MATCH(S203,RISK_SCALE_NAMES,0),0))),""))</f>
        <v/>
      </c>
      <c r="V203" s="49" cm="1">
        <f t="array" ref="V203">IF($A203="","",_xlfn.TEXTJOIN("; ",TRUE,_xlfn._xlws.FILTER(tblThreatControls[Threat ID],(tblThreatControls[Control ID]=$A203)*(tblThreatControls[Threat applies]="Applies"),"")))</f>
        <v/>
      </c>
    </row>
    <row r="204" ht="45" customHeight="1" s="19">
      <c r="A204" s="49" t="n"/>
      <c r="B204" s="49" t="n"/>
      <c r="C204" s="49" t="n"/>
      <c r="D204" s="50" t="n"/>
      <c r="E204" s="49" t="n"/>
      <c r="F204" s="49" t="n"/>
      <c r="G204" s="49">
        <f>TRUE()</f>
        <v/>
      </c>
      <c r="H204" s="50">
        <f>IF($A204="","",IF(AND(G204,D204&lt;=TARGET_LEVEL_NUM),"Applicable","N/A"))</f>
        <v/>
      </c>
      <c r="I204" s="49" t="n"/>
      <c r="J204" s="49" t="n"/>
      <c r="K204" s="49" t="n"/>
      <c r="L204" s="49" t="n"/>
      <c r="M204" s="49" t="n"/>
      <c r="N204" s="49" t="n"/>
      <c r="O204" s="50" t="n"/>
      <c r="P204" s="50">
        <f>IF($A204="","",IF(H204="N/A","N/A",IFERROR(INDEX(CRIT_MATRIX,MATCH(O204,CRIT_MATRIX_ROWS,0),MATCH(APP_RISK_TIER,CRIT_MATRIX_COLS,0)),"")))</f>
        <v/>
      </c>
      <c r="Q204" s="49" t="n"/>
      <c r="R204" s="49" cm="1">
        <f t="array" ref="R204">IF($A204="","",COUNTIFS(tblThreatControls[Control ID],$A204,tblThreatControls[Threat applies],"Applies"))</f>
        <v/>
      </c>
      <c r="S204" s="49" cm="1">
        <f t="array" ref="S204">IF($A204="","",IF(R204=0,"",INDEX(RISK_SCALE_NAMES,_xlfn.MAXIFS(tblThreatControls[Threat risk score],tblThreatControls[Control ID],$A204))))</f>
        <v/>
      </c>
      <c r="T204" s="49" cm="1">
        <f t="array" ref="T204">IF($A204="","",IF(AND(H204="Applicable",OR(L204="Not assessed",L204=""),R204&gt;0),"Yes","No"))</f>
        <v/>
      </c>
      <c r="U204" s="49" cm="1">
        <f t="array" ref="U204">IF($A204="","",IF(AND(H204="Applicable",OR(L204="Gap",L204="Partial coverage")),INDEX(RISK_SCALE_NAMES,MAX(IFERROR(MATCH(P204,RISK_SCALE_NAMES,0),1),IFERROR(MATCH(S204,RISK_SCALE_NAMES,0),0))),""))</f>
        <v/>
      </c>
      <c r="V204" s="49" cm="1">
        <f t="array" ref="V204">IF($A204="","",_xlfn.TEXTJOIN("; ",TRUE,_xlfn._xlws.FILTER(tblThreatControls[Threat ID],(tblThreatControls[Control ID]=$A204)*(tblThreatControls[Threat applies]="Applies"),"")))</f>
        <v/>
      </c>
    </row>
  </sheetData>
  <autoFilter ref="A4:V204"/>
  <mergeCells count="1">
    <mergeCell ref="A2:V2"/>
  </mergeCells>
  <conditionalFormatting sqref="H5:H204">
    <cfRule type="cellIs" priority="1" operator="equal" dxfId="12">
      <formula>"N/A"</formula>
    </cfRule>
  </conditionalFormatting>
  <conditionalFormatting sqref="L5:L204">
    <cfRule type="cellIs" priority="2" operator="equal" dxfId="9">
      <formula>"Gap"</formula>
    </cfRule>
    <cfRule type="cellIs" priority="3" operator="equal" dxfId="11">
      <formula>"Partial coverage"</formula>
    </cfRule>
    <cfRule type="cellIs" priority="4" operator="equal" dxfId="13">
      <formula>"Full coverage"</formula>
    </cfRule>
  </conditionalFormatting>
  <conditionalFormatting sqref="P5:P204">
    <cfRule type="cellIs" priority="5" operator="equal" dxfId="9">
      <formula>"Critical"</formula>
    </cfRule>
    <cfRule type="cellIs" priority="6" operator="equal" dxfId="10">
      <formula>"High"</formula>
    </cfRule>
    <cfRule type="cellIs" priority="7" operator="equal" dxfId="11">
      <formula>"Medium"</formula>
    </cfRule>
    <cfRule type="cellIs" priority="8" operator="equal" dxfId="12">
      <formula>"N/A"</formula>
    </cfRule>
  </conditionalFormatting>
  <conditionalFormatting sqref="S5:S204">
    <cfRule type="expression" priority="9" dxfId="9">
      <formula>$S5="Critical"</formula>
    </cfRule>
    <cfRule type="expression" priority="10" dxfId="10">
      <formula>$S5="High"</formula>
    </cfRule>
    <cfRule type="expression" priority="11" dxfId="11">
      <formula>$S5="Medium"</formula>
    </cfRule>
  </conditionalFormatting>
  <conditionalFormatting sqref="U5:U204">
    <cfRule type="expression" priority="12" dxfId="9">
      <formula>$U5="Critical"</formula>
    </cfRule>
    <cfRule type="expression" priority="13" dxfId="10">
      <formula>$U5="High"</formula>
    </cfRule>
    <cfRule type="expression" priority="14" dxfId="11">
      <formula>$U5="Medium"</formula>
    </cfRule>
  </conditionalFormatting>
  <conditionalFormatting sqref="T5:T204">
    <cfRule type="cellIs" priority="15" operator="equal" dxfId="18">
      <formula>"Yes"</formula>
    </cfRule>
  </conditionalFormatting>
  <dataValidations count="4">
    <dataValidation sqref="D5:D204" showDropDown="0" showInputMessage="0" showErrorMessage="0" allowBlank="1" type="list">
      <formula1>"1,2,3"</formula1>
    </dataValidation>
    <dataValidation sqref="L5:L204" showDropDown="0" showInputMessage="0" showErrorMessage="0" allowBlank="1" type="list">
      <formula1>"Not assessed,Full coverage,Partial coverage,Gap,N/A"</formula1>
    </dataValidation>
    <dataValidation sqref="O5:O204" showDropDown="0" showInputMessage="0" showErrorMessage="0" allowBlank="1" type="list">
      <formula1>"Low,Medium,High"</formula1>
    </dataValidation>
    <dataValidation sqref="Q5:Q204" showDropDown="0" showInputMessage="1" showErrorMessage="1" allowBlank="1" error="Choose one of the listed options." prompt="Choose an option." type="list">
      <formula1>"Internal dev,Configuration,Vendor,Compensating,Risk acceptance"</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FF2E75B6"/>
    <outlinePr summaryBelow="1" summaryRight="1"/>
    <pageSetUpPr/>
  </sheetPr>
  <dimension ref="A1:N205"/>
  <sheetViews>
    <sheetView showGridLines="0" tabSelected="0" workbookViewId="0">
      <pane ySplit="5" topLeftCell="A6" activePane="bottomLeft" state="frozen"/>
      <selection pane="bottomLeft" activeCell="A1" sqref="A1"/>
    </sheetView>
  </sheetViews>
  <sheetFormatPr baseColWidth="8" defaultRowHeight="15"/>
  <cols>
    <col width="13" customWidth="1" style="19" min="1" max="1"/>
    <col width="55" customWidth="1" style="19" min="2" max="2"/>
    <col width="14" customWidth="1" style="19" min="3" max="3"/>
    <col width="11" customWidth="1" style="19" min="4" max="4"/>
    <col width="11" customWidth="1" style="19" min="5" max="5"/>
    <col width="11" customWidth="1" style="19" min="6" max="6"/>
    <col width="16" customWidth="1" style="19" min="7" max="7"/>
    <col width="22" customWidth="1" style="19" min="8" max="8"/>
    <col width="3" customWidth="1" style="19" min="9" max="9"/>
    <col width="18" customWidth="1" style="19" min="10" max="10"/>
    <col width="26" customWidth="1" style="19" min="11" max="11"/>
    <col width="10" customWidth="1" style="19" min="12" max="12"/>
    <col width="26" customWidth="1" style="19" min="13" max="13"/>
    <col width="12" customWidth="1" style="19" min="14" max="14"/>
  </cols>
  <sheetData>
    <row r="1" ht="25.5" customHeight="1" s="19">
      <c r="A1" s="63" t="inlineStr">
        <is>
          <t>Backlog</t>
        </is>
      </c>
      <c r="B1" s="64" t="n"/>
      <c r="C1" s="64" t="n"/>
      <c r="D1" s="64" t="n"/>
      <c r="E1" s="64" t="n"/>
      <c r="F1" s="64" t="n"/>
      <c r="G1" s="64" t="n"/>
      <c r="H1" s="64" t="n"/>
      <c r="I1" s="64" t="n"/>
      <c r="J1" s="64" t="n"/>
      <c r="K1" s="64" t="n"/>
      <c r="L1" s="64" t="n"/>
      <c r="M1" s="64" t="n"/>
      <c r="N1" s="64" t="n"/>
    </row>
    <row r="2" ht="45" customHeight="1" s="19">
      <c r="A2" s="65" t="inlineStr">
        <is>
          <t>What to fix, in order. Left: controls with Coverage Status Gap or Partial coverage, sorted by Backlog priority (the higher of Criticality and Threat priority), then Threat priority. Right: log sources that relevant detections need but are not available yet. Copy both into the Confluence 'Gaps and Action Items' section.</t>
        </is>
      </c>
    </row>
    <row r="3"/>
    <row r="4">
      <c r="A4" s="66" t="inlineStr">
        <is>
          <t>Controls to fix</t>
        </is>
      </c>
      <c r="B4" s="67" cm="1">
        <f t="array" ref="B4">COUNTIF(BL_BACKLOG,"?*")+COUNTIF(CC_BACKLOG,"?*")</f>
        <v/>
      </c>
      <c r="J4" s="66" t="inlineStr">
        <is>
          <t>Log sources to enable</t>
        </is>
      </c>
      <c r="K4" s="67" cm="1">
        <f t="array" ref="K4">COUNTIFS(tblLogSources[Available],"&lt;&gt;Yes",tblLogSources[Needed by detections],"?*")</f>
        <v/>
      </c>
    </row>
    <row r="5">
      <c r="A5" s="68" t="inlineStr">
        <is>
          <t>Control ID</t>
        </is>
      </c>
      <c r="B5" s="68" t="inlineStr">
        <is>
          <t>Requirement</t>
        </is>
      </c>
      <c r="C5" s="68" t="inlineStr">
        <is>
          <t>Coverage</t>
        </is>
      </c>
      <c r="D5" s="68" t="inlineStr">
        <is>
          <t>Criticality</t>
        </is>
      </c>
      <c r="E5" s="68" t="inlineStr">
        <is>
          <t>Threat priority</t>
        </is>
      </c>
      <c r="F5" s="68" t="inlineStr">
        <is>
          <t>Backlog priority</t>
        </is>
      </c>
      <c r="G5" s="68" t="inlineStr">
        <is>
          <t>Remediation owner</t>
        </is>
      </c>
      <c r="H5" s="68" t="inlineStr">
        <is>
          <t>Linked threats</t>
        </is>
      </c>
      <c r="J5" s="68" t="inlineStr">
        <is>
          <t>Log source</t>
        </is>
      </c>
      <c r="K5" s="68" t="inlineStr">
        <is>
          <t>Name</t>
        </is>
      </c>
      <c r="L5" s="68" t="inlineStr">
        <is>
          <t>Status</t>
        </is>
      </c>
      <c r="M5" s="68" t="inlineStr">
        <is>
          <t>Needed by detections</t>
        </is>
      </c>
      <c r="N5" s="68" t="inlineStr">
        <is>
          <t>Highest threat risk</t>
        </is>
      </c>
    </row>
    <row r="6">
      <c r="A6" s="69" cm="1">
        <f t="array" ref="A6">IF(B4=0,"No gaps recorded yet",_xlfn.CHOOSECOLS(_xlfn._xlws.SORT(_xlfn._xlws.FILTER(_xlfn.VSTACK(_xlfn.HSTACK(BL_IDS&amp;"",BL_REQ&amp;"",BL_COVERAGE&amp;"",BL_CRIT&amp;"",BL_TPRIO&amp;"",BL_BACKLOG&amp;"",BL_OWNER&amp;"",BL_TIDS&amp;"",IFERROR(MATCH(BL_BACKLOG,RISK_SCALE_NAMES,0),0),IFERROR(MATCH(BL_TPRIO,RISK_SCALE_NAMES,0),0)),_xlfn.HSTACK(CC_IDS&amp;"",CC_REQ&amp;"",CC_COVERAGE&amp;"",CC_CRIT&amp;"",CC_TPRIO&amp;"",CC_BACKLOG&amp;"",CC_OWNER&amp;"",CC_TIDS&amp;"",IFERROR(MATCH(CC_BACKLOG,RISK_SCALE_NAMES,0),0),IFERROR(MATCH(CC_TPRIO,RISK_SCALE_NAMES,0),0))),_xlfn.VSTACK(BL_BACKLOG,CC_BACKLOG)&lt;&gt;""),{9,10},{-1,-1}),1,2,3,4,5,6,7,8))</f>
        <v/>
      </c>
      <c r="B6" s="69" t="n"/>
      <c r="C6" s="69" t="n"/>
      <c r="D6" s="69" t="n"/>
      <c r="E6" s="69" t="n"/>
      <c r="F6" s="69" t="n"/>
      <c r="G6" s="69" t="n"/>
      <c r="H6" s="69" t="n"/>
      <c r="J6" s="69" cm="1">
        <f t="array" ref="J6">IF(K4=0,"No log sources to enable",_xlfn.CHOOSECOLS(_xlfn._xlws.SORT(_xlfn._xlws.FILTER(_xlfn.HSTACK(tblLogSources[Log source ID],tblLogSources[Name],tblLogSources[Available],tblLogSources[Needed by detections],tblLogSources[Highest threat risk],tblLogSources[Risk score]),(tblLogSources[Available]&lt;&gt;"Yes")*(tblLogSources[Needed by detections]&lt;&gt;"")),6,-1),1,2,3,4,5))</f>
        <v/>
      </c>
      <c r="K6" s="69" t="n"/>
      <c r="L6" s="69" t="n"/>
      <c r="M6" s="69" t="n"/>
      <c r="N6" s="69" t="n"/>
    </row>
    <row r="7">
      <c r="A7" s="69" t="n"/>
      <c r="B7" s="69" t="n"/>
      <c r="C7" s="69" t="n"/>
      <c r="D7" s="69" t="n"/>
      <c r="E7" s="69" t="n"/>
      <c r="F7" s="69" t="n"/>
      <c r="G7" s="69" t="n"/>
      <c r="H7" s="69" t="n"/>
      <c r="J7" s="69" t="n"/>
      <c r="K7" s="69" t="n"/>
      <c r="L7" s="69" t="n"/>
      <c r="M7" s="69" t="n"/>
      <c r="N7" s="69" t="n"/>
    </row>
    <row r="8">
      <c r="A8" s="69" t="n"/>
      <c r="B8" s="69" t="n"/>
      <c r="C8" s="69" t="n"/>
      <c r="D8" s="69" t="n"/>
      <c r="E8" s="69" t="n"/>
      <c r="F8" s="69" t="n"/>
      <c r="G8" s="69" t="n"/>
      <c r="H8" s="69" t="n"/>
      <c r="J8" s="69" t="n"/>
      <c r="K8" s="69" t="n"/>
      <c r="L8" s="69" t="n"/>
      <c r="M8" s="69" t="n"/>
      <c r="N8" s="69" t="n"/>
    </row>
    <row r="9">
      <c r="A9" s="69" t="n"/>
      <c r="B9" s="69" t="n"/>
      <c r="C9" s="69" t="n"/>
      <c r="D9" s="69" t="n"/>
      <c r="E9" s="69" t="n"/>
      <c r="F9" s="69" t="n"/>
      <c r="G9" s="69" t="n"/>
      <c r="H9" s="69" t="n"/>
      <c r="J9" s="69" t="n"/>
      <c r="K9" s="69" t="n"/>
      <c r="L9" s="69" t="n"/>
      <c r="M9" s="69" t="n"/>
      <c r="N9" s="69" t="n"/>
    </row>
    <row r="10">
      <c r="A10" s="69" t="n"/>
      <c r="B10" s="69" t="n"/>
      <c r="C10" s="69" t="n"/>
      <c r="D10" s="69" t="n"/>
      <c r="E10" s="69" t="n"/>
      <c r="F10" s="69" t="n"/>
      <c r="G10" s="69" t="n"/>
      <c r="H10" s="69" t="n"/>
      <c r="J10" s="69" t="n"/>
      <c r="K10" s="69" t="n"/>
      <c r="L10" s="69" t="n"/>
      <c r="M10" s="69" t="n"/>
      <c r="N10" s="69" t="n"/>
    </row>
    <row r="11">
      <c r="A11" s="69" t="n"/>
      <c r="B11" s="69" t="n"/>
      <c r="C11" s="69" t="n"/>
      <c r="D11" s="69" t="n"/>
      <c r="E11" s="69" t="n"/>
      <c r="F11" s="69" t="n"/>
      <c r="G11" s="69" t="n"/>
      <c r="H11" s="69" t="n"/>
      <c r="J11" s="69" t="n"/>
      <c r="K11" s="69" t="n"/>
      <c r="L11" s="69" t="n"/>
      <c r="M11" s="69" t="n"/>
      <c r="N11" s="69" t="n"/>
    </row>
    <row r="12">
      <c r="A12" s="69" t="n"/>
      <c r="B12" s="69" t="n"/>
      <c r="C12" s="69" t="n"/>
      <c r="D12" s="69" t="n"/>
      <c r="E12" s="69" t="n"/>
      <c r="F12" s="69" t="n"/>
      <c r="G12" s="69" t="n"/>
      <c r="H12" s="69" t="n"/>
      <c r="J12" s="69" t="n"/>
      <c r="K12" s="69" t="n"/>
      <c r="L12" s="69" t="n"/>
      <c r="M12" s="69" t="n"/>
      <c r="N12" s="69" t="n"/>
    </row>
    <row r="13">
      <c r="A13" s="69" t="n"/>
      <c r="B13" s="69" t="n"/>
      <c r="C13" s="69" t="n"/>
      <c r="D13" s="69" t="n"/>
      <c r="E13" s="69" t="n"/>
      <c r="F13" s="69" t="n"/>
      <c r="G13" s="69" t="n"/>
      <c r="H13" s="69" t="n"/>
      <c r="J13" s="69" t="n"/>
      <c r="K13" s="69" t="n"/>
      <c r="L13" s="69" t="n"/>
      <c r="M13" s="69" t="n"/>
      <c r="N13" s="69" t="n"/>
    </row>
    <row r="14">
      <c r="A14" s="69" t="n"/>
      <c r="B14" s="69" t="n"/>
      <c r="C14" s="69" t="n"/>
      <c r="D14" s="69" t="n"/>
      <c r="E14" s="69" t="n"/>
      <c r="F14" s="69" t="n"/>
      <c r="G14" s="69" t="n"/>
      <c r="H14" s="69" t="n"/>
      <c r="J14" s="69" t="n"/>
      <c r="K14" s="69" t="n"/>
      <c r="L14" s="69" t="n"/>
      <c r="M14" s="69" t="n"/>
      <c r="N14" s="69" t="n"/>
    </row>
    <row r="15">
      <c r="A15" s="69" t="n"/>
      <c r="B15" s="69" t="n"/>
      <c r="C15" s="69" t="n"/>
      <c r="D15" s="69" t="n"/>
      <c r="E15" s="69" t="n"/>
      <c r="F15" s="69" t="n"/>
      <c r="G15" s="69" t="n"/>
      <c r="H15" s="69" t="n"/>
      <c r="J15" s="69" t="n"/>
      <c r="K15" s="69" t="n"/>
      <c r="L15" s="69" t="n"/>
      <c r="M15" s="69" t="n"/>
      <c r="N15" s="69" t="n"/>
    </row>
    <row r="16">
      <c r="A16" s="69" t="n"/>
      <c r="B16" s="69" t="n"/>
      <c r="C16" s="69" t="n"/>
      <c r="D16" s="69" t="n"/>
      <c r="E16" s="69" t="n"/>
      <c r="F16" s="69" t="n"/>
      <c r="G16" s="69" t="n"/>
      <c r="H16" s="69" t="n"/>
      <c r="J16" s="69" t="n"/>
      <c r="K16" s="69" t="n"/>
      <c r="L16" s="69" t="n"/>
      <c r="M16" s="69" t="n"/>
      <c r="N16" s="69" t="n"/>
    </row>
    <row r="17">
      <c r="A17" s="69" t="n"/>
      <c r="B17" s="69" t="n"/>
      <c r="C17" s="69" t="n"/>
      <c r="D17" s="69" t="n"/>
      <c r="E17" s="69" t="n"/>
      <c r="F17" s="69" t="n"/>
      <c r="G17" s="69" t="n"/>
      <c r="H17" s="69" t="n"/>
      <c r="J17" s="69" t="n"/>
      <c r="K17" s="69" t="n"/>
      <c r="L17" s="69" t="n"/>
      <c r="M17" s="69" t="n"/>
      <c r="N17" s="69" t="n"/>
    </row>
    <row r="18">
      <c r="A18" s="69" t="n"/>
      <c r="B18" s="69" t="n"/>
      <c r="C18" s="69" t="n"/>
      <c r="D18" s="69" t="n"/>
      <c r="E18" s="69" t="n"/>
      <c r="F18" s="69" t="n"/>
      <c r="G18" s="69" t="n"/>
      <c r="H18" s="69" t="n"/>
      <c r="J18" s="69" t="n"/>
      <c r="K18" s="69" t="n"/>
      <c r="L18" s="69" t="n"/>
      <c r="M18" s="69" t="n"/>
      <c r="N18" s="69" t="n"/>
    </row>
    <row r="19">
      <c r="A19" s="69" t="n"/>
      <c r="B19" s="69" t="n"/>
      <c r="C19" s="69" t="n"/>
      <c r="D19" s="69" t="n"/>
      <c r="E19" s="69" t="n"/>
      <c r="F19" s="69" t="n"/>
      <c r="G19" s="69" t="n"/>
      <c r="H19" s="69" t="n"/>
      <c r="J19" s="69" t="n"/>
      <c r="K19" s="69" t="n"/>
      <c r="L19" s="69" t="n"/>
      <c r="M19" s="69" t="n"/>
      <c r="N19" s="69" t="n"/>
    </row>
    <row r="20">
      <c r="A20" s="69" t="n"/>
      <c r="B20" s="69" t="n"/>
      <c r="C20" s="69" t="n"/>
      <c r="D20" s="69" t="n"/>
      <c r="E20" s="69" t="n"/>
      <c r="F20" s="69" t="n"/>
      <c r="G20" s="69" t="n"/>
      <c r="H20" s="69" t="n"/>
      <c r="J20" s="69" t="n"/>
      <c r="K20" s="69" t="n"/>
      <c r="L20" s="69" t="n"/>
      <c r="M20" s="69" t="n"/>
      <c r="N20" s="69" t="n"/>
    </row>
    <row r="21">
      <c r="A21" s="69" t="n"/>
      <c r="B21" s="69" t="n"/>
      <c r="C21" s="69" t="n"/>
      <c r="D21" s="69" t="n"/>
      <c r="E21" s="69" t="n"/>
      <c r="F21" s="69" t="n"/>
      <c r="G21" s="69" t="n"/>
      <c r="H21" s="69" t="n"/>
      <c r="J21" s="69" t="n"/>
      <c r="K21" s="69" t="n"/>
      <c r="L21" s="69" t="n"/>
      <c r="M21" s="69" t="n"/>
      <c r="N21" s="69" t="n"/>
    </row>
    <row r="22">
      <c r="A22" s="69" t="n"/>
      <c r="B22" s="69" t="n"/>
      <c r="C22" s="69" t="n"/>
      <c r="D22" s="69" t="n"/>
      <c r="E22" s="69" t="n"/>
      <c r="F22" s="69" t="n"/>
      <c r="G22" s="69" t="n"/>
      <c r="H22" s="69" t="n"/>
      <c r="J22" s="69" t="n"/>
      <c r="K22" s="69" t="n"/>
      <c r="L22" s="69" t="n"/>
      <c r="M22" s="69" t="n"/>
      <c r="N22" s="69" t="n"/>
    </row>
    <row r="23">
      <c r="A23" s="69" t="n"/>
      <c r="B23" s="69" t="n"/>
      <c r="C23" s="69" t="n"/>
      <c r="D23" s="69" t="n"/>
      <c r="E23" s="69" t="n"/>
      <c r="F23" s="69" t="n"/>
      <c r="G23" s="69" t="n"/>
      <c r="H23" s="69" t="n"/>
      <c r="J23" s="69" t="n"/>
      <c r="K23" s="69" t="n"/>
      <c r="L23" s="69" t="n"/>
      <c r="M23" s="69" t="n"/>
      <c r="N23" s="69" t="n"/>
    </row>
    <row r="24">
      <c r="A24" s="69" t="n"/>
      <c r="B24" s="69" t="n"/>
      <c r="C24" s="69" t="n"/>
      <c r="D24" s="69" t="n"/>
      <c r="E24" s="69" t="n"/>
      <c r="F24" s="69" t="n"/>
      <c r="G24" s="69" t="n"/>
      <c r="H24" s="69" t="n"/>
      <c r="J24" s="69" t="n"/>
      <c r="K24" s="69" t="n"/>
      <c r="L24" s="69" t="n"/>
      <c r="M24" s="69" t="n"/>
      <c r="N24" s="69" t="n"/>
    </row>
    <row r="25">
      <c r="A25" s="69" t="n"/>
      <c r="B25" s="69" t="n"/>
      <c r="C25" s="69" t="n"/>
      <c r="D25" s="69" t="n"/>
      <c r="E25" s="69" t="n"/>
      <c r="F25" s="69" t="n"/>
      <c r="G25" s="69" t="n"/>
      <c r="H25" s="69" t="n"/>
      <c r="J25" s="69" t="n"/>
      <c r="K25" s="69" t="n"/>
      <c r="L25" s="69" t="n"/>
      <c r="M25" s="69" t="n"/>
      <c r="N25" s="69" t="n"/>
    </row>
    <row r="26">
      <c r="A26" s="69" t="n"/>
      <c r="B26" s="69" t="n"/>
      <c r="C26" s="69" t="n"/>
      <c r="D26" s="69" t="n"/>
      <c r="E26" s="69" t="n"/>
      <c r="F26" s="69" t="n"/>
      <c r="G26" s="69" t="n"/>
      <c r="H26" s="69" t="n"/>
      <c r="J26" s="69" t="n"/>
      <c r="K26" s="69" t="n"/>
      <c r="L26" s="69" t="n"/>
      <c r="M26" s="69" t="n"/>
      <c r="N26" s="69" t="n"/>
    </row>
    <row r="27">
      <c r="A27" s="69" t="n"/>
      <c r="B27" s="69" t="n"/>
      <c r="C27" s="69" t="n"/>
      <c r="D27" s="69" t="n"/>
      <c r="E27" s="69" t="n"/>
      <c r="F27" s="69" t="n"/>
      <c r="G27" s="69" t="n"/>
      <c r="H27" s="69" t="n"/>
      <c r="J27" s="69" t="n"/>
      <c r="K27" s="69" t="n"/>
      <c r="L27" s="69" t="n"/>
      <c r="M27" s="69" t="n"/>
      <c r="N27" s="69" t="n"/>
    </row>
    <row r="28">
      <c r="A28" s="69" t="n"/>
      <c r="B28" s="69" t="n"/>
      <c r="C28" s="69" t="n"/>
      <c r="D28" s="69" t="n"/>
      <c r="E28" s="69" t="n"/>
      <c r="F28" s="69" t="n"/>
      <c r="G28" s="69" t="n"/>
      <c r="H28" s="69" t="n"/>
      <c r="J28" s="69" t="n"/>
      <c r="K28" s="69" t="n"/>
      <c r="L28" s="69" t="n"/>
      <c r="M28" s="69" t="n"/>
      <c r="N28" s="69" t="n"/>
    </row>
    <row r="29">
      <c r="A29" s="69" t="n"/>
      <c r="B29" s="69" t="n"/>
      <c r="C29" s="69" t="n"/>
      <c r="D29" s="69" t="n"/>
      <c r="E29" s="69" t="n"/>
      <c r="F29" s="69" t="n"/>
      <c r="G29" s="69" t="n"/>
      <c r="H29" s="69" t="n"/>
      <c r="J29" s="69" t="n"/>
      <c r="K29" s="69" t="n"/>
      <c r="L29" s="69" t="n"/>
      <c r="M29" s="69" t="n"/>
      <c r="N29" s="69" t="n"/>
    </row>
    <row r="30">
      <c r="A30" s="69" t="n"/>
      <c r="B30" s="69" t="n"/>
      <c r="C30" s="69" t="n"/>
      <c r="D30" s="69" t="n"/>
      <c r="E30" s="69" t="n"/>
      <c r="F30" s="69" t="n"/>
      <c r="G30" s="69" t="n"/>
      <c r="H30" s="69" t="n"/>
      <c r="J30" s="69" t="n"/>
      <c r="K30" s="69" t="n"/>
      <c r="L30" s="69" t="n"/>
      <c r="M30" s="69" t="n"/>
      <c r="N30" s="69" t="n"/>
    </row>
    <row r="31">
      <c r="A31" s="69" t="n"/>
      <c r="B31" s="69" t="n"/>
      <c r="C31" s="69" t="n"/>
      <c r="D31" s="69" t="n"/>
      <c r="E31" s="69" t="n"/>
      <c r="F31" s="69" t="n"/>
      <c r="G31" s="69" t="n"/>
      <c r="H31" s="69" t="n"/>
      <c r="J31" s="69" t="n"/>
      <c r="K31" s="69" t="n"/>
      <c r="L31" s="69" t="n"/>
      <c r="M31" s="69" t="n"/>
      <c r="N31" s="69" t="n"/>
    </row>
    <row r="32">
      <c r="A32" s="69" t="n"/>
      <c r="B32" s="69" t="n"/>
      <c r="C32" s="69" t="n"/>
      <c r="D32" s="69" t="n"/>
      <c r="E32" s="69" t="n"/>
      <c r="F32" s="69" t="n"/>
      <c r="G32" s="69" t="n"/>
      <c r="H32" s="69" t="n"/>
      <c r="J32" s="69" t="n"/>
      <c r="K32" s="69" t="n"/>
      <c r="L32" s="69" t="n"/>
      <c r="M32" s="69" t="n"/>
      <c r="N32" s="69" t="n"/>
    </row>
    <row r="33">
      <c r="A33" s="69" t="n"/>
      <c r="B33" s="69" t="n"/>
      <c r="C33" s="69" t="n"/>
      <c r="D33" s="69" t="n"/>
      <c r="E33" s="69" t="n"/>
      <c r="F33" s="69" t="n"/>
      <c r="G33" s="69" t="n"/>
      <c r="H33" s="69" t="n"/>
      <c r="J33" s="69" t="n"/>
      <c r="K33" s="69" t="n"/>
      <c r="L33" s="69" t="n"/>
      <c r="M33" s="69" t="n"/>
      <c r="N33" s="69" t="n"/>
    </row>
    <row r="34">
      <c r="A34" s="69" t="n"/>
      <c r="B34" s="69" t="n"/>
      <c r="C34" s="69" t="n"/>
      <c r="D34" s="69" t="n"/>
      <c r="E34" s="69" t="n"/>
      <c r="F34" s="69" t="n"/>
      <c r="G34" s="69" t="n"/>
      <c r="H34" s="69" t="n"/>
      <c r="J34" s="69" t="n"/>
      <c r="K34" s="69" t="n"/>
      <c r="L34" s="69" t="n"/>
      <c r="M34" s="69" t="n"/>
      <c r="N34" s="69" t="n"/>
    </row>
    <row r="35">
      <c r="A35" s="69" t="n"/>
      <c r="B35" s="69" t="n"/>
      <c r="C35" s="69" t="n"/>
      <c r="D35" s="69" t="n"/>
      <c r="E35" s="69" t="n"/>
      <c r="F35" s="69" t="n"/>
      <c r="G35" s="69" t="n"/>
      <c r="H35" s="69" t="n"/>
      <c r="J35" s="69" t="n"/>
      <c r="K35" s="69" t="n"/>
      <c r="L35" s="69" t="n"/>
      <c r="M35" s="69" t="n"/>
      <c r="N35" s="69" t="n"/>
    </row>
    <row r="36">
      <c r="A36" s="69" t="n"/>
      <c r="B36" s="69" t="n"/>
      <c r="C36" s="69" t="n"/>
      <c r="D36" s="69" t="n"/>
      <c r="E36" s="69" t="n"/>
      <c r="F36" s="69" t="n"/>
      <c r="G36" s="69" t="n"/>
      <c r="H36" s="69" t="n"/>
    </row>
    <row r="37">
      <c r="A37" s="69" t="n"/>
      <c r="B37" s="69" t="n"/>
      <c r="C37" s="69" t="n"/>
      <c r="D37" s="69" t="n"/>
      <c r="E37" s="69" t="n"/>
      <c r="F37" s="69" t="n"/>
      <c r="G37" s="69" t="n"/>
      <c r="H37" s="69" t="n"/>
    </row>
    <row r="38">
      <c r="A38" s="69" t="n"/>
      <c r="B38" s="69" t="n"/>
      <c r="C38" s="69" t="n"/>
      <c r="D38" s="69" t="n"/>
      <c r="E38" s="69" t="n"/>
      <c r="F38" s="69" t="n"/>
      <c r="G38" s="69" t="n"/>
      <c r="H38" s="69" t="n"/>
    </row>
    <row r="39">
      <c r="A39" s="69" t="n"/>
      <c r="B39" s="69" t="n"/>
      <c r="C39" s="69" t="n"/>
      <c r="D39" s="69" t="n"/>
      <c r="E39" s="69" t="n"/>
      <c r="F39" s="69" t="n"/>
      <c r="G39" s="69" t="n"/>
      <c r="H39" s="69" t="n"/>
    </row>
    <row r="40">
      <c r="A40" s="69" t="n"/>
      <c r="B40" s="69" t="n"/>
      <c r="C40" s="69" t="n"/>
      <c r="D40" s="69" t="n"/>
      <c r="E40" s="69" t="n"/>
      <c r="F40" s="69" t="n"/>
      <c r="G40" s="69" t="n"/>
      <c r="H40" s="69" t="n"/>
    </row>
    <row r="41">
      <c r="A41" s="69" t="n"/>
      <c r="B41" s="69" t="n"/>
      <c r="C41" s="69" t="n"/>
      <c r="D41" s="69" t="n"/>
      <c r="E41" s="69" t="n"/>
      <c r="F41" s="69" t="n"/>
      <c r="G41" s="69" t="n"/>
      <c r="H41" s="69" t="n"/>
    </row>
    <row r="42">
      <c r="A42" s="69" t="n"/>
      <c r="B42" s="69" t="n"/>
      <c r="C42" s="69" t="n"/>
      <c r="D42" s="69" t="n"/>
      <c r="E42" s="69" t="n"/>
      <c r="F42" s="69" t="n"/>
      <c r="G42" s="69" t="n"/>
      <c r="H42" s="69" t="n"/>
    </row>
    <row r="43">
      <c r="A43" s="69" t="n"/>
      <c r="B43" s="69" t="n"/>
      <c r="C43" s="69" t="n"/>
      <c r="D43" s="69" t="n"/>
      <c r="E43" s="69" t="n"/>
      <c r="F43" s="69" t="n"/>
      <c r="G43" s="69" t="n"/>
      <c r="H43" s="69" t="n"/>
    </row>
    <row r="44">
      <c r="A44" s="69" t="n"/>
      <c r="B44" s="69" t="n"/>
      <c r="C44" s="69" t="n"/>
      <c r="D44" s="69" t="n"/>
      <c r="E44" s="69" t="n"/>
      <c r="F44" s="69" t="n"/>
      <c r="G44" s="69" t="n"/>
      <c r="H44" s="69" t="n"/>
    </row>
    <row r="45">
      <c r="A45" s="69" t="n"/>
      <c r="B45" s="69" t="n"/>
      <c r="C45" s="69" t="n"/>
      <c r="D45" s="69" t="n"/>
      <c r="E45" s="69" t="n"/>
      <c r="F45" s="69" t="n"/>
      <c r="G45" s="69" t="n"/>
      <c r="H45" s="69" t="n"/>
    </row>
    <row r="46">
      <c r="A46" s="69" t="n"/>
      <c r="B46" s="69" t="n"/>
      <c r="C46" s="69" t="n"/>
      <c r="D46" s="69" t="n"/>
      <c r="E46" s="69" t="n"/>
      <c r="F46" s="69" t="n"/>
      <c r="G46" s="69" t="n"/>
      <c r="H46" s="69" t="n"/>
    </row>
    <row r="47">
      <c r="A47" s="69" t="n"/>
      <c r="B47" s="69" t="n"/>
      <c r="C47" s="69" t="n"/>
      <c r="D47" s="69" t="n"/>
      <c r="E47" s="69" t="n"/>
      <c r="F47" s="69" t="n"/>
      <c r="G47" s="69" t="n"/>
      <c r="H47" s="69" t="n"/>
    </row>
    <row r="48">
      <c r="A48" s="69" t="n"/>
      <c r="B48" s="69" t="n"/>
      <c r="C48" s="69" t="n"/>
      <c r="D48" s="69" t="n"/>
      <c r="E48" s="69" t="n"/>
      <c r="F48" s="69" t="n"/>
      <c r="G48" s="69" t="n"/>
      <c r="H48" s="69" t="n"/>
    </row>
    <row r="49">
      <c r="A49" s="69" t="n"/>
      <c r="B49" s="69" t="n"/>
      <c r="C49" s="69" t="n"/>
      <c r="D49" s="69" t="n"/>
      <c r="E49" s="69" t="n"/>
      <c r="F49" s="69" t="n"/>
      <c r="G49" s="69" t="n"/>
      <c r="H49" s="69" t="n"/>
    </row>
    <row r="50">
      <c r="A50" s="69" t="n"/>
      <c r="B50" s="69" t="n"/>
      <c r="C50" s="69" t="n"/>
      <c r="D50" s="69" t="n"/>
      <c r="E50" s="69" t="n"/>
      <c r="F50" s="69" t="n"/>
      <c r="G50" s="69" t="n"/>
      <c r="H50" s="69" t="n"/>
    </row>
    <row r="51">
      <c r="A51" s="69" t="n"/>
      <c r="B51" s="69" t="n"/>
      <c r="C51" s="69" t="n"/>
      <c r="D51" s="69" t="n"/>
      <c r="E51" s="69" t="n"/>
      <c r="F51" s="69" t="n"/>
      <c r="G51" s="69" t="n"/>
      <c r="H51" s="69" t="n"/>
    </row>
    <row r="52">
      <c r="A52" s="69" t="n"/>
      <c r="B52" s="69" t="n"/>
      <c r="C52" s="69" t="n"/>
      <c r="D52" s="69" t="n"/>
      <c r="E52" s="69" t="n"/>
      <c r="F52" s="69" t="n"/>
      <c r="G52" s="69" t="n"/>
      <c r="H52" s="69" t="n"/>
    </row>
    <row r="53">
      <c r="A53" s="69" t="n"/>
      <c r="B53" s="69" t="n"/>
      <c r="C53" s="69" t="n"/>
      <c r="D53" s="69" t="n"/>
      <c r="E53" s="69" t="n"/>
      <c r="F53" s="69" t="n"/>
      <c r="G53" s="69" t="n"/>
      <c r="H53" s="69" t="n"/>
    </row>
    <row r="54">
      <c r="A54" s="69" t="n"/>
      <c r="B54" s="69" t="n"/>
      <c r="C54" s="69" t="n"/>
      <c r="D54" s="69" t="n"/>
      <c r="E54" s="69" t="n"/>
      <c r="F54" s="69" t="n"/>
      <c r="G54" s="69" t="n"/>
      <c r="H54" s="69" t="n"/>
    </row>
    <row r="55">
      <c r="A55" s="69" t="n"/>
      <c r="B55" s="69" t="n"/>
      <c r="C55" s="69" t="n"/>
      <c r="D55" s="69" t="n"/>
      <c r="E55" s="69" t="n"/>
      <c r="F55" s="69" t="n"/>
      <c r="G55" s="69" t="n"/>
      <c r="H55" s="69" t="n"/>
    </row>
    <row r="56">
      <c r="A56" s="69" t="n"/>
      <c r="B56" s="69" t="n"/>
      <c r="C56" s="69" t="n"/>
      <c r="D56" s="69" t="n"/>
      <c r="E56" s="69" t="n"/>
      <c r="F56" s="69" t="n"/>
      <c r="G56" s="69" t="n"/>
      <c r="H56" s="69" t="n"/>
    </row>
    <row r="57">
      <c r="A57" s="69" t="n"/>
      <c r="B57" s="69" t="n"/>
      <c r="C57" s="69" t="n"/>
      <c r="D57" s="69" t="n"/>
      <c r="E57" s="69" t="n"/>
      <c r="F57" s="69" t="n"/>
      <c r="G57" s="69" t="n"/>
      <c r="H57" s="69" t="n"/>
    </row>
    <row r="58">
      <c r="A58" s="69" t="n"/>
      <c r="B58" s="69" t="n"/>
      <c r="C58" s="69" t="n"/>
      <c r="D58" s="69" t="n"/>
      <c r="E58" s="69" t="n"/>
      <c r="F58" s="69" t="n"/>
      <c r="G58" s="69" t="n"/>
      <c r="H58" s="69" t="n"/>
    </row>
    <row r="59">
      <c r="A59" s="69" t="n"/>
      <c r="B59" s="69" t="n"/>
      <c r="C59" s="69" t="n"/>
      <c r="D59" s="69" t="n"/>
      <c r="E59" s="69" t="n"/>
      <c r="F59" s="69" t="n"/>
      <c r="G59" s="69" t="n"/>
      <c r="H59" s="69" t="n"/>
    </row>
    <row r="60">
      <c r="A60" s="69" t="n"/>
      <c r="B60" s="69" t="n"/>
      <c r="C60" s="69" t="n"/>
      <c r="D60" s="69" t="n"/>
      <c r="E60" s="69" t="n"/>
      <c r="F60" s="69" t="n"/>
      <c r="G60" s="69" t="n"/>
      <c r="H60" s="69" t="n"/>
    </row>
    <row r="61">
      <c r="A61" s="69" t="n"/>
      <c r="B61" s="69" t="n"/>
      <c r="C61" s="69" t="n"/>
      <c r="D61" s="69" t="n"/>
      <c r="E61" s="69" t="n"/>
      <c r="F61" s="69" t="n"/>
      <c r="G61" s="69" t="n"/>
      <c r="H61" s="69" t="n"/>
    </row>
    <row r="62">
      <c r="A62" s="69" t="n"/>
      <c r="B62" s="69" t="n"/>
      <c r="C62" s="69" t="n"/>
      <c r="D62" s="69" t="n"/>
      <c r="E62" s="69" t="n"/>
      <c r="F62" s="69" t="n"/>
      <c r="G62" s="69" t="n"/>
      <c r="H62" s="69" t="n"/>
    </row>
    <row r="63">
      <c r="A63" s="69" t="n"/>
      <c r="B63" s="69" t="n"/>
      <c r="C63" s="69" t="n"/>
      <c r="D63" s="69" t="n"/>
      <c r="E63" s="69" t="n"/>
      <c r="F63" s="69" t="n"/>
      <c r="G63" s="69" t="n"/>
      <c r="H63" s="69" t="n"/>
    </row>
    <row r="64">
      <c r="A64" s="69" t="n"/>
      <c r="B64" s="69" t="n"/>
      <c r="C64" s="69" t="n"/>
      <c r="D64" s="69" t="n"/>
      <c r="E64" s="69" t="n"/>
      <c r="F64" s="69" t="n"/>
      <c r="G64" s="69" t="n"/>
      <c r="H64" s="69" t="n"/>
    </row>
    <row r="65">
      <c r="A65" s="69" t="n"/>
      <c r="B65" s="69" t="n"/>
      <c r="C65" s="69" t="n"/>
      <c r="D65" s="69" t="n"/>
      <c r="E65" s="69" t="n"/>
      <c r="F65" s="69" t="n"/>
      <c r="G65" s="69" t="n"/>
      <c r="H65" s="69" t="n"/>
    </row>
    <row r="66">
      <c r="A66" s="69" t="n"/>
      <c r="B66" s="69" t="n"/>
      <c r="C66" s="69" t="n"/>
      <c r="D66" s="69" t="n"/>
      <c r="E66" s="69" t="n"/>
      <c r="F66" s="69" t="n"/>
      <c r="G66" s="69" t="n"/>
      <c r="H66" s="69" t="n"/>
    </row>
    <row r="67">
      <c r="A67" s="69" t="n"/>
      <c r="B67" s="69" t="n"/>
      <c r="C67" s="69" t="n"/>
      <c r="D67" s="69" t="n"/>
      <c r="E67" s="69" t="n"/>
      <c r="F67" s="69" t="n"/>
      <c r="G67" s="69" t="n"/>
      <c r="H67" s="69" t="n"/>
    </row>
    <row r="68">
      <c r="A68" s="69" t="n"/>
      <c r="B68" s="69" t="n"/>
      <c r="C68" s="69" t="n"/>
      <c r="D68" s="69" t="n"/>
      <c r="E68" s="69" t="n"/>
      <c r="F68" s="69" t="n"/>
      <c r="G68" s="69" t="n"/>
      <c r="H68" s="69" t="n"/>
    </row>
    <row r="69">
      <c r="A69" s="69" t="n"/>
      <c r="B69" s="69" t="n"/>
      <c r="C69" s="69" t="n"/>
      <c r="D69" s="69" t="n"/>
      <c r="E69" s="69" t="n"/>
      <c r="F69" s="69" t="n"/>
      <c r="G69" s="69" t="n"/>
      <c r="H69" s="69" t="n"/>
    </row>
    <row r="70">
      <c r="A70" s="69" t="n"/>
      <c r="B70" s="69" t="n"/>
      <c r="C70" s="69" t="n"/>
      <c r="D70" s="69" t="n"/>
      <c r="E70" s="69" t="n"/>
      <c r="F70" s="69" t="n"/>
      <c r="G70" s="69" t="n"/>
      <c r="H70" s="69" t="n"/>
    </row>
    <row r="71">
      <c r="A71" s="69" t="n"/>
      <c r="B71" s="69" t="n"/>
      <c r="C71" s="69" t="n"/>
      <c r="D71" s="69" t="n"/>
      <c r="E71" s="69" t="n"/>
      <c r="F71" s="69" t="n"/>
      <c r="G71" s="69" t="n"/>
      <c r="H71" s="69" t="n"/>
    </row>
    <row r="72">
      <c r="A72" s="69" t="n"/>
      <c r="B72" s="69" t="n"/>
      <c r="C72" s="69" t="n"/>
      <c r="D72" s="69" t="n"/>
      <c r="E72" s="69" t="n"/>
      <c r="F72" s="69" t="n"/>
      <c r="G72" s="69" t="n"/>
      <c r="H72" s="69" t="n"/>
    </row>
    <row r="73">
      <c r="A73" s="69" t="n"/>
      <c r="B73" s="69" t="n"/>
      <c r="C73" s="69" t="n"/>
      <c r="D73" s="69" t="n"/>
      <c r="E73" s="69" t="n"/>
      <c r="F73" s="69" t="n"/>
      <c r="G73" s="69" t="n"/>
      <c r="H73" s="69" t="n"/>
    </row>
    <row r="74">
      <c r="A74" s="69" t="n"/>
      <c r="B74" s="69" t="n"/>
      <c r="C74" s="69" t="n"/>
      <c r="D74" s="69" t="n"/>
      <c r="E74" s="69" t="n"/>
      <c r="F74" s="69" t="n"/>
      <c r="G74" s="69" t="n"/>
      <c r="H74" s="69" t="n"/>
    </row>
    <row r="75">
      <c r="A75" s="69" t="n"/>
      <c r="B75" s="69" t="n"/>
      <c r="C75" s="69" t="n"/>
      <c r="D75" s="69" t="n"/>
      <c r="E75" s="69" t="n"/>
      <c r="F75" s="69" t="n"/>
      <c r="G75" s="69" t="n"/>
      <c r="H75" s="69" t="n"/>
    </row>
    <row r="76">
      <c r="A76" s="69" t="n"/>
      <c r="B76" s="69" t="n"/>
      <c r="C76" s="69" t="n"/>
      <c r="D76" s="69" t="n"/>
      <c r="E76" s="69" t="n"/>
      <c r="F76" s="69" t="n"/>
      <c r="G76" s="69" t="n"/>
      <c r="H76" s="69" t="n"/>
    </row>
    <row r="77">
      <c r="A77" s="69" t="n"/>
      <c r="B77" s="69" t="n"/>
      <c r="C77" s="69" t="n"/>
      <c r="D77" s="69" t="n"/>
      <c r="E77" s="69" t="n"/>
      <c r="F77" s="69" t="n"/>
      <c r="G77" s="69" t="n"/>
      <c r="H77" s="69" t="n"/>
    </row>
    <row r="78">
      <c r="A78" s="69" t="n"/>
      <c r="B78" s="69" t="n"/>
      <c r="C78" s="69" t="n"/>
      <c r="D78" s="69" t="n"/>
      <c r="E78" s="69" t="n"/>
      <c r="F78" s="69" t="n"/>
      <c r="G78" s="69" t="n"/>
      <c r="H78" s="69" t="n"/>
    </row>
    <row r="79">
      <c r="A79" s="69" t="n"/>
      <c r="B79" s="69" t="n"/>
      <c r="C79" s="69" t="n"/>
      <c r="D79" s="69" t="n"/>
      <c r="E79" s="69" t="n"/>
      <c r="F79" s="69" t="n"/>
      <c r="G79" s="69" t="n"/>
      <c r="H79" s="69" t="n"/>
    </row>
    <row r="80">
      <c r="A80" s="69" t="n"/>
      <c r="B80" s="69" t="n"/>
      <c r="C80" s="69" t="n"/>
      <c r="D80" s="69" t="n"/>
      <c r="E80" s="69" t="n"/>
      <c r="F80" s="69" t="n"/>
      <c r="G80" s="69" t="n"/>
      <c r="H80" s="69" t="n"/>
    </row>
    <row r="81">
      <c r="A81" s="69" t="n"/>
      <c r="B81" s="69" t="n"/>
      <c r="C81" s="69" t="n"/>
      <c r="D81" s="69" t="n"/>
      <c r="E81" s="69" t="n"/>
      <c r="F81" s="69" t="n"/>
      <c r="G81" s="69" t="n"/>
      <c r="H81" s="69" t="n"/>
    </row>
    <row r="82">
      <c r="A82" s="69" t="n"/>
      <c r="B82" s="69" t="n"/>
      <c r="C82" s="69" t="n"/>
      <c r="D82" s="69" t="n"/>
      <c r="E82" s="69" t="n"/>
      <c r="F82" s="69" t="n"/>
      <c r="G82" s="69" t="n"/>
      <c r="H82" s="69" t="n"/>
    </row>
    <row r="83">
      <c r="A83" s="69" t="n"/>
      <c r="B83" s="69" t="n"/>
      <c r="C83" s="69" t="n"/>
      <c r="D83" s="69" t="n"/>
      <c r="E83" s="69" t="n"/>
      <c r="F83" s="69" t="n"/>
      <c r="G83" s="69" t="n"/>
      <c r="H83" s="69" t="n"/>
    </row>
    <row r="84">
      <c r="A84" s="69" t="n"/>
      <c r="B84" s="69" t="n"/>
      <c r="C84" s="69" t="n"/>
      <c r="D84" s="69" t="n"/>
      <c r="E84" s="69" t="n"/>
      <c r="F84" s="69" t="n"/>
      <c r="G84" s="69" t="n"/>
      <c r="H84" s="69" t="n"/>
    </row>
    <row r="85">
      <c r="A85" s="69" t="n"/>
      <c r="B85" s="69" t="n"/>
      <c r="C85" s="69" t="n"/>
      <c r="D85" s="69" t="n"/>
      <c r="E85" s="69" t="n"/>
      <c r="F85" s="69" t="n"/>
      <c r="G85" s="69" t="n"/>
      <c r="H85" s="69" t="n"/>
    </row>
    <row r="86">
      <c r="A86" s="69" t="n"/>
      <c r="B86" s="69" t="n"/>
      <c r="C86" s="69" t="n"/>
      <c r="D86" s="69" t="n"/>
      <c r="E86" s="69" t="n"/>
      <c r="F86" s="69" t="n"/>
      <c r="G86" s="69" t="n"/>
      <c r="H86" s="69" t="n"/>
    </row>
    <row r="87">
      <c r="A87" s="69" t="n"/>
      <c r="B87" s="69" t="n"/>
      <c r="C87" s="69" t="n"/>
      <c r="D87" s="69" t="n"/>
      <c r="E87" s="69" t="n"/>
      <c r="F87" s="69" t="n"/>
      <c r="G87" s="69" t="n"/>
      <c r="H87" s="69" t="n"/>
    </row>
    <row r="88">
      <c r="A88" s="69" t="n"/>
      <c r="B88" s="69" t="n"/>
      <c r="C88" s="69" t="n"/>
      <c r="D88" s="69" t="n"/>
      <c r="E88" s="69" t="n"/>
      <c r="F88" s="69" t="n"/>
      <c r="G88" s="69" t="n"/>
      <c r="H88" s="69" t="n"/>
    </row>
    <row r="89">
      <c r="A89" s="69" t="n"/>
      <c r="B89" s="69" t="n"/>
      <c r="C89" s="69" t="n"/>
      <c r="D89" s="69" t="n"/>
      <c r="E89" s="69" t="n"/>
      <c r="F89" s="69" t="n"/>
      <c r="G89" s="69" t="n"/>
      <c r="H89" s="69" t="n"/>
    </row>
    <row r="90">
      <c r="A90" s="69" t="n"/>
      <c r="B90" s="69" t="n"/>
      <c r="C90" s="69" t="n"/>
      <c r="D90" s="69" t="n"/>
      <c r="E90" s="69" t="n"/>
      <c r="F90" s="69" t="n"/>
      <c r="G90" s="69" t="n"/>
      <c r="H90" s="69" t="n"/>
    </row>
    <row r="91">
      <c r="A91" s="69" t="n"/>
      <c r="B91" s="69" t="n"/>
      <c r="C91" s="69" t="n"/>
      <c r="D91" s="69" t="n"/>
      <c r="E91" s="69" t="n"/>
      <c r="F91" s="69" t="n"/>
      <c r="G91" s="69" t="n"/>
      <c r="H91" s="69" t="n"/>
    </row>
    <row r="92">
      <c r="A92" s="69" t="n"/>
      <c r="B92" s="69" t="n"/>
      <c r="C92" s="69" t="n"/>
      <c r="D92" s="69" t="n"/>
      <c r="E92" s="69" t="n"/>
      <c r="F92" s="69" t="n"/>
      <c r="G92" s="69" t="n"/>
      <c r="H92" s="69" t="n"/>
    </row>
    <row r="93">
      <c r="A93" s="69" t="n"/>
      <c r="B93" s="69" t="n"/>
      <c r="C93" s="69" t="n"/>
      <c r="D93" s="69" t="n"/>
      <c r="E93" s="69" t="n"/>
      <c r="F93" s="69" t="n"/>
      <c r="G93" s="69" t="n"/>
      <c r="H93" s="69" t="n"/>
    </row>
    <row r="94">
      <c r="A94" s="69" t="n"/>
      <c r="B94" s="69" t="n"/>
      <c r="C94" s="69" t="n"/>
      <c r="D94" s="69" t="n"/>
      <c r="E94" s="69" t="n"/>
      <c r="F94" s="69" t="n"/>
      <c r="G94" s="69" t="n"/>
      <c r="H94" s="69" t="n"/>
    </row>
    <row r="95">
      <c r="A95" s="69" t="n"/>
      <c r="B95" s="69" t="n"/>
      <c r="C95" s="69" t="n"/>
      <c r="D95" s="69" t="n"/>
      <c r="E95" s="69" t="n"/>
      <c r="F95" s="69" t="n"/>
      <c r="G95" s="69" t="n"/>
      <c r="H95" s="69" t="n"/>
    </row>
    <row r="96">
      <c r="A96" s="69" t="n"/>
      <c r="B96" s="69" t="n"/>
      <c r="C96" s="69" t="n"/>
      <c r="D96" s="69" t="n"/>
      <c r="E96" s="69" t="n"/>
      <c r="F96" s="69" t="n"/>
      <c r="G96" s="69" t="n"/>
      <c r="H96" s="69" t="n"/>
    </row>
    <row r="97">
      <c r="A97" s="69" t="n"/>
      <c r="B97" s="69" t="n"/>
      <c r="C97" s="69" t="n"/>
      <c r="D97" s="69" t="n"/>
      <c r="E97" s="69" t="n"/>
      <c r="F97" s="69" t="n"/>
      <c r="G97" s="69" t="n"/>
      <c r="H97" s="69" t="n"/>
    </row>
    <row r="98">
      <c r="A98" s="69" t="n"/>
      <c r="B98" s="69" t="n"/>
      <c r="C98" s="69" t="n"/>
      <c r="D98" s="69" t="n"/>
      <c r="E98" s="69" t="n"/>
      <c r="F98" s="69" t="n"/>
      <c r="G98" s="69" t="n"/>
      <c r="H98" s="69" t="n"/>
    </row>
    <row r="99">
      <c r="A99" s="69" t="n"/>
      <c r="B99" s="69" t="n"/>
      <c r="C99" s="69" t="n"/>
      <c r="D99" s="69" t="n"/>
      <c r="E99" s="69" t="n"/>
      <c r="F99" s="69" t="n"/>
      <c r="G99" s="69" t="n"/>
      <c r="H99" s="69" t="n"/>
    </row>
    <row r="100">
      <c r="A100" s="69" t="n"/>
      <c r="B100" s="69" t="n"/>
      <c r="C100" s="69" t="n"/>
      <c r="D100" s="69" t="n"/>
      <c r="E100" s="69" t="n"/>
      <c r="F100" s="69" t="n"/>
      <c r="G100" s="69" t="n"/>
      <c r="H100" s="69" t="n"/>
    </row>
    <row r="101">
      <c r="A101" s="69" t="n"/>
      <c r="B101" s="69" t="n"/>
      <c r="C101" s="69" t="n"/>
      <c r="D101" s="69" t="n"/>
      <c r="E101" s="69" t="n"/>
      <c r="F101" s="69" t="n"/>
      <c r="G101" s="69" t="n"/>
      <c r="H101" s="69" t="n"/>
    </row>
    <row r="102">
      <c r="A102" s="69" t="n"/>
      <c r="B102" s="69" t="n"/>
      <c r="C102" s="69" t="n"/>
      <c r="D102" s="69" t="n"/>
      <c r="E102" s="69" t="n"/>
      <c r="F102" s="69" t="n"/>
      <c r="G102" s="69" t="n"/>
      <c r="H102" s="69" t="n"/>
    </row>
    <row r="103">
      <c r="A103" s="69" t="n"/>
      <c r="B103" s="69" t="n"/>
      <c r="C103" s="69" t="n"/>
      <c r="D103" s="69" t="n"/>
      <c r="E103" s="69" t="n"/>
      <c r="F103" s="69" t="n"/>
      <c r="G103" s="69" t="n"/>
      <c r="H103" s="69" t="n"/>
    </row>
    <row r="104">
      <c r="A104" s="69" t="n"/>
      <c r="B104" s="69" t="n"/>
      <c r="C104" s="69" t="n"/>
      <c r="D104" s="69" t="n"/>
      <c r="E104" s="69" t="n"/>
      <c r="F104" s="69" t="n"/>
      <c r="G104" s="69" t="n"/>
      <c r="H104" s="69" t="n"/>
    </row>
    <row r="105">
      <c r="A105" s="69" t="n"/>
      <c r="B105" s="69" t="n"/>
      <c r="C105" s="69" t="n"/>
      <c r="D105" s="69" t="n"/>
      <c r="E105" s="69" t="n"/>
      <c r="F105" s="69" t="n"/>
      <c r="G105" s="69" t="n"/>
      <c r="H105" s="69" t="n"/>
    </row>
    <row r="106">
      <c r="A106" s="69" t="n"/>
      <c r="B106" s="69" t="n"/>
      <c r="C106" s="69" t="n"/>
      <c r="D106" s="69" t="n"/>
      <c r="E106" s="69" t="n"/>
      <c r="F106" s="69" t="n"/>
      <c r="G106" s="69" t="n"/>
      <c r="H106" s="69" t="n"/>
    </row>
    <row r="107">
      <c r="A107" s="69" t="n"/>
      <c r="B107" s="69" t="n"/>
      <c r="C107" s="69" t="n"/>
      <c r="D107" s="69" t="n"/>
      <c r="E107" s="69" t="n"/>
      <c r="F107" s="69" t="n"/>
      <c r="G107" s="69" t="n"/>
      <c r="H107" s="69" t="n"/>
    </row>
    <row r="108">
      <c r="A108" s="69" t="n"/>
      <c r="B108" s="69" t="n"/>
      <c r="C108" s="69" t="n"/>
      <c r="D108" s="69" t="n"/>
      <c r="E108" s="69" t="n"/>
      <c r="F108" s="69" t="n"/>
      <c r="G108" s="69" t="n"/>
      <c r="H108" s="69" t="n"/>
    </row>
    <row r="109">
      <c r="A109" s="69" t="n"/>
      <c r="B109" s="69" t="n"/>
      <c r="C109" s="69" t="n"/>
      <c r="D109" s="69" t="n"/>
      <c r="E109" s="69" t="n"/>
      <c r="F109" s="69" t="n"/>
      <c r="G109" s="69" t="n"/>
      <c r="H109" s="69" t="n"/>
    </row>
    <row r="110">
      <c r="A110" s="69" t="n"/>
      <c r="B110" s="69" t="n"/>
      <c r="C110" s="69" t="n"/>
      <c r="D110" s="69" t="n"/>
      <c r="E110" s="69" t="n"/>
      <c r="F110" s="69" t="n"/>
      <c r="G110" s="69" t="n"/>
      <c r="H110" s="69" t="n"/>
    </row>
    <row r="111">
      <c r="A111" s="69" t="n"/>
      <c r="B111" s="69" t="n"/>
      <c r="C111" s="69" t="n"/>
      <c r="D111" s="69" t="n"/>
      <c r="E111" s="69" t="n"/>
      <c r="F111" s="69" t="n"/>
      <c r="G111" s="69" t="n"/>
      <c r="H111" s="69" t="n"/>
    </row>
    <row r="112">
      <c r="A112" s="69" t="n"/>
      <c r="B112" s="69" t="n"/>
      <c r="C112" s="69" t="n"/>
      <c r="D112" s="69" t="n"/>
      <c r="E112" s="69" t="n"/>
      <c r="F112" s="69" t="n"/>
      <c r="G112" s="69" t="n"/>
      <c r="H112" s="69" t="n"/>
    </row>
    <row r="113">
      <c r="A113" s="69" t="n"/>
      <c r="B113" s="69" t="n"/>
      <c r="C113" s="69" t="n"/>
      <c r="D113" s="69" t="n"/>
      <c r="E113" s="69" t="n"/>
      <c r="F113" s="69" t="n"/>
      <c r="G113" s="69" t="n"/>
      <c r="H113" s="69" t="n"/>
    </row>
    <row r="114">
      <c r="A114" s="69" t="n"/>
      <c r="B114" s="69" t="n"/>
      <c r="C114" s="69" t="n"/>
      <c r="D114" s="69" t="n"/>
      <c r="E114" s="69" t="n"/>
      <c r="F114" s="69" t="n"/>
      <c r="G114" s="69" t="n"/>
      <c r="H114" s="69" t="n"/>
    </row>
    <row r="115">
      <c r="A115" s="69" t="n"/>
      <c r="B115" s="69" t="n"/>
      <c r="C115" s="69" t="n"/>
      <c r="D115" s="69" t="n"/>
      <c r="E115" s="69" t="n"/>
      <c r="F115" s="69" t="n"/>
      <c r="G115" s="69" t="n"/>
      <c r="H115" s="69" t="n"/>
    </row>
    <row r="116">
      <c r="A116" s="69" t="n"/>
      <c r="B116" s="69" t="n"/>
      <c r="C116" s="69" t="n"/>
      <c r="D116" s="69" t="n"/>
      <c r="E116" s="69" t="n"/>
      <c r="F116" s="69" t="n"/>
      <c r="G116" s="69" t="n"/>
      <c r="H116" s="69" t="n"/>
    </row>
    <row r="117">
      <c r="A117" s="69" t="n"/>
      <c r="B117" s="69" t="n"/>
      <c r="C117" s="69" t="n"/>
      <c r="D117" s="69" t="n"/>
      <c r="E117" s="69" t="n"/>
      <c r="F117" s="69" t="n"/>
      <c r="G117" s="69" t="n"/>
      <c r="H117" s="69" t="n"/>
    </row>
    <row r="118">
      <c r="A118" s="69" t="n"/>
      <c r="B118" s="69" t="n"/>
      <c r="C118" s="69" t="n"/>
      <c r="D118" s="69" t="n"/>
      <c r="E118" s="69" t="n"/>
      <c r="F118" s="69" t="n"/>
      <c r="G118" s="69" t="n"/>
      <c r="H118" s="69" t="n"/>
    </row>
    <row r="119">
      <c r="A119" s="69" t="n"/>
      <c r="B119" s="69" t="n"/>
      <c r="C119" s="69" t="n"/>
      <c r="D119" s="69" t="n"/>
      <c r="E119" s="69" t="n"/>
      <c r="F119" s="69" t="n"/>
      <c r="G119" s="69" t="n"/>
      <c r="H119" s="69" t="n"/>
    </row>
    <row r="120">
      <c r="A120" s="69" t="n"/>
      <c r="B120" s="69" t="n"/>
      <c r="C120" s="69" t="n"/>
      <c r="D120" s="69" t="n"/>
      <c r="E120" s="69" t="n"/>
      <c r="F120" s="69" t="n"/>
      <c r="G120" s="69" t="n"/>
      <c r="H120" s="69" t="n"/>
    </row>
    <row r="121">
      <c r="A121" s="69" t="n"/>
      <c r="B121" s="69" t="n"/>
      <c r="C121" s="69" t="n"/>
      <c r="D121" s="69" t="n"/>
      <c r="E121" s="69" t="n"/>
      <c r="F121" s="69" t="n"/>
      <c r="G121" s="69" t="n"/>
      <c r="H121" s="69" t="n"/>
    </row>
    <row r="122">
      <c r="A122" s="69" t="n"/>
      <c r="B122" s="69" t="n"/>
      <c r="C122" s="69" t="n"/>
      <c r="D122" s="69" t="n"/>
      <c r="E122" s="69" t="n"/>
      <c r="F122" s="69" t="n"/>
      <c r="G122" s="69" t="n"/>
      <c r="H122" s="69" t="n"/>
    </row>
    <row r="123">
      <c r="A123" s="69" t="n"/>
      <c r="B123" s="69" t="n"/>
      <c r="C123" s="69" t="n"/>
      <c r="D123" s="69" t="n"/>
      <c r="E123" s="69" t="n"/>
      <c r="F123" s="69" t="n"/>
      <c r="G123" s="69" t="n"/>
      <c r="H123" s="69" t="n"/>
    </row>
    <row r="124">
      <c r="A124" s="69" t="n"/>
      <c r="B124" s="69" t="n"/>
      <c r="C124" s="69" t="n"/>
      <c r="D124" s="69" t="n"/>
      <c r="E124" s="69" t="n"/>
      <c r="F124" s="69" t="n"/>
      <c r="G124" s="69" t="n"/>
      <c r="H124" s="69" t="n"/>
    </row>
    <row r="125">
      <c r="A125" s="69" t="n"/>
      <c r="B125" s="69" t="n"/>
      <c r="C125" s="69" t="n"/>
      <c r="D125" s="69" t="n"/>
      <c r="E125" s="69" t="n"/>
      <c r="F125" s="69" t="n"/>
      <c r="G125" s="69" t="n"/>
      <c r="H125" s="69" t="n"/>
    </row>
    <row r="126">
      <c r="A126" s="69" t="n"/>
      <c r="B126" s="69" t="n"/>
      <c r="C126" s="69" t="n"/>
      <c r="D126" s="69" t="n"/>
      <c r="E126" s="69" t="n"/>
      <c r="F126" s="69" t="n"/>
      <c r="G126" s="69" t="n"/>
      <c r="H126" s="69" t="n"/>
    </row>
    <row r="127">
      <c r="A127" s="69" t="n"/>
      <c r="B127" s="69" t="n"/>
      <c r="C127" s="69" t="n"/>
      <c r="D127" s="69" t="n"/>
      <c r="E127" s="69" t="n"/>
      <c r="F127" s="69" t="n"/>
      <c r="G127" s="69" t="n"/>
      <c r="H127" s="69" t="n"/>
    </row>
    <row r="128">
      <c r="A128" s="69" t="n"/>
      <c r="B128" s="69" t="n"/>
      <c r="C128" s="69" t="n"/>
      <c r="D128" s="69" t="n"/>
      <c r="E128" s="69" t="n"/>
      <c r="F128" s="69" t="n"/>
      <c r="G128" s="69" t="n"/>
      <c r="H128" s="69" t="n"/>
    </row>
    <row r="129">
      <c r="A129" s="69" t="n"/>
      <c r="B129" s="69" t="n"/>
      <c r="C129" s="69" t="n"/>
      <c r="D129" s="69" t="n"/>
      <c r="E129" s="69" t="n"/>
      <c r="F129" s="69" t="n"/>
      <c r="G129" s="69" t="n"/>
      <c r="H129" s="69" t="n"/>
    </row>
    <row r="130">
      <c r="A130" s="69" t="n"/>
      <c r="B130" s="69" t="n"/>
      <c r="C130" s="69" t="n"/>
      <c r="D130" s="69" t="n"/>
      <c r="E130" s="69" t="n"/>
      <c r="F130" s="69" t="n"/>
      <c r="G130" s="69" t="n"/>
      <c r="H130" s="69" t="n"/>
    </row>
    <row r="131">
      <c r="A131" s="69" t="n"/>
      <c r="B131" s="69" t="n"/>
      <c r="C131" s="69" t="n"/>
      <c r="D131" s="69" t="n"/>
      <c r="E131" s="69" t="n"/>
      <c r="F131" s="69" t="n"/>
      <c r="G131" s="69" t="n"/>
      <c r="H131" s="69" t="n"/>
    </row>
    <row r="132">
      <c r="A132" s="69" t="n"/>
      <c r="B132" s="69" t="n"/>
      <c r="C132" s="69" t="n"/>
      <c r="D132" s="69" t="n"/>
      <c r="E132" s="69" t="n"/>
      <c r="F132" s="69" t="n"/>
      <c r="G132" s="69" t="n"/>
      <c r="H132" s="69" t="n"/>
    </row>
    <row r="133">
      <c r="A133" s="69" t="n"/>
      <c r="B133" s="69" t="n"/>
      <c r="C133" s="69" t="n"/>
      <c r="D133" s="69" t="n"/>
      <c r="E133" s="69" t="n"/>
      <c r="F133" s="69" t="n"/>
      <c r="G133" s="69" t="n"/>
      <c r="H133" s="69" t="n"/>
    </row>
    <row r="134">
      <c r="A134" s="69" t="n"/>
      <c r="B134" s="69" t="n"/>
      <c r="C134" s="69" t="n"/>
      <c r="D134" s="69" t="n"/>
      <c r="E134" s="69" t="n"/>
      <c r="F134" s="69" t="n"/>
      <c r="G134" s="69" t="n"/>
      <c r="H134" s="69" t="n"/>
    </row>
    <row r="135">
      <c r="A135" s="69" t="n"/>
      <c r="B135" s="69" t="n"/>
      <c r="C135" s="69" t="n"/>
      <c r="D135" s="69" t="n"/>
      <c r="E135" s="69" t="n"/>
      <c r="F135" s="69" t="n"/>
      <c r="G135" s="69" t="n"/>
      <c r="H135" s="69" t="n"/>
    </row>
    <row r="136">
      <c r="A136" s="69" t="n"/>
      <c r="B136" s="69" t="n"/>
      <c r="C136" s="69" t="n"/>
      <c r="D136" s="69" t="n"/>
      <c r="E136" s="69" t="n"/>
      <c r="F136" s="69" t="n"/>
      <c r="G136" s="69" t="n"/>
      <c r="H136" s="69" t="n"/>
    </row>
    <row r="137">
      <c r="A137" s="69" t="n"/>
      <c r="B137" s="69" t="n"/>
      <c r="C137" s="69" t="n"/>
      <c r="D137" s="69" t="n"/>
      <c r="E137" s="69" t="n"/>
      <c r="F137" s="69" t="n"/>
      <c r="G137" s="69" t="n"/>
      <c r="H137" s="69" t="n"/>
    </row>
    <row r="138">
      <c r="A138" s="69" t="n"/>
      <c r="B138" s="69" t="n"/>
      <c r="C138" s="69" t="n"/>
      <c r="D138" s="69" t="n"/>
      <c r="E138" s="69" t="n"/>
      <c r="F138" s="69" t="n"/>
      <c r="G138" s="69" t="n"/>
      <c r="H138" s="69" t="n"/>
    </row>
    <row r="139">
      <c r="A139" s="69" t="n"/>
      <c r="B139" s="69" t="n"/>
      <c r="C139" s="69" t="n"/>
      <c r="D139" s="69" t="n"/>
      <c r="E139" s="69" t="n"/>
      <c r="F139" s="69" t="n"/>
      <c r="G139" s="69" t="n"/>
      <c r="H139" s="69" t="n"/>
    </row>
    <row r="140">
      <c r="A140" s="69" t="n"/>
      <c r="B140" s="69" t="n"/>
      <c r="C140" s="69" t="n"/>
      <c r="D140" s="69" t="n"/>
      <c r="E140" s="69" t="n"/>
      <c r="F140" s="69" t="n"/>
      <c r="G140" s="69" t="n"/>
      <c r="H140" s="69" t="n"/>
    </row>
    <row r="141">
      <c r="A141" s="69" t="n"/>
      <c r="B141" s="69" t="n"/>
      <c r="C141" s="69" t="n"/>
      <c r="D141" s="69" t="n"/>
      <c r="E141" s="69" t="n"/>
      <c r="F141" s="69" t="n"/>
      <c r="G141" s="69" t="n"/>
      <c r="H141" s="69" t="n"/>
    </row>
    <row r="142">
      <c r="A142" s="69" t="n"/>
      <c r="B142" s="69" t="n"/>
      <c r="C142" s="69" t="n"/>
      <c r="D142" s="69" t="n"/>
      <c r="E142" s="69" t="n"/>
      <c r="F142" s="69" t="n"/>
      <c r="G142" s="69" t="n"/>
      <c r="H142" s="69" t="n"/>
    </row>
    <row r="143">
      <c r="A143" s="69" t="n"/>
      <c r="B143" s="69" t="n"/>
      <c r="C143" s="69" t="n"/>
      <c r="D143" s="69" t="n"/>
      <c r="E143" s="69" t="n"/>
      <c r="F143" s="69" t="n"/>
      <c r="G143" s="69" t="n"/>
      <c r="H143" s="69" t="n"/>
    </row>
    <row r="144">
      <c r="A144" s="69" t="n"/>
      <c r="B144" s="69" t="n"/>
      <c r="C144" s="69" t="n"/>
      <c r="D144" s="69" t="n"/>
      <c r="E144" s="69" t="n"/>
      <c r="F144" s="69" t="n"/>
      <c r="G144" s="69" t="n"/>
      <c r="H144" s="69" t="n"/>
    </row>
    <row r="145">
      <c r="A145" s="69" t="n"/>
      <c r="B145" s="69" t="n"/>
      <c r="C145" s="69" t="n"/>
      <c r="D145" s="69" t="n"/>
      <c r="E145" s="69" t="n"/>
      <c r="F145" s="69" t="n"/>
      <c r="G145" s="69" t="n"/>
      <c r="H145" s="69" t="n"/>
    </row>
    <row r="146">
      <c r="A146" s="69" t="n"/>
      <c r="B146" s="69" t="n"/>
      <c r="C146" s="69" t="n"/>
      <c r="D146" s="69" t="n"/>
      <c r="E146" s="69" t="n"/>
      <c r="F146" s="69" t="n"/>
      <c r="G146" s="69" t="n"/>
      <c r="H146" s="69" t="n"/>
    </row>
    <row r="147">
      <c r="A147" s="69" t="n"/>
      <c r="B147" s="69" t="n"/>
      <c r="C147" s="69" t="n"/>
      <c r="D147" s="69" t="n"/>
      <c r="E147" s="69" t="n"/>
      <c r="F147" s="69" t="n"/>
      <c r="G147" s="69" t="n"/>
      <c r="H147" s="69" t="n"/>
    </row>
    <row r="148">
      <c r="A148" s="69" t="n"/>
      <c r="B148" s="69" t="n"/>
      <c r="C148" s="69" t="n"/>
      <c r="D148" s="69" t="n"/>
      <c r="E148" s="69" t="n"/>
      <c r="F148" s="69" t="n"/>
      <c r="G148" s="69" t="n"/>
      <c r="H148" s="69" t="n"/>
    </row>
    <row r="149">
      <c r="A149" s="69" t="n"/>
      <c r="B149" s="69" t="n"/>
      <c r="C149" s="69" t="n"/>
      <c r="D149" s="69" t="n"/>
      <c r="E149" s="69" t="n"/>
      <c r="F149" s="69" t="n"/>
      <c r="G149" s="69" t="n"/>
      <c r="H149" s="69" t="n"/>
    </row>
    <row r="150">
      <c r="A150" s="69" t="n"/>
      <c r="B150" s="69" t="n"/>
      <c r="C150" s="69" t="n"/>
      <c r="D150" s="69" t="n"/>
      <c r="E150" s="69" t="n"/>
      <c r="F150" s="69" t="n"/>
      <c r="G150" s="69" t="n"/>
      <c r="H150" s="69" t="n"/>
    </row>
    <row r="151">
      <c r="A151" s="69" t="n"/>
      <c r="B151" s="69" t="n"/>
      <c r="C151" s="69" t="n"/>
      <c r="D151" s="69" t="n"/>
      <c r="E151" s="69" t="n"/>
      <c r="F151" s="69" t="n"/>
      <c r="G151" s="69" t="n"/>
      <c r="H151" s="69" t="n"/>
    </row>
    <row r="152">
      <c r="A152" s="69" t="n"/>
      <c r="B152" s="69" t="n"/>
      <c r="C152" s="69" t="n"/>
      <c r="D152" s="69" t="n"/>
      <c r="E152" s="69" t="n"/>
      <c r="F152" s="69" t="n"/>
      <c r="G152" s="69" t="n"/>
      <c r="H152" s="69" t="n"/>
    </row>
    <row r="153">
      <c r="A153" s="69" t="n"/>
      <c r="B153" s="69" t="n"/>
      <c r="C153" s="69" t="n"/>
      <c r="D153" s="69" t="n"/>
      <c r="E153" s="69" t="n"/>
      <c r="F153" s="69" t="n"/>
      <c r="G153" s="69" t="n"/>
      <c r="H153" s="69" t="n"/>
    </row>
    <row r="154">
      <c r="A154" s="69" t="n"/>
      <c r="B154" s="69" t="n"/>
      <c r="C154" s="69" t="n"/>
      <c r="D154" s="69" t="n"/>
      <c r="E154" s="69" t="n"/>
      <c r="F154" s="69" t="n"/>
      <c r="G154" s="69" t="n"/>
      <c r="H154" s="69" t="n"/>
    </row>
    <row r="155">
      <c r="A155" s="69" t="n"/>
      <c r="B155" s="69" t="n"/>
      <c r="C155" s="69" t="n"/>
      <c r="D155" s="69" t="n"/>
      <c r="E155" s="69" t="n"/>
      <c r="F155" s="69" t="n"/>
      <c r="G155" s="69" t="n"/>
      <c r="H155" s="69" t="n"/>
    </row>
    <row r="156">
      <c r="A156" s="69" t="n"/>
      <c r="B156" s="69" t="n"/>
      <c r="C156" s="69" t="n"/>
      <c r="D156" s="69" t="n"/>
      <c r="E156" s="69" t="n"/>
      <c r="F156" s="69" t="n"/>
      <c r="G156" s="69" t="n"/>
      <c r="H156" s="69" t="n"/>
    </row>
    <row r="157">
      <c r="A157" s="69" t="n"/>
      <c r="B157" s="69" t="n"/>
      <c r="C157" s="69" t="n"/>
      <c r="D157" s="69" t="n"/>
      <c r="E157" s="69" t="n"/>
      <c r="F157" s="69" t="n"/>
      <c r="G157" s="69" t="n"/>
      <c r="H157" s="69" t="n"/>
    </row>
    <row r="158">
      <c r="A158" s="69" t="n"/>
      <c r="B158" s="69" t="n"/>
      <c r="C158" s="69" t="n"/>
      <c r="D158" s="69" t="n"/>
      <c r="E158" s="69" t="n"/>
      <c r="F158" s="69" t="n"/>
      <c r="G158" s="69" t="n"/>
      <c r="H158" s="69" t="n"/>
    </row>
    <row r="159">
      <c r="A159" s="69" t="n"/>
      <c r="B159" s="69" t="n"/>
      <c r="C159" s="69" t="n"/>
      <c r="D159" s="69" t="n"/>
      <c r="E159" s="69" t="n"/>
      <c r="F159" s="69" t="n"/>
      <c r="G159" s="69" t="n"/>
      <c r="H159" s="69" t="n"/>
    </row>
    <row r="160">
      <c r="A160" s="69" t="n"/>
      <c r="B160" s="69" t="n"/>
      <c r="C160" s="69" t="n"/>
      <c r="D160" s="69" t="n"/>
      <c r="E160" s="69" t="n"/>
      <c r="F160" s="69" t="n"/>
      <c r="G160" s="69" t="n"/>
      <c r="H160" s="69" t="n"/>
    </row>
    <row r="161">
      <c r="A161" s="69" t="n"/>
      <c r="B161" s="69" t="n"/>
      <c r="C161" s="69" t="n"/>
      <c r="D161" s="69" t="n"/>
      <c r="E161" s="69" t="n"/>
      <c r="F161" s="69" t="n"/>
      <c r="G161" s="69" t="n"/>
      <c r="H161" s="69" t="n"/>
    </row>
    <row r="162">
      <c r="A162" s="69" t="n"/>
      <c r="B162" s="69" t="n"/>
      <c r="C162" s="69" t="n"/>
      <c r="D162" s="69" t="n"/>
      <c r="E162" s="69" t="n"/>
      <c r="F162" s="69" t="n"/>
      <c r="G162" s="69" t="n"/>
      <c r="H162" s="69" t="n"/>
    </row>
    <row r="163">
      <c r="A163" s="69" t="n"/>
      <c r="B163" s="69" t="n"/>
      <c r="C163" s="69" t="n"/>
      <c r="D163" s="69" t="n"/>
      <c r="E163" s="69" t="n"/>
      <c r="F163" s="69" t="n"/>
      <c r="G163" s="69" t="n"/>
      <c r="H163" s="69" t="n"/>
    </row>
    <row r="164">
      <c r="A164" s="69" t="n"/>
      <c r="B164" s="69" t="n"/>
      <c r="C164" s="69" t="n"/>
      <c r="D164" s="69" t="n"/>
      <c r="E164" s="69" t="n"/>
      <c r="F164" s="69" t="n"/>
      <c r="G164" s="69" t="n"/>
      <c r="H164" s="69" t="n"/>
    </row>
    <row r="165">
      <c r="A165" s="69" t="n"/>
      <c r="B165" s="69" t="n"/>
      <c r="C165" s="69" t="n"/>
      <c r="D165" s="69" t="n"/>
      <c r="E165" s="69" t="n"/>
      <c r="F165" s="69" t="n"/>
      <c r="G165" s="69" t="n"/>
      <c r="H165" s="69" t="n"/>
    </row>
    <row r="166">
      <c r="A166" s="69" t="n"/>
      <c r="B166" s="69" t="n"/>
      <c r="C166" s="69" t="n"/>
      <c r="D166" s="69" t="n"/>
      <c r="E166" s="69" t="n"/>
      <c r="F166" s="69" t="n"/>
      <c r="G166" s="69" t="n"/>
      <c r="H166" s="69" t="n"/>
    </row>
    <row r="167">
      <c r="A167" s="69" t="n"/>
      <c r="B167" s="69" t="n"/>
      <c r="C167" s="69" t="n"/>
      <c r="D167" s="69" t="n"/>
      <c r="E167" s="69" t="n"/>
      <c r="F167" s="69" t="n"/>
      <c r="G167" s="69" t="n"/>
      <c r="H167" s="69" t="n"/>
    </row>
    <row r="168">
      <c r="A168" s="69" t="n"/>
      <c r="B168" s="69" t="n"/>
      <c r="C168" s="69" t="n"/>
      <c r="D168" s="69" t="n"/>
      <c r="E168" s="69" t="n"/>
      <c r="F168" s="69" t="n"/>
      <c r="G168" s="69" t="n"/>
      <c r="H168" s="69" t="n"/>
    </row>
    <row r="169">
      <c r="A169" s="69" t="n"/>
      <c r="B169" s="69" t="n"/>
      <c r="C169" s="69" t="n"/>
      <c r="D169" s="69" t="n"/>
      <c r="E169" s="69" t="n"/>
      <c r="F169" s="69" t="n"/>
      <c r="G169" s="69" t="n"/>
      <c r="H169" s="69" t="n"/>
    </row>
    <row r="170">
      <c r="A170" s="69" t="n"/>
      <c r="B170" s="69" t="n"/>
      <c r="C170" s="69" t="n"/>
      <c r="D170" s="69" t="n"/>
      <c r="E170" s="69" t="n"/>
      <c r="F170" s="69" t="n"/>
      <c r="G170" s="69" t="n"/>
      <c r="H170" s="69" t="n"/>
    </row>
    <row r="171">
      <c r="A171" s="69" t="n"/>
      <c r="B171" s="69" t="n"/>
      <c r="C171" s="69" t="n"/>
      <c r="D171" s="69" t="n"/>
      <c r="E171" s="69" t="n"/>
      <c r="F171" s="69" t="n"/>
      <c r="G171" s="69" t="n"/>
      <c r="H171" s="69" t="n"/>
    </row>
    <row r="172">
      <c r="A172" s="69" t="n"/>
      <c r="B172" s="69" t="n"/>
      <c r="C172" s="69" t="n"/>
      <c r="D172" s="69" t="n"/>
      <c r="E172" s="69" t="n"/>
      <c r="F172" s="69" t="n"/>
      <c r="G172" s="69" t="n"/>
      <c r="H172" s="69" t="n"/>
    </row>
    <row r="173">
      <c r="A173" s="69" t="n"/>
      <c r="B173" s="69" t="n"/>
      <c r="C173" s="69" t="n"/>
      <c r="D173" s="69" t="n"/>
      <c r="E173" s="69" t="n"/>
      <c r="F173" s="69" t="n"/>
      <c r="G173" s="69" t="n"/>
      <c r="H173" s="69" t="n"/>
    </row>
    <row r="174">
      <c r="A174" s="69" t="n"/>
      <c r="B174" s="69" t="n"/>
      <c r="C174" s="69" t="n"/>
      <c r="D174" s="69" t="n"/>
      <c r="E174" s="69" t="n"/>
      <c r="F174" s="69" t="n"/>
      <c r="G174" s="69" t="n"/>
      <c r="H174" s="69" t="n"/>
    </row>
    <row r="175">
      <c r="A175" s="69" t="n"/>
      <c r="B175" s="69" t="n"/>
      <c r="C175" s="69" t="n"/>
      <c r="D175" s="69" t="n"/>
      <c r="E175" s="69" t="n"/>
      <c r="F175" s="69" t="n"/>
      <c r="G175" s="69" t="n"/>
      <c r="H175" s="69" t="n"/>
    </row>
    <row r="176">
      <c r="A176" s="69" t="n"/>
      <c r="B176" s="69" t="n"/>
      <c r="C176" s="69" t="n"/>
      <c r="D176" s="69" t="n"/>
      <c r="E176" s="69" t="n"/>
      <c r="F176" s="69" t="n"/>
      <c r="G176" s="69" t="n"/>
      <c r="H176" s="69" t="n"/>
    </row>
    <row r="177">
      <c r="A177" s="69" t="n"/>
      <c r="B177" s="69" t="n"/>
      <c r="C177" s="69" t="n"/>
      <c r="D177" s="69" t="n"/>
      <c r="E177" s="69" t="n"/>
      <c r="F177" s="69" t="n"/>
      <c r="G177" s="69" t="n"/>
      <c r="H177" s="69" t="n"/>
    </row>
    <row r="178">
      <c r="A178" s="69" t="n"/>
      <c r="B178" s="69" t="n"/>
      <c r="C178" s="69" t="n"/>
      <c r="D178" s="69" t="n"/>
      <c r="E178" s="69" t="n"/>
      <c r="F178" s="69" t="n"/>
      <c r="G178" s="69" t="n"/>
      <c r="H178" s="69" t="n"/>
    </row>
    <row r="179">
      <c r="A179" s="69" t="n"/>
      <c r="B179" s="69" t="n"/>
      <c r="C179" s="69" t="n"/>
      <c r="D179" s="69" t="n"/>
      <c r="E179" s="69" t="n"/>
      <c r="F179" s="69" t="n"/>
      <c r="G179" s="69" t="n"/>
      <c r="H179" s="69" t="n"/>
    </row>
    <row r="180">
      <c r="A180" s="69" t="n"/>
      <c r="B180" s="69" t="n"/>
      <c r="C180" s="69" t="n"/>
      <c r="D180" s="69" t="n"/>
      <c r="E180" s="69" t="n"/>
      <c r="F180" s="69" t="n"/>
      <c r="G180" s="69" t="n"/>
      <c r="H180" s="69" t="n"/>
    </row>
    <row r="181">
      <c r="A181" s="69" t="n"/>
      <c r="B181" s="69" t="n"/>
      <c r="C181" s="69" t="n"/>
      <c r="D181" s="69" t="n"/>
      <c r="E181" s="69" t="n"/>
      <c r="F181" s="69" t="n"/>
      <c r="G181" s="69" t="n"/>
      <c r="H181" s="69" t="n"/>
    </row>
    <row r="182">
      <c r="A182" s="69" t="n"/>
      <c r="B182" s="69" t="n"/>
      <c r="C182" s="69" t="n"/>
      <c r="D182" s="69" t="n"/>
      <c r="E182" s="69" t="n"/>
      <c r="F182" s="69" t="n"/>
      <c r="G182" s="69" t="n"/>
      <c r="H182" s="69" t="n"/>
    </row>
    <row r="183">
      <c r="A183" s="69" t="n"/>
      <c r="B183" s="69" t="n"/>
      <c r="C183" s="69" t="n"/>
      <c r="D183" s="69" t="n"/>
      <c r="E183" s="69" t="n"/>
      <c r="F183" s="69" t="n"/>
      <c r="G183" s="69" t="n"/>
      <c r="H183" s="69" t="n"/>
    </row>
    <row r="184">
      <c r="A184" s="69" t="n"/>
      <c r="B184" s="69" t="n"/>
      <c r="C184" s="69" t="n"/>
      <c r="D184" s="69" t="n"/>
      <c r="E184" s="69" t="n"/>
      <c r="F184" s="69" t="n"/>
      <c r="G184" s="69" t="n"/>
      <c r="H184" s="69" t="n"/>
    </row>
    <row r="185">
      <c r="A185" s="69" t="n"/>
      <c r="B185" s="69" t="n"/>
      <c r="C185" s="69" t="n"/>
      <c r="D185" s="69" t="n"/>
      <c r="E185" s="69" t="n"/>
      <c r="F185" s="69" t="n"/>
      <c r="G185" s="69" t="n"/>
      <c r="H185" s="69" t="n"/>
    </row>
    <row r="186">
      <c r="A186" s="69" t="n"/>
      <c r="B186" s="69" t="n"/>
      <c r="C186" s="69" t="n"/>
      <c r="D186" s="69" t="n"/>
      <c r="E186" s="69" t="n"/>
      <c r="F186" s="69" t="n"/>
      <c r="G186" s="69" t="n"/>
      <c r="H186" s="69" t="n"/>
    </row>
    <row r="187">
      <c r="A187" s="69" t="n"/>
      <c r="B187" s="69" t="n"/>
      <c r="C187" s="69" t="n"/>
      <c r="D187" s="69" t="n"/>
      <c r="E187" s="69" t="n"/>
      <c r="F187" s="69" t="n"/>
      <c r="G187" s="69" t="n"/>
      <c r="H187" s="69" t="n"/>
    </row>
    <row r="188">
      <c r="A188" s="69" t="n"/>
      <c r="B188" s="69" t="n"/>
      <c r="C188" s="69" t="n"/>
      <c r="D188" s="69" t="n"/>
      <c r="E188" s="69" t="n"/>
      <c r="F188" s="69" t="n"/>
      <c r="G188" s="69" t="n"/>
      <c r="H188" s="69" t="n"/>
    </row>
    <row r="189">
      <c r="A189" s="69" t="n"/>
      <c r="B189" s="69" t="n"/>
      <c r="C189" s="69" t="n"/>
      <c r="D189" s="69" t="n"/>
      <c r="E189" s="69" t="n"/>
      <c r="F189" s="69" t="n"/>
      <c r="G189" s="69" t="n"/>
      <c r="H189" s="69" t="n"/>
    </row>
    <row r="190">
      <c r="A190" s="69" t="n"/>
      <c r="B190" s="69" t="n"/>
      <c r="C190" s="69" t="n"/>
      <c r="D190" s="69" t="n"/>
      <c r="E190" s="69" t="n"/>
      <c r="F190" s="69" t="n"/>
      <c r="G190" s="69" t="n"/>
      <c r="H190" s="69" t="n"/>
    </row>
    <row r="191">
      <c r="A191" s="69" t="n"/>
      <c r="B191" s="69" t="n"/>
      <c r="C191" s="69" t="n"/>
      <c r="D191" s="69" t="n"/>
      <c r="E191" s="69" t="n"/>
      <c r="F191" s="69" t="n"/>
      <c r="G191" s="69" t="n"/>
      <c r="H191" s="69" t="n"/>
    </row>
    <row r="192">
      <c r="A192" s="69" t="n"/>
      <c r="B192" s="69" t="n"/>
      <c r="C192" s="69" t="n"/>
      <c r="D192" s="69" t="n"/>
      <c r="E192" s="69" t="n"/>
      <c r="F192" s="69" t="n"/>
      <c r="G192" s="69" t="n"/>
      <c r="H192" s="69" t="n"/>
    </row>
    <row r="193">
      <c r="A193" s="69" t="n"/>
      <c r="B193" s="69" t="n"/>
      <c r="C193" s="69" t="n"/>
      <c r="D193" s="69" t="n"/>
      <c r="E193" s="69" t="n"/>
      <c r="F193" s="69" t="n"/>
      <c r="G193" s="69" t="n"/>
      <c r="H193" s="69" t="n"/>
    </row>
    <row r="194">
      <c r="A194" s="69" t="n"/>
      <c r="B194" s="69" t="n"/>
      <c r="C194" s="69" t="n"/>
      <c r="D194" s="69" t="n"/>
      <c r="E194" s="69" t="n"/>
      <c r="F194" s="69" t="n"/>
      <c r="G194" s="69" t="n"/>
      <c r="H194" s="69" t="n"/>
    </row>
    <row r="195">
      <c r="A195" s="69" t="n"/>
      <c r="B195" s="69" t="n"/>
      <c r="C195" s="69" t="n"/>
      <c r="D195" s="69" t="n"/>
      <c r="E195" s="69" t="n"/>
      <c r="F195" s="69" t="n"/>
      <c r="G195" s="69" t="n"/>
      <c r="H195" s="69" t="n"/>
    </row>
    <row r="196">
      <c r="A196" s="69" t="n"/>
      <c r="B196" s="69" t="n"/>
      <c r="C196" s="69" t="n"/>
      <c r="D196" s="69" t="n"/>
      <c r="E196" s="69" t="n"/>
      <c r="F196" s="69" t="n"/>
      <c r="G196" s="69" t="n"/>
      <c r="H196" s="69" t="n"/>
    </row>
    <row r="197">
      <c r="A197" s="69" t="n"/>
      <c r="B197" s="69" t="n"/>
      <c r="C197" s="69" t="n"/>
      <c r="D197" s="69" t="n"/>
      <c r="E197" s="69" t="n"/>
      <c r="F197" s="69" t="n"/>
      <c r="G197" s="69" t="n"/>
      <c r="H197" s="69" t="n"/>
    </row>
    <row r="198">
      <c r="A198" s="69" t="n"/>
      <c r="B198" s="69" t="n"/>
      <c r="C198" s="69" t="n"/>
      <c r="D198" s="69" t="n"/>
      <c r="E198" s="69" t="n"/>
      <c r="F198" s="69" t="n"/>
      <c r="G198" s="69" t="n"/>
      <c r="H198" s="69" t="n"/>
    </row>
    <row r="199">
      <c r="A199" s="69" t="n"/>
      <c r="B199" s="69" t="n"/>
      <c r="C199" s="69" t="n"/>
      <c r="D199" s="69" t="n"/>
      <c r="E199" s="69" t="n"/>
      <c r="F199" s="69" t="n"/>
      <c r="G199" s="69" t="n"/>
      <c r="H199" s="69" t="n"/>
    </row>
    <row r="200">
      <c r="A200" s="69" t="n"/>
      <c r="B200" s="69" t="n"/>
      <c r="C200" s="69" t="n"/>
      <c r="D200" s="69" t="n"/>
      <c r="E200" s="69" t="n"/>
      <c r="F200" s="69" t="n"/>
      <c r="G200" s="69" t="n"/>
      <c r="H200" s="69" t="n"/>
    </row>
    <row r="201">
      <c r="A201" s="69" t="n"/>
      <c r="B201" s="69" t="n"/>
      <c r="C201" s="69" t="n"/>
      <c r="D201" s="69" t="n"/>
      <c r="E201" s="69" t="n"/>
      <c r="F201" s="69" t="n"/>
      <c r="G201" s="69" t="n"/>
      <c r="H201" s="69" t="n"/>
    </row>
    <row r="202">
      <c r="A202" s="69" t="n"/>
      <c r="B202" s="69" t="n"/>
      <c r="C202" s="69" t="n"/>
      <c r="D202" s="69" t="n"/>
      <c r="E202" s="69" t="n"/>
      <c r="F202" s="69" t="n"/>
      <c r="G202" s="69" t="n"/>
      <c r="H202" s="69" t="n"/>
    </row>
    <row r="203">
      <c r="A203" s="69" t="n"/>
      <c r="B203" s="69" t="n"/>
      <c r="C203" s="69" t="n"/>
      <c r="D203" s="69" t="n"/>
      <c r="E203" s="69" t="n"/>
      <c r="F203" s="69" t="n"/>
      <c r="G203" s="69" t="n"/>
      <c r="H203" s="69" t="n"/>
    </row>
    <row r="204">
      <c r="A204" s="69" t="n"/>
      <c r="B204" s="69" t="n"/>
      <c r="C204" s="69" t="n"/>
      <c r="D204" s="69" t="n"/>
      <c r="E204" s="69" t="n"/>
      <c r="F204" s="69" t="n"/>
      <c r="G204" s="69" t="n"/>
      <c r="H204" s="69" t="n"/>
    </row>
    <row r="205">
      <c r="A205" s="69" t="n"/>
      <c r="B205" s="69" t="n"/>
      <c r="C205" s="69" t="n"/>
      <c r="D205" s="69" t="n"/>
      <c r="E205" s="69" t="n"/>
      <c r="F205" s="69" t="n"/>
      <c r="G205" s="69" t="n"/>
      <c r="H205" s="69" t="n"/>
    </row>
  </sheetData>
  <mergeCells count="1">
    <mergeCell ref="A2:N2"/>
  </mergeCells>
  <conditionalFormatting sqref="D6:F206">
    <cfRule type="expression" priority="1" dxfId="9">
      <formula>D6="Critical"</formula>
    </cfRule>
    <cfRule type="expression" priority="2" dxfId="10">
      <formula>D6="High"</formula>
    </cfRule>
    <cfRule type="expression" priority="3" dxfId="11">
      <formula>D6="Medium"</formula>
    </cfRule>
  </conditionalFormatting>
  <conditionalFormatting sqref="N6:N36">
    <cfRule type="expression" priority="4" dxfId="9">
      <formula>N6="Critical"</formula>
    </cfRule>
    <cfRule type="expression" priority="5" dxfId="10">
      <formula>N6="High"</formula>
    </cfRule>
    <cfRule type="expression" priority="6" dxfId="11">
      <formula>N6="Medium"</formula>
    </cfRule>
  </conditionalFormatting>
  <pageMargins left="0.75" right="0.75" top="1" bottom="1" header="0.5" footer="0.5"/>
</worksheet>
</file>

<file path=xl/worksheets/sheet10.xml><?xml version="1.0" encoding="utf-8"?>
<worksheet xmlns="http://schemas.openxmlformats.org/spreadsheetml/2006/main">
  <sheetPr>
    <tabColor rgb="FF2E75B6"/>
    <outlinePr summaryBelow="1" summaryRight="1"/>
    <pageSetUpPr/>
  </sheetPr>
  <dimension ref="A1:H65"/>
  <sheetViews>
    <sheetView showGridLines="0" tabSelected="0" workbookViewId="0">
      <pane ySplit="5" topLeftCell="A6" activePane="bottomLeft" state="frozen"/>
      <selection pane="bottomLeft" activeCell="A1" sqref="A1"/>
    </sheetView>
  </sheetViews>
  <sheetFormatPr baseColWidth="8" defaultRowHeight="15"/>
  <cols>
    <col width="15" customWidth="1" style="19" min="1" max="1"/>
    <col width="34" customWidth="1" style="19" min="2" max="2"/>
    <col width="22" customWidth="1" style="19" min="3" max="3"/>
    <col width="12" customWidth="1" style="19" min="4" max="4"/>
    <col width="24" customWidth="1" style="19" min="5" max="5"/>
    <col width="22" customWidth="1" style="19" min="6" max="6"/>
    <col width="16" customWidth="1" style="19" min="7" max="7"/>
    <col width="44" customWidth="1" style="19" min="8" max="8"/>
  </cols>
  <sheetData>
    <row r="1" ht="25.5" customHeight="1" s="19">
      <c r="A1" s="63" t="inlineStr">
        <is>
          <t>Detection Plan</t>
        </is>
      </c>
      <c r="B1" s="64" t="n"/>
      <c r="C1" s="64" t="n"/>
      <c r="D1" s="64" t="n"/>
      <c r="E1" s="64" t="n"/>
      <c r="F1" s="64" t="n"/>
      <c r="G1" s="64" t="n"/>
      <c r="H1" s="64" t="n"/>
    </row>
    <row r="2" ht="55" customHeight="1" s="19">
      <c r="A2" s="65" t="inlineStr">
        <is>
          <t>Detections the SOC should deploy for this application: those linked to applicable threats that are not fully mitigated, sorted by the highest threat risk. Rules are SIEM-agnostic Sigma files. To record the deployment status, edit the 'Deployment status' column on the 'Detections' sheet (it stays on the detection's own row, so it can never get misaligned when this view re-sorts).</t>
        </is>
      </c>
    </row>
    <row r="3"/>
    <row r="4">
      <c r="A4" s="66" t="inlineStr">
        <is>
          <t>Relevant detections</t>
        </is>
      </c>
      <c r="B4" s="67" cm="1">
        <f t="array" ref="B4">COUNTIF(tblDetections[Relevant],"Yes")</f>
        <v/>
      </c>
    </row>
    <row r="5">
      <c r="A5" s="68" t="inlineStr">
        <is>
          <t>Detection ID</t>
        </is>
      </c>
      <c r="B5" s="68" t="inlineStr">
        <is>
          <t>Title</t>
        </is>
      </c>
      <c r="C5" s="68" t="inlineStr">
        <is>
          <t>Linked threats</t>
        </is>
      </c>
      <c r="D5" s="68" t="inlineStr">
        <is>
          <t>Highest threat risk</t>
        </is>
      </c>
      <c r="E5" s="68" t="inlineStr">
        <is>
          <t>Required log sources</t>
        </is>
      </c>
      <c r="F5" s="68" t="inlineStr">
        <is>
          <t>Missing log sources</t>
        </is>
      </c>
      <c r="G5" s="68" t="inlineStr">
        <is>
          <t>Deployment status</t>
        </is>
      </c>
      <c r="H5" s="68" t="inlineStr">
        <is>
          <t>Sigma rule (link on the Detections sheet)</t>
        </is>
      </c>
    </row>
    <row r="6">
      <c r="A6" s="69" cm="1">
        <f t="array" ref="A6">IF(B4=0,"No relevant detections",_xlfn.CHOOSECOLS(_xlfn._xlws.SORT(_xlfn._xlws.FILTER(_xlfn.HSTACK(tblDetections[Detection ID],tblDetections[Title],tblDetections[Linked threats],tblDetections[Highest threat risk],tblDetections[Required log sources],tblDetections[Missing log sources],tblDetections[Deployment status]&amp;"",tblDetections[Sigma rule],tblDetections[Risk score]),tblDetections[Relevant]="Yes"),9,-1),1,2,3,4,5,6,7,8))</f>
        <v/>
      </c>
      <c r="B6" s="69" t="n"/>
      <c r="C6" s="69" t="n"/>
      <c r="D6" s="69" t="n"/>
      <c r="E6" s="69" t="n"/>
      <c r="F6" s="69" t="n"/>
      <c r="G6" s="69" t="n"/>
      <c r="H6" s="69" t="n"/>
    </row>
    <row r="7">
      <c r="A7" s="69" t="n"/>
      <c r="B7" s="69" t="n"/>
      <c r="C7" s="69" t="n"/>
      <c r="D7" s="69" t="n"/>
      <c r="E7" s="69" t="n"/>
      <c r="F7" s="69" t="n"/>
      <c r="G7" s="69" t="n"/>
      <c r="H7" s="69" t="n"/>
    </row>
    <row r="8">
      <c r="A8" s="69" t="n"/>
      <c r="B8" s="69" t="n"/>
      <c r="C8" s="69" t="n"/>
      <c r="D8" s="69" t="n"/>
      <c r="E8" s="69" t="n"/>
      <c r="F8" s="69" t="n"/>
      <c r="G8" s="69" t="n"/>
      <c r="H8" s="69" t="n"/>
    </row>
    <row r="9">
      <c r="A9" s="69" t="n"/>
      <c r="B9" s="69" t="n"/>
      <c r="C9" s="69" t="n"/>
      <c r="D9" s="69" t="n"/>
      <c r="E9" s="69" t="n"/>
      <c r="F9" s="69" t="n"/>
      <c r="G9" s="69" t="n"/>
      <c r="H9" s="69" t="n"/>
    </row>
    <row r="10">
      <c r="A10" s="69" t="n"/>
      <c r="B10" s="69" t="n"/>
      <c r="C10" s="69" t="n"/>
      <c r="D10" s="69" t="n"/>
      <c r="E10" s="69" t="n"/>
      <c r="F10" s="69" t="n"/>
      <c r="G10" s="69" t="n"/>
      <c r="H10" s="69" t="n"/>
    </row>
    <row r="11">
      <c r="A11" s="69" t="n"/>
      <c r="B11" s="69" t="n"/>
      <c r="C11" s="69" t="n"/>
      <c r="D11" s="69" t="n"/>
      <c r="E11" s="69" t="n"/>
      <c r="F11" s="69" t="n"/>
      <c r="G11" s="69" t="n"/>
      <c r="H11" s="69" t="n"/>
    </row>
    <row r="12">
      <c r="A12" s="69" t="n"/>
      <c r="B12" s="69" t="n"/>
      <c r="C12" s="69" t="n"/>
      <c r="D12" s="69" t="n"/>
      <c r="E12" s="69" t="n"/>
      <c r="F12" s="69" t="n"/>
      <c r="G12" s="69" t="n"/>
      <c r="H12" s="69" t="n"/>
    </row>
    <row r="13">
      <c r="A13" s="69" t="n"/>
      <c r="B13" s="69" t="n"/>
      <c r="C13" s="69" t="n"/>
      <c r="D13" s="69" t="n"/>
      <c r="E13" s="69" t="n"/>
      <c r="F13" s="69" t="n"/>
      <c r="G13" s="69" t="n"/>
      <c r="H13" s="69" t="n"/>
    </row>
    <row r="14">
      <c r="A14" s="69" t="n"/>
      <c r="B14" s="69" t="n"/>
      <c r="C14" s="69" t="n"/>
      <c r="D14" s="69" t="n"/>
      <c r="E14" s="69" t="n"/>
      <c r="F14" s="69" t="n"/>
      <c r="G14" s="69" t="n"/>
      <c r="H14" s="69" t="n"/>
    </row>
    <row r="15">
      <c r="A15" s="69" t="n"/>
      <c r="B15" s="69" t="n"/>
      <c r="C15" s="69" t="n"/>
      <c r="D15" s="69" t="n"/>
      <c r="E15" s="69" t="n"/>
      <c r="F15" s="69" t="n"/>
      <c r="G15" s="69" t="n"/>
      <c r="H15" s="69" t="n"/>
    </row>
    <row r="16">
      <c r="A16" s="69" t="n"/>
      <c r="B16" s="69" t="n"/>
      <c r="C16" s="69" t="n"/>
      <c r="D16" s="69" t="n"/>
      <c r="E16" s="69" t="n"/>
      <c r="F16" s="69" t="n"/>
      <c r="G16" s="69" t="n"/>
      <c r="H16" s="69" t="n"/>
    </row>
    <row r="17">
      <c r="A17" s="69" t="n"/>
      <c r="B17" s="69" t="n"/>
      <c r="C17" s="69" t="n"/>
      <c r="D17" s="69" t="n"/>
      <c r="E17" s="69" t="n"/>
      <c r="F17" s="69" t="n"/>
      <c r="G17" s="69" t="n"/>
      <c r="H17" s="69" t="n"/>
    </row>
    <row r="18">
      <c r="A18" s="69" t="n"/>
      <c r="B18" s="69" t="n"/>
      <c r="C18" s="69" t="n"/>
      <c r="D18" s="69" t="n"/>
      <c r="E18" s="69" t="n"/>
      <c r="F18" s="69" t="n"/>
      <c r="G18" s="69" t="n"/>
      <c r="H18" s="69" t="n"/>
    </row>
    <row r="19">
      <c r="A19" s="69" t="n"/>
      <c r="B19" s="69" t="n"/>
      <c r="C19" s="69" t="n"/>
      <c r="D19" s="69" t="n"/>
      <c r="E19" s="69" t="n"/>
      <c r="F19" s="69" t="n"/>
      <c r="G19" s="69" t="n"/>
      <c r="H19" s="69" t="n"/>
    </row>
    <row r="20">
      <c r="A20" s="69" t="n"/>
      <c r="B20" s="69" t="n"/>
      <c r="C20" s="69" t="n"/>
      <c r="D20" s="69" t="n"/>
      <c r="E20" s="69" t="n"/>
      <c r="F20" s="69" t="n"/>
      <c r="G20" s="69" t="n"/>
      <c r="H20" s="69" t="n"/>
    </row>
    <row r="21">
      <c r="A21" s="69" t="n"/>
      <c r="B21" s="69" t="n"/>
      <c r="C21" s="69" t="n"/>
      <c r="D21" s="69" t="n"/>
      <c r="E21" s="69" t="n"/>
      <c r="F21" s="69" t="n"/>
      <c r="G21" s="69" t="n"/>
      <c r="H21" s="69" t="n"/>
    </row>
    <row r="22">
      <c r="A22" s="69" t="n"/>
      <c r="B22" s="69" t="n"/>
      <c r="C22" s="69" t="n"/>
      <c r="D22" s="69" t="n"/>
      <c r="E22" s="69" t="n"/>
      <c r="F22" s="69" t="n"/>
      <c r="G22" s="69" t="n"/>
      <c r="H22" s="69" t="n"/>
    </row>
    <row r="23">
      <c r="A23" s="69" t="n"/>
      <c r="B23" s="69" t="n"/>
      <c r="C23" s="69" t="n"/>
      <c r="D23" s="69" t="n"/>
      <c r="E23" s="69" t="n"/>
      <c r="F23" s="69" t="n"/>
      <c r="G23" s="69" t="n"/>
      <c r="H23" s="69" t="n"/>
    </row>
    <row r="24">
      <c r="A24" s="69" t="n"/>
      <c r="B24" s="69" t="n"/>
      <c r="C24" s="69" t="n"/>
      <c r="D24" s="69" t="n"/>
      <c r="E24" s="69" t="n"/>
      <c r="F24" s="69" t="n"/>
      <c r="G24" s="69" t="n"/>
      <c r="H24" s="69" t="n"/>
    </row>
    <row r="25">
      <c r="A25" s="69" t="n"/>
      <c r="B25" s="69" t="n"/>
      <c r="C25" s="69" t="n"/>
      <c r="D25" s="69" t="n"/>
      <c r="E25" s="69" t="n"/>
      <c r="F25" s="69" t="n"/>
      <c r="G25" s="69" t="n"/>
      <c r="H25" s="69" t="n"/>
    </row>
    <row r="26">
      <c r="A26" s="69" t="n"/>
      <c r="B26" s="69" t="n"/>
      <c r="C26" s="69" t="n"/>
      <c r="D26" s="69" t="n"/>
      <c r="E26" s="69" t="n"/>
      <c r="F26" s="69" t="n"/>
      <c r="G26" s="69" t="n"/>
      <c r="H26" s="69" t="n"/>
    </row>
    <row r="27">
      <c r="A27" s="69" t="n"/>
      <c r="B27" s="69" t="n"/>
      <c r="C27" s="69" t="n"/>
      <c r="D27" s="69" t="n"/>
      <c r="E27" s="69" t="n"/>
      <c r="F27" s="69" t="n"/>
      <c r="G27" s="69" t="n"/>
      <c r="H27" s="69" t="n"/>
    </row>
    <row r="28">
      <c r="A28" s="69" t="n"/>
      <c r="B28" s="69" t="n"/>
      <c r="C28" s="69" t="n"/>
      <c r="D28" s="69" t="n"/>
      <c r="E28" s="69" t="n"/>
      <c r="F28" s="69" t="n"/>
      <c r="G28" s="69" t="n"/>
      <c r="H28" s="69" t="n"/>
    </row>
    <row r="29">
      <c r="A29" s="69" t="n"/>
      <c r="B29" s="69" t="n"/>
      <c r="C29" s="69" t="n"/>
      <c r="D29" s="69" t="n"/>
      <c r="E29" s="69" t="n"/>
      <c r="F29" s="69" t="n"/>
      <c r="G29" s="69" t="n"/>
      <c r="H29" s="69" t="n"/>
    </row>
    <row r="30">
      <c r="A30" s="69" t="n"/>
      <c r="B30" s="69" t="n"/>
      <c r="C30" s="69" t="n"/>
      <c r="D30" s="69" t="n"/>
      <c r="E30" s="69" t="n"/>
      <c r="F30" s="69" t="n"/>
      <c r="G30" s="69" t="n"/>
      <c r="H30" s="69" t="n"/>
    </row>
    <row r="31">
      <c r="A31" s="69" t="n"/>
      <c r="B31" s="69" t="n"/>
      <c r="C31" s="69" t="n"/>
      <c r="D31" s="69" t="n"/>
      <c r="E31" s="69" t="n"/>
      <c r="F31" s="69" t="n"/>
      <c r="G31" s="69" t="n"/>
      <c r="H31" s="69" t="n"/>
    </row>
    <row r="32">
      <c r="A32" s="69" t="n"/>
      <c r="B32" s="69" t="n"/>
      <c r="C32" s="69" t="n"/>
      <c r="D32" s="69" t="n"/>
      <c r="E32" s="69" t="n"/>
      <c r="F32" s="69" t="n"/>
      <c r="G32" s="69" t="n"/>
      <c r="H32" s="69" t="n"/>
    </row>
    <row r="33">
      <c r="A33" s="69" t="n"/>
      <c r="B33" s="69" t="n"/>
      <c r="C33" s="69" t="n"/>
      <c r="D33" s="69" t="n"/>
      <c r="E33" s="69" t="n"/>
      <c r="F33" s="69" t="n"/>
      <c r="G33" s="69" t="n"/>
      <c r="H33" s="69" t="n"/>
    </row>
    <row r="34">
      <c r="A34" s="69" t="n"/>
      <c r="B34" s="69" t="n"/>
      <c r="C34" s="69" t="n"/>
      <c r="D34" s="69" t="n"/>
      <c r="E34" s="69" t="n"/>
      <c r="F34" s="69" t="n"/>
      <c r="G34" s="69" t="n"/>
      <c r="H34" s="69" t="n"/>
    </row>
    <row r="35">
      <c r="A35" s="69" t="n"/>
      <c r="B35" s="69" t="n"/>
      <c r="C35" s="69" t="n"/>
      <c r="D35" s="69" t="n"/>
      <c r="E35" s="69" t="n"/>
      <c r="F35" s="69" t="n"/>
      <c r="G35" s="69" t="n"/>
      <c r="H35" s="69" t="n"/>
    </row>
    <row r="36">
      <c r="A36" s="69" t="n"/>
      <c r="B36" s="69" t="n"/>
      <c r="C36" s="69" t="n"/>
      <c r="D36" s="69" t="n"/>
      <c r="E36" s="69" t="n"/>
      <c r="F36" s="69" t="n"/>
      <c r="G36" s="69" t="n"/>
      <c r="H36" s="69" t="n"/>
    </row>
    <row r="37">
      <c r="A37" s="69" t="n"/>
      <c r="B37" s="69" t="n"/>
      <c r="C37" s="69" t="n"/>
      <c r="D37" s="69" t="n"/>
      <c r="E37" s="69" t="n"/>
      <c r="F37" s="69" t="n"/>
      <c r="G37" s="69" t="n"/>
      <c r="H37" s="69" t="n"/>
    </row>
    <row r="38">
      <c r="A38" s="69" t="n"/>
      <c r="B38" s="69" t="n"/>
      <c r="C38" s="69" t="n"/>
      <c r="D38" s="69" t="n"/>
      <c r="E38" s="69" t="n"/>
      <c r="F38" s="69" t="n"/>
      <c r="G38" s="69" t="n"/>
      <c r="H38" s="69" t="n"/>
    </row>
    <row r="39">
      <c r="A39" s="69" t="n"/>
      <c r="B39" s="69" t="n"/>
      <c r="C39" s="69" t="n"/>
      <c r="D39" s="69" t="n"/>
      <c r="E39" s="69" t="n"/>
      <c r="F39" s="69" t="n"/>
      <c r="G39" s="69" t="n"/>
      <c r="H39" s="69" t="n"/>
    </row>
    <row r="40">
      <c r="A40" s="69" t="n"/>
      <c r="B40" s="69" t="n"/>
      <c r="C40" s="69" t="n"/>
      <c r="D40" s="69" t="n"/>
      <c r="E40" s="69" t="n"/>
      <c r="F40" s="69" t="n"/>
      <c r="G40" s="69" t="n"/>
      <c r="H40" s="69" t="n"/>
    </row>
    <row r="41">
      <c r="A41" s="69" t="n"/>
      <c r="B41" s="69" t="n"/>
      <c r="C41" s="69" t="n"/>
      <c r="D41" s="69" t="n"/>
      <c r="E41" s="69" t="n"/>
      <c r="F41" s="69" t="n"/>
      <c r="G41" s="69" t="n"/>
      <c r="H41" s="69" t="n"/>
    </row>
    <row r="42">
      <c r="A42" s="69" t="n"/>
      <c r="B42" s="69" t="n"/>
      <c r="C42" s="69" t="n"/>
      <c r="D42" s="69" t="n"/>
      <c r="E42" s="69" t="n"/>
      <c r="F42" s="69" t="n"/>
      <c r="G42" s="69" t="n"/>
      <c r="H42" s="69" t="n"/>
    </row>
    <row r="43">
      <c r="A43" s="69" t="n"/>
      <c r="B43" s="69" t="n"/>
      <c r="C43" s="69" t="n"/>
      <c r="D43" s="69" t="n"/>
      <c r="E43" s="69" t="n"/>
      <c r="F43" s="69" t="n"/>
      <c r="G43" s="69" t="n"/>
      <c r="H43" s="69" t="n"/>
    </row>
    <row r="44">
      <c r="A44" s="69" t="n"/>
      <c r="B44" s="69" t="n"/>
      <c r="C44" s="69" t="n"/>
      <c r="D44" s="69" t="n"/>
      <c r="E44" s="69" t="n"/>
      <c r="F44" s="69" t="n"/>
      <c r="G44" s="69" t="n"/>
      <c r="H44" s="69" t="n"/>
    </row>
    <row r="45">
      <c r="A45" s="69" t="n"/>
      <c r="B45" s="69" t="n"/>
      <c r="C45" s="69" t="n"/>
      <c r="D45" s="69" t="n"/>
      <c r="E45" s="69" t="n"/>
      <c r="F45" s="69" t="n"/>
      <c r="G45" s="69" t="n"/>
      <c r="H45" s="69" t="n"/>
    </row>
    <row r="46">
      <c r="A46" s="69" t="n"/>
      <c r="B46" s="69" t="n"/>
      <c r="C46" s="69" t="n"/>
      <c r="D46" s="69" t="n"/>
      <c r="E46" s="69" t="n"/>
      <c r="F46" s="69" t="n"/>
      <c r="G46" s="69" t="n"/>
      <c r="H46" s="69" t="n"/>
    </row>
    <row r="47">
      <c r="A47" s="69" t="n"/>
      <c r="B47" s="69" t="n"/>
      <c r="C47" s="69" t="n"/>
      <c r="D47" s="69" t="n"/>
      <c r="E47" s="69" t="n"/>
      <c r="F47" s="69" t="n"/>
      <c r="G47" s="69" t="n"/>
      <c r="H47" s="69" t="n"/>
    </row>
    <row r="48">
      <c r="A48" s="69" t="n"/>
      <c r="B48" s="69" t="n"/>
      <c r="C48" s="69" t="n"/>
      <c r="D48" s="69" t="n"/>
      <c r="E48" s="69" t="n"/>
      <c r="F48" s="69" t="n"/>
      <c r="G48" s="69" t="n"/>
      <c r="H48" s="69" t="n"/>
    </row>
    <row r="49">
      <c r="A49" s="69" t="n"/>
      <c r="B49" s="69" t="n"/>
      <c r="C49" s="69" t="n"/>
      <c r="D49" s="69" t="n"/>
      <c r="E49" s="69" t="n"/>
      <c r="F49" s="69" t="n"/>
      <c r="G49" s="69" t="n"/>
      <c r="H49" s="69" t="n"/>
    </row>
    <row r="50">
      <c r="A50" s="69" t="n"/>
      <c r="B50" s="69" t="n"/>
      <c r="C50" s="69" t="n"/>
      <c r="D50" s="69" t="n"/>
      <c r="E50" s="69" t="n"/>
      <c r="F50" s="69" t="n"/>
      <c r="G50" s="69" t="n"/>
      <c r="H50" s="69" t="n"/>
    </row>
    <row r="51">
      <c r="A51" s="69" t="n"/>
      <c r="B51" s="69" t="n"/>
      <c r="C51" s="69" t="n"/>
      <c r="D51" s="69" t="n"/>
      <c r="E51" s="69" t="n"/>
      <c r="F51" s="69" t="n"/>
      <c r="G51" s="69" t="n"/>
      <c r="H51" s="69" t="n"/>
    </row>
    <row r="52">
      <c r="A52" s="69" t="n"/>
      <c r="B52" s="69" t="n"/>
      <c r="C52" s="69" t="n"/>
      <c r="D52" s="69" t="n"/>
      <c r="E52" s="69" t="n"/>
      <c r="F52" s="69" t="n"/>
      <c r="G52" s="69" t="n"/>
      <c r="H52" s="69" t="n"/>
    </row>
    <row r="53">
      <c r="A53" s="69" t="n"/>
      <c r="B53" s="69" t="n"/>
      <c r="C53" s="69" t="n"/>
      <c r="D53" s="69" t="n"/>
      <c r="E53" s="69" t="n"/>
      <c r="F53" s="69" t="n"/>
      <c r="G53" s="69" t="n"/>
      <c r="H53" s="69" t="n"/>
    </row>
    <row r="54">
      <c r="A54" s="69" t="n"/>
      <c r="B54" s="69" t="n"/>
      <c r="C54" s="69" t="n"/>
      <c r="D54" s="69" t="n"/>
      <c r="E54" s="69" t="n"/>
      <c r="F54" s="69" t="n"/>
      <c r="G54" s="69" t="n"/>
      <c r="H54" s="69" t="n"/>
    </row>
    <row r="55">
      <c r="A55" s="69" t="n"/>
      <c r="B55" s="69" t="n"/>
      <c r="C55" s="69" t="n"/>
      <c r="D55" s="69" t="n"/>
      <c r="E55" s="69" t="n"/>
      <c r="F55" s="69" t="n"/>
      <c r="G55" s="69" t="n"/>
      <c r="H55" s="69" t="n"/>
    </row>
    <row r="56">
      <c r="A56" s="69" t="n"/>
      <c r="B56" s="69" t="n"/>
      <c r="C56" s="69" t="n"/>
      <c r="D56" s="69" t="n"/>
      <c r="E56" s="69" t="n"/>
      <c r="F56" s="69" t="n"/>
      <c r="G56" s="69" t="n"/>
      <c r="H56" s="69" t="n"/>
    </row>
    <row r="57">
      <c r="A57" s="69" t="n"/>
      <c r="B57" s="69" t="n"/>
      <c r="C57" s="69" t="n"/>
      <c r="D57" s="69" t="n"/>
      <c r="E57" s="69" t="n"/>
      <c r="F57" s="69" t="n"/>
      <c r="G57" s="69" t="n"/>
      <c r="H57" s="69" t="n"/>
    </row>
    <row r="58">
      <c r="A58" s="69" t="n"/>
      <c r="B58" s="69" t="n"/>
      <c r="C58" s="69" t="n"/>
      <c r="D58" s="69" t="n"/>
      <c r="E58" s="69" t="n"/>
      <c r="F58" s="69" t="n"/>
      <c r="G58" s="69" t="n"/>
      <c r="H58" s="69" t="n"/>
    </row>
    <row r="59">
      <c r="A59" s="69" t="n"/>
      <c r="B59" s="69" t="n"/>
      <c r="C59" s="69" t="n"/>
      <c r="D59" s="69" t="n"/>
      <c r="E59" s="69" t="n"/>
      <c r="F59" s="69" t="n"/>
      <c r="G59" s="69" t="n"/>
      <c r="H59" s="69" t="n"/>
    </row>
    <row r="60">
      <c r="A60" s="69" t="n"/>
      <c r="B60" s="69" t="n"/>
      <c r="C60" s="69" t="n"/>
      <c r="D60" s="69" t="n"/>
      <c r="E60" s="69" t="n"/>
      <c r="F60" s="69" t="n"/>
      <c r="G60" s="69" t="n"/>
      <c r="H60" s="69" t="n"/>
    </row>
    <row r="61">
      <c r="A61" s="69" t="n"/>
      <c r="B61" s="69" t="n"/>
      <c r="C61" s="69" t="n"/>
      <c r="D61" s="69" t="n"/>
      <c r="E61" s="69" t="n"/>
      <c r="F61" s="69" t="n"/>
      <c r="G61" s="69" t="n"/>
      <c r="H61" s="69" t="n"/>
    </row>
    <row r="62">
      <c r="A62" s="69" t="n"/>
      <c r="B62" s="69" t="n"/>
      <c r="C62" s="69" t="n"/>
      <c r="D62" s="69" t="n"/>
      <c r="E62" s="69" t="n"/>
      <c r="F62" s="69" t="n"/>
      <c r="G62" s="69" t="n"/>
      <c r="H62" s="69" t="n"/>
    </row>
    <row r="63">
      <c r="A63" s="69" t="n"/>
      <c r="B63" s="69" t="n"/>
      <c r="C63" s="69" t="n"/>
      <c r="D63" s="69" t="n"/>
      <c r="E63" s="69" t="n"/>
      <c r="F63" s="69" t="n"/>
      <c r="G63" s="69" t="n"/>
      <c r="H63" s="69" t="n"/>
    </row>
    <row r="64">
      <c r="A64" s="69" t="n"/>
      <c r="B64" s="69" t="n"/>
      <c r="C64" s="69" t="n"/>
      <c r="D64" s="69" t="n"/>
      <c r="E64" s="69" t="n"/>
      <c r="F64" s="69" t="n"/>
      <c r="G64" s="69" t="n"/>
      <c r="H64" s="69" t="n"/>
    </row>
    <row r="65">
      <c r="A65" s="69" t="n"/>
      <c r="B65" s="69" t="n"/>
      <c r="C65" s="69" t="n"/>
      <c r="D65" s="69" t="n"/>
      <c r="E65" s="69" t="n"/>
      <c r="F65" s="69" t="n"/>
      <c r="G65" s="69" t="n"/>
      <c r="H65" s="69" t="n"/>
    </row>
  </sheetData>
  <mergeCells count="1">
    <mergeCell ref="A2:H2"/>
  </mergeCells>
  <conditionalFormatting sqref="D6:D66">
    <cfRule type="expression" priority="1" dxfId="9">
      <formula>D6="Critical"</formula>
    </cfRule>
    <cfRule type="expression" priority="2" dxfId="10">
      <formula>D6="High"</formula>
    </cfRule>
    <cfRule type="expression" priority="3" dxfId="11">
      <formula>D6="Medium"</formula>
    </cfRule>
  </conditionalFormatting>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Z21"/>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style="19" min="1" max="1"/>
    <col width="13" customWidth="1" style="19" min="2" max="2"/>
    <col width="28" customWidth="1" style="19" min="3" max="3"/>
    <col width="45" customWidth="1" style="19" min="4" max="4"/>
    <col width="22" customWidth="1" style="19" min="5" max="5"/>
    <col width="28" customWidth="1" style="19" min="6" max="6"/>
    <col width="30" customWidth="1" style="19" min="7" max="7"/>
    <col width="10" customWidth="1" style="19" min="8" max="8"/>
    <col width="9" customWidth="1" style="19" min="9" max="9"/>
    <col width="20" customWidth="1" style="19" min="10" max="10"/>
    <col width="10" customWidth="1" style="19" min="11" max="11"/>
    <col width="10" customWidth="1" style="19" min="12" max="12"/>
    <col width="10" customWidth="1" style="19" min="13" max="13"/>
    <col width="10" customWidth="1" style="19" min="14" max="14"/>
    <col width="8" customWidth="1" style="19" min="15" max="15"/>
    <col width="9" customWidth="1" style="19" min="16" max="16"/>
    <col width="7" customWidth="1" style="19" min="17" max="17"/>
    <col width="7" customWidth="1" style="19" min="18" max="18"/>
    <col width="7" customWidth="1" style="19" min="19" max="19"/>
    <col width="9" customWidth="1" style="19" min="20" max="20"/>
    <col width="8" customWidth="1" style="19" min="21" max="21"/>
    <col width="16" customWidth="1" style="19" min="22" max="22"/>
    <col width="9" customWidth="1" style="19" min="23" max="23"/>
    <col width="9" customWidth="1" style="19" min="24" max="24"/>
    <col width="10" customWidth="1" style="19" min="25" max="25"/>
    <col width="40" customWidth="1" style="19" min="26" max="26"/>
  </cols>
  <sheetData>
    <row r="1" ht="25.5" customHeight="1" s="19">
      <c r="A1" s="63" t="inlineStr">
        <is>
          <t>Threat Library (catalog — maintained centrally)</t>
        </is>
      </c>
      <c r="B1" s="64" t="n"/>
      <c r="C1" s="64" t="n"/>
      <c r="D1" s="64" t="n"/>
      <c r="E1" s="64" t="n"/>
      <c r="F1" s="64" t="n"/>
      <c r="G1" s="64" t="n"/>
      <c r="H1" s="64" t="n"/>
      <c r="I1" s="64" t="n"/>
      <c r="J1" s="64" t="n"/>
      <c r="K1" s="64" t="n"/>
      <c r="L1" s="64" t="n"/>
      <c r="M1" s="64" t="n"/>
      <c r="N1" s="64" t="n"/>
      <c r="O1" s="64" t="n"/>
      <c r="P1" s="64" t="n"/>
      <c r="Q1" s="64" t="n"/>
      <c r="R1" s="64" t="n"/>
      <c r="S1" s="64" t="n"/>
      <c r="T1" s="64" t="n"/>
      <c r="U1" s="64" t="n"/>
      <c r="V1" s="64" t="n"/>
      <c r="W1" s="64" t="n"/>
      <c r="X1" s="64" t="n"/>
      <c r="Y1" s="64" t="n"/>
      <c r="Z1" s="64" t="n"/>
    </row>
    <row r="2" ht="45" customHeight="1" s="19">
      <c r="A2" s="65" t="inlineStr">
        <is>
          <t>One row per threat. Maintained by Security in the master template only (unprotect the sheet first: Review &gt; Unprotect Sheet, no password). Yellow = input; the 'Applicability formula' column is a live formula returning TRUE/FALSE from characterization keys. Grey columns are calculated. Seeded content is Draft — review before use.</t>
        </is>
      </c>
    </row>
    <row r="3"/>
    <row r="4">
      <c r="A4" s="68" t="inlineStr">
        <is>
          <t>Threat ID</t>
        </is>
      </c>
      <c r="B4" s="68" t="inlineStr">
        <is>
          <t>STRIDE</t>
        </is>
      </c>
      <c r="C4" s="68" t="inlineStr">
        <is>
          <t>Title</t>
        </is>
      </c>
      <c r="D4" s="68" t="inlineStr">
        <is>
          <t>Description</t>
        </is>
      </c>
      <c r="E4" s="68" t="inlineStr">
        <is>
          <t>Archetypes</t>
        </is>
      </c>
      <c r="F4" s="68" t="inlineStr">
        <is>
          <t>Applicability condition</t>
        </is>
      </c>
      <c r="G4" s="68" t="inlineStr">
        <is>
          <t>Applicability formula</t>
        </is>
      </c>
      <c r="H4" s="68" t="inlineStr">
        <is>
          <t>Archetype match</t>
        </is>
      </c>
      <c r="I4" s="68" t="inlineStr">
        <is>
          <t>Applies</t>
        </is>
      </c>
      <c r="J4" s="68" t="inlineStr">
        <is>
          <t>References</t>
        </is>
      </c>
      <c r="K4" s="68" t="inlineStr">
        <is>
          <t>Likelihood</t>
        </is>
      </c>
      <c r="L4" s="68" t="inlineStr">
        <is>
          <t>Impact</t>
        </is>
      </c>
      <c r="M4" s="68" t="inlineStr">
        <is>
          <t>Base risk</t>
        </is>
      </c>
      <c r="N4" s="68" t="inlineStr">
        <is>
          <t>Risk</t>
        </is>
      </c>
      <c r="O4" s="68" t="inlineStr">
        <is>
          <t>Risk score</t>
        </is>
      </c>
      <c r="P4" s="68" t="inlineStr">
        <is>
          <t>Controls linked</t>
        </is>
      </c>
      <c r="Q4" s="68" t="inlineStr">
        <is>
          <t>Full</t>
        </is>
      </c>
      <c r="R4" s="68" t="inlineStr">
        <is>
          <t>Partial</t>
        </is>
      </c>
      <c r="S4" s="68" t="inlineStr">
        <is>
          <t>Gap</t>
        </is>
      </c>
      <c r="T4" s="68" t="inlineStr">
        <is>
          <t>Not assessed</t>
        </is>
      </c>
      <c r="U4" s="68" t="inlineStr">
        <is>
          <t>NA controls</t>
        </is>
      </c>
      <c r="V4" s="68" t="inlineStr">
        <is>
          <t>Mitigation status</t>
        </is>
      </c>
      <c r="W4" s="68" t="inlineStr">
        <is>
          <t>Detections linked</t>
        </is>
      </c>
      <c r="X4" s="68" t="inlineStr">
        <is>
          <t>Archetypes valid</t>
        </is>
      </c>
      <c r="Y4" s="68" t="inlineStr">
        <is>
          <t>Review status</t>
        </is>
      </c>
      <c r="Z4" s="68" t="inlineStr">
        <is>
          <t>Notes</t>
        </is>
      </c>
    </row>
    <row r="5" ht="36" customHeight="1" s="19">
      <c r="A5" s="70" t="inlineStr">
        <is>
          <t>TM-S-001</t>
        </is>
      </c>
      <c r="B5" s="70" t="inlineStr">
        <is>
          <t>Spoofing</t>
        </is>
      </c>
      <c r="C5" s="70" t="inlineStr">
        <is>
          <t>Credential stuffing on the public login</t>
        </is>
      </c>
      <c r="D5" s="70" t="inlineStr">
        <is>
          <t>An attacker replays leaked username/password pairs or guesses passwords against the internet-facing login and takes over user accounts.</t>
        </is>
      </c>
      <c r="E5" s="70" t="inlineStr">
        <is>
          <t>All</t>
        </is>
      </c>
      <c r="F5" s="70" t="inlineStr">
        <is>
          <t>Internet-facing and keeps its own usernames/passwords</t>
        </is>
      </c>
      <c r="G5" s="70">
        <f>AND(EXPOSURE="Public internet",AUTH_LOCAL_CREDENTIALS="Yes")</f>
        <v/>
      </c>
      <c r="H5"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5" s="71">
        <f>IF(ISERROR(tblThreats[[#This Row],[Applicability formula]]),"Error",IF(AND(tblThreats[[#This Row],[Archetype match]],tblThreats[[#This Row],[Applicability formula]]=TRUE),"Applies","N/A"))</f>
        <v/>
      </c>
      <c r="J5" s="70" t="inlineStr">
        <is>
          <t>CAPEC-600; ATT&amp;CK T1110.004</t>
        </is>
      </c>
      <c r="K5" s="70" t="inlineStr">
        <is>
          <t>High</t>
        </is>
      </c>
      <c r="L5" s="70" t="inlineStr">
        <is>
          <t>High</t>
        </is>
      </c>
      <c r="M5" s="71">
        <f>IFERROR(INDEX(BASE_RISK_MATRIX,MATCH(tblThreats[[#This Row],[Impact]],BASE_RISK_ROWS,0),MATCH(tblThreats[[#This Row],[Likelihood]],BASE_RISK_COLS,0)),"")</f>
        <v/>
      </c>
      <c r="N5" s="71">
        <f>IF(tblThreats[[#This Row],[Applies]]&lt;&gt;"Applies","N/A",IFERROR(INDEX(FINAL_RISK_MATRIX,MATCH(tblThreats[[#This Row],[Base risk]],FINAL_RISK_ROWS,0),MATCH(APP_RISK_TIER,FINAL_RISK_COLS,0)),""))</f>
        <v/>
      </c>
      <c r="O5" s="71">
        <f>IFERROR(MATCH(tblThreats[[#This Row],[Risk]],RISK_SCALE_NAMES,0),0)</f>
        <v/>
      </c>
      <c r="P5" s="71">
        <f>COUNTIF(tblThreatControls[Threat ID],tblThreats[[#This Row],[Threat ID]])</f>
        <v/>
      </c>
      <c r="Q5" s="71">
        <f>COUNTIFS(tblThreatControls[Threat ID],tblThreats[[#This Row],[Threat ID]],tblThreatControls[Coverage status],"Full coverage")</f>
        <v/>
      </c>
      <c r="R5" s="71">
        <f>COUNTIFS(tblThreatControls[Threat ID],tblThreats[[#This Row],[Threat ID]],tblThreatControls[Coverage status],"Partial coverage")</f>
        <v/>
      </c>
      <c r="S5" s="71">
        <f>COUNTIFS(tblThreatControls[Threat ID],tblThreats[[#This Row],[Threat ID]],tblThreatControls[Coverage status],"Gap")</f>
        <v/>
      </c>
      <c r="T5" s="71">
        <f>COUNTIFS(tblThreatControls[Threat ID],tblThreats[[#This Row],[Threat ID]],tblThreatControls[Coverage status],"Not assessed")</f>
        <v/>
      </c>
      <c r="U5" s="71">
        <f>COUNTIFS(tblThreatControls[Threat ID],tblThreats[[#This Row],[Threat ID]],tblThreatControls[Coverage status],"N/A")</f>
        <v/>
      </c>
      <c r="V5"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5" s="71">
        <f>COUNTIF(tblThreatDetections[Threat ID],tblThreats[[#This Row],[Threat ID]])</f>
        <v/>
      </c>
      <c r="X5" s="71">
        <f>IF(TRIM(tblThreats[[#This Row],[Archetypes]])="All","Yes",IF(SUMPRODUCT(--(ARCHETYPE_IDS&lt;&gt;""),--ISNUMBER(SEARCH(";"&amp;ARCHETYPE_IDS&amp;";",";"&amp;SUBSTITUTE(tblThreats[[#This Row],[Archetypes]]," ","")&amp;";")))=LEN(SUBSTITUTE(tblThreats[[#This Row],[Archetypes]]," ",""))-LEN(SUBSTITUTE(SUBSTITUTE(tblThreats[[#This Row],[Archetypes]]," ",""),";",""))+1,"Yes","No"))</f>
        <v/>
      </c>
      <c r="Y5" s="70" t="inlineStr">
        <is>
          <t>Draft</t>
        </is>
      </c>
      <c r="Z5" s="70" t="inlineStr"/>
    </row>
    <row r="6" ht="36" customHeight="1" s="19">
      <c r="A6" s="70" t="inlineStr">
        <is>
          <t>TM-S-002</t>
        </is>
      </c>
      <c r="B6" s="70" t="inlineStr">
        <is>
          <t>Spoofing</t>
        </is>
      </c>
      <c r="C6" s="70" t="inlineStr">
        <is>
          <t>Administration console reachable from the internet</t>
        </is>
      </c>
      <c r="D6" s="70" t="inlineStr">
        <is>
          <t>The admin interface is exposed to the internet, so anyone can attack the most privileged login of the application directly.</t>
        </is>
      </c>
      <c r="E6" s="70" t="inlineStr">
        <is>
          <t>All</t>
        </is>
      </c>
      <c r="F6" s="70" t="inlineStr">
        <is>
          <t>Has an admin interface reachable from the internet</t>
        </is>
      </c>
      <c r="G6" s="70">
        <f>AND(ADMIN_INTERFACE="Yes",ADMIN_INTERFACE_REACH="Internet")</f>
        <v/>
      </c>
      <c r="H6"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6" s="71">
        <f>IF(ISERROR(tblThreats[[#This Row],[Applicability formula]]),"Error",IF(AND(tblThreats[[#This Row],[Archetype match]],tblThreats[[#This Row],[Applicability formula]]=TRUE),"Applies","N/A"))</f>
        <v/>
      </c>
      <c r="J6" s="70" t="inlineStr">
        <is>
          <t>ATT&amp;CK T1133; ATT&amp;CK T1078</t>
        </is>
      </c>
      <c r="K6" s="70" t="inlineStr">
        <is>
          <t>Medium</t>
        </is>
      </c>
      <c r="L6" s="70" t="inlineStr">
        <is>
          <t>High</t>
        </is>
      </c>
      <c r="M6" s="71">
        <f>IFERROR(INDEX(BASE_RISK_MATRIX,MATCH(tblThreats[[#This Row],[Impact]],BASE_RISK_ROWS,0),MATCH(tblThreats[[#This Row],[Likelihood]],BASE_RISK_COLS,0)),"")</f>
        <v/>
      </c>
      <c r="N6" s="71">
        <f>IF(tblThreats[[#This Row],[Applies]]&lt;&gt;"Applies","N/A",IFERROR(INDEX(FINAL_RISK_MATRIX,MATCH(tblThreats[[#This Row],[Base risk]],FINAL_RISK_ROWS,0),MATCH(APP_RISK_TIER,FINAL_RISK_COLS,0)),""))</f>
        <v/>
      </c>
      <c r="O6" s="71">
        <f>IFERROR(MATCH(tblThreats[[#This Row],[Risk]],RISK_SCALE_NAMES,0),0)</f>
        <v/>
      </c>
      <c r="P6" s="71">
        <f>COUNTIF(tblThreatControls[Threat ID],tblThreats[[#This Row],[Threat ID]])</f>
        <v/>
      </c>
      <c r="Q6" s="71">
        <f>COUNTIFS(tblThreatControls[Threat ID],tblThreats[[#This Row],[Threat ID]],tblThreatControls[Coverage status],"Full coverage")</f>
        <v/>
      </c>
      <c r="R6" s="71">
        <f>COUNTIFS(tblThreatControls[Threat ID],tblThreats[[#This Row],[Threat ID]],tblThreatControls[Coverage status],"Partial coverage")</f>
        <v/>
      </c>
      <c r="S6" s="71">
        <f>COUNTIFS(tblThreatControls[Threat ID],tblThreats[[#This Row],[Threat ID]],tblThreatControls[Coverage status],"Gap")</f>
        <v/>
      </c>
      <c r="T6" s="71">
        <f>COUNTIFS(tblThreatControls[Threat ID],tblThreats[[#This Row],[Threat ID]],tblThreatControls[Coverage status],"Not assessed")</f>
        <v/>
      </c>
      <c r="U6" s="71">
        <f>COUNTIFS(tblThreatControls[Threat ID],tblThreats[[#This Row],[Threat ID]],tblThreatControls[Coverage status],"N/A")</f>
        <v/>
      </c>
      <c r="V6"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6" s="71">
        <f>COUNTIF(tblThreatDetections[Threat ID],tblThreats[[#This Row],[Threat ID]])</f>
        <v/>
      </c>
      <c r="X6" s="71">
        <f>IF(TRIM(tblThreats[[#This Row],[Archetypes]])="All","Yes",IF(SUMPRODUCT(--(ARCHETYPE_IDS&lt;&gt;""),--ISNUMBER(SEARCH(";"&amp;ARCHETYPE_IDS&amp;";",";"&amp;SUBSTITUTE(tblThreats[[#This Row],[Archetypes]]," ","")&amp;";")))=LEN(SUBSTITUTE(tblThreats[[#This Row],[Archetypes]]," ",""))-LEN(SUBSTITUTE(SUBSTITUTE(tblThreats[[#This Row],[Archetypes]]," ",""),";",""))+1,"Yes","No"))</f>
        <v/>
      </c>
      <c r="Y6" s="70" t="inlineStr">
        <is>
          <t>Draft</t>
        </is>
      </c>
      <c r="Z6" s="70" t="inlineStr"/>
    </row>
    <row r="7" ht="36" customHeight="1" s="19">
      <c r="A7" s="70" t="inlineStr">
        <is>
          <t>TM-S-003</t>
        </is>
      </c>
      <c r="B7" s="70" t="inlineStr">
        <is>
          <t>Spoofing</t>
        </is>
      </c>
      <c r="C7" s="70" t="inlineStr">
        <is>
          <t>Default vendor accounts still active</t>
        </is>
      </c>
      <c r="D7" s="70" t="inlineStr">
        <is>
          <t>The product still has vendor default accounts or passwords, which are publicly documented and let an attacker log in without any effort.</t>
        </is>
      </c>
      <c r="E7" s="70" t="inlineStr">
        <is>
          <t>ARCH-COTS-HOSTED-WEB; ARCH-COTS-CUSTOMIZED; ARCH-VENDOR-APPLIANCE</t>
        </is>
      </c>
      <c r="F7" s="70" t="inlineStr">
        <is>
          <t>Vendor product and default accounts not confirmed as changed/disabled</t>
        </is>
      </c>
      <c r="G7" s="70">
        <f>AND(IS_COTS,DEFAULT_CREDENTIALS_CHANGED&lt;&gt;"Yes")</f>
        <v/>
      </c>
      <c r="H7"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7" s="71">
        <f>IF(ISERROR(tblThreats[[#This Row],[Applicability formula]]),"Error",IF(AND(tblThreats[[#This Row],[Archetype match]],tblThreats[[#This Row],[Applicability formula]]=TRUE),"Applies","N/A"))</f>
        <v/>
      </c>
      <c r="J7" s="70" t="inlineStr">
        <is>
          <t>CAPEC-70; ATT&amp;CK T1078.001</t>
        </is>
      </c>
      <c r="K7" s="70" t="inlineStr">
        <is>
          <t>High</t>
        </is>
      </c>
      <c r="L7" s="70" t="inlineStr">
        <is>
          <t>High</t>
        </is>
      </c>
      <c r="M7" s="71">
        <f>IFERROR(INDEX(BASE_RISK_MATRIX,MATCH(tblThreats[[#This Row],[Impact]],BASE_RISK_ROWS,0),MATCH(tblThreats[[#This Row],[Likelihood]],BASE_RISK_COLS,0)),"")</f>
        <v/>
      </c>
      <c r="N7" s="71">
        <f>IF(tblThreats[[#This Row],[Applies]]&lt;&gt;"Applies","N/A",IFERROR(INDEX(FINAL_RISK_MATRIX,MATCH(tblThreats[[#This Row],[Base risk]],FINAL_RISK_ROWS,0),MATCH(APP_RISK_TIER,FINAL_RISK_COLS,0)),""))</f>
        <v/>
      </c>
      <c r="O7" s="71">
        <f>IFERROR(MATCH(tblThreats[[#This Row],[Risk]],RISK_SCALE_NAMES,0),0)</f>
        <v/>
      </c>
      <c r="P7" s="71">
        <f>COUNTIF(tblThreatControls[Threat ID],tblThreats[[#This Row],[Threat ID]])</f>
        <v/>
      </c>
      <c r="Q7" s="71">
        <f>COUNTIFS(tblThreatControls[Threat ID],tblThreats[[#This Row],[Threat ID]],tblThreatControls[Coverage status],"Full coverage")</f>
        <v/>
      </c>
      <c r="R7" s="71">
        <f>COUNTIFS(tblThreatControls[Threat ID],tblThreats[[#This Row],[Threat ID]],tblThreatControls[Coverage status],"Partial coverage")</f>
        <v/>
      </c>
      <c r="S7" s="71">
        <f>COUNTIFS(tblThreatControls[Threat ID],tblThreats[[#This Row],[Threat ID]],tblThreatControls[Coverage status],"Gap")</f>
        <v/>
      </c>
      <c r="T7" s="71">
        <f>COUNTIFS(tblThreatControls[Threat ID],tblThreats[[#This Row],[Threat ID]],tblThreatControls[Coverage status],"Not assessed")</f>
        <v/>
      </c>
      <c r="U7" s="71">
        <f>COUNTIFS(tblThreatControls[Threat ID],tblThreats[[#This Row],[Threat ID]],tblThreatControls[Coverage status],"N/A")</f>
        <v/>
      </c>
      <c r="V7"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7" s="71">
        <f>COUNTIF(tblThreatDetections[Threat ID],tblThreats[[#This Row],[Threat ID]])</f>
        <v/>
      </c>
      <c r="X7" s="71">
        <f>IF(TRIM(tblThreats[[#This Row],[Archetypes]])="All","Yes",IF(SUMPRODUCT(--(ARCHETYPE_IDS&lt;&gt;""),--ISNUMBER(SEARCH(";"&amp;ARCHETYPE_IDS&amp;";",";"&amp;SUBSTITUTE(tblThreats[[#This Row],[Archetypes]]," ","")&amp;";")))=LEN(SUBSTITUTE(tblThreats[[#This Row],[Archetypes]]," ",""))-LEN(SUBSTITUTE(SUBSTITUTE(tblThreats[[#This Row],[Archetypes]]," ",""),";",""))+1,"Yes","No"))</f>
        <v/>
      </c>
      <c r="Y7" s="70" t="inlineStr">
        <is>
          <t>Draft</t>
        </is>
      </c>
      <c r="Z7" s="70" t="inlineStr"/>
    </row>
    <row r="8" ht="36" customHeight="1" s="19">
      <c r="A8" s="70" t="inlineStr">
        <is>
          <t>TM-S-004</t>
        </is>
      </c>
      <c r="B8" s="70" t="inlineStr">
        <is>
          <t>Spoofing</t>
        </is>
      </c>
      <c r="C8" s="70" t="inlineStr">
        <is>
          <t>Weak or missing API authentication</t>
        </is>
      </c>
      <c r="D8" s="70" t="inlineStr">
        <is>
          <t>Systems call the API with no authentication, a static API key or Basic auth; a leaked or guessed secret gives full API access.</t>
        </is>
      </c>
      <c r="E8" s="70" t="inlineStr">
        <is>
          <t>All</t>
        </is>
      </c>
      <c r="F8" s="70" t="inlineStr">
        <is>
          <t>Exposes an API authenticated by Basic auth, a static API key or nothing</t>
        </is>
      </c>
      <c r="G8" s="70">
        <f>AND(API_EXPOSED="Yes",OR(API_AUTH="Basic auth",API_AUTH="No authentication",API_AUTH="API key"))</f>
        <v/>
      </c>
      <c r="H8"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8" s="71">
        <f>IF(ISERROR(tblThreats[[#This Row],[Applicability formula]]),"Error",IF(AND(tblThreats[[#This Row],[Archetype match]],tblThreats[[#This Row],[Applicability formula]]=TRUE),"Applies","N/A"))</f>
        <v/>
      </c>
      <c r="J8" s="70" t="inlineStr">
        <is>
          <t>CAPEC-115; ATT&amp;CK T1078</t>
        </is>
      </c>
      <c r="K8" s="70" t="inlineStr">
        <is>
          <t>Medium</t>
        </is>
      </c>
      <c r="L8" s="70" t="inlineStr">
        <is>
          <t>High</t>
        </is>
      </c>
      <c r="M8" s="71">
        <f>IFERROR(INDEX(BASE_RISK_MATRIX,MATCH(tblThreats[[#This Row],[Impact]],BASE_RISK_ROWS,0),MATCH(tblThreats[[#This Row],[Likelihood]],BASE_RISK_COLS,0)),"")</f>
        <v/>
      </c>
      <c r="N8" s="71">
        <f>IF(tblThreats[[#This Row],[Applies]]&lt;&gt;"Applies","N/A",IFERROR(INDEX(FINAL_RISK_MATRIX,MATCH(tblThreats[[#This Row],[Base risk]],FINAL_RISK_ROWS,0),MATCH(APP_RISK_TIER,FINAL_RISK_COLS,0)),""))</f>
        <v/>
      </c>
      <c r="O8" s="71">
        <f>IFERROR(MATCH(tblThreats[[#This Row],[Risk]],RISK_SCALE_NAMES,0),0)</f>
        <v/>
      </c>
      <c r="P8" s="71">
        <f>COUNTIF(tblThreatControls[Threat ID],tblThreats[[#This Row],[Threat ID]])</f>
        <v/>
      </c>
      <c r="Q8" s="71">
        <f>COUNTIFS(tblThreatControls[Threat ID],tblThreats[[#This Row],[Threat ID]],tblThreatControls[Coverage status],"Full coverage")</f>
        <v/>
      </c>
      <c r="R8" s="71">
        <f>COUNTIFS(tblThreatControls[Threat ID],tblThreats[[#This Row],[Threat ID]],tblThreatControls[Coverage status],"Partial coverage")</f>
        <v/>
      </c>
      <c r="S8" s="71">
        <f>COUNTIFS(tblThreatControls[Threat ID],tblThreats[[#This Row],[Threat ID]],tblThreatControls[Coverage status],"Gap")</f>
        <v/>
      </c>
      <c r="T8" s="71">
        <f>COUNTIFS(tblThreatControls[Threat ID],tblThreats[[#This Row],[Threat ID]],tblThreatControls[Coverage status],"Not assessed")</f>
        <v/>
      </c>
      <c r="U8" s="71">
        <f>COUNTIFS(tblThreatControls[Threat ID],tblThreats[[#This Row],[Threat ID]],tblThreatControls[Coverage status],"N/A")</f>
        <v/>
      </c>
      <c r="V8"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8" s="71">
        <f>COUNTIF(tblThreatDetections[Threat ID],tblThreats[[#This Row],[Threat ID]])</f>
        <v/>
      </c>
      <c r="X8" s="71">
        <f>IF(TRIM(tblThreats[[#This Row],[Archetypes]])="All","Yes",IF(SUMPRODUCT(--(ARCHETYPE_IDS&lt;&gt;""),--ISNUMBER(SEARCH(";"&amp;ARCHETYPE_IDS&amp;";",";"&amp;SUBSTITUTE(tblThreats[[#This Row],[Archetypes]]," ","")&amp;";")))=LEN(SUBSTITUTE(tblThreats[[#This Row],[Archetypes]]," ",""))-LEN(SUBSTITUTE(SUBSTITUTE(tblThreats[[#This Row],[Archetypes]]," ",""),";",""))+1,"Yes","No"))</f>
        <v/>
      </c>
      <c r="Y8" s="70" t="inlineStr">
        <is>
          <t>Draft</t>
        </is>
      </c>
      <c r="Z8" s="70" t="inlineStr"/>
    </row>
    <row r="9" ht="36" customHeight="1" s="19">
      <c r="A9" s="70" t="inlineStr">
        <is>
          <t>TM-T-001</t>
        </is>
      </c>
      <c r="B9" s="70" t="inlineStr">
        <is>
          <t>Tampering</t>
        </is>
      </c>
      <c r="C9" s="70" t="inlineStr">
        <is>
          <t>Tampering with batch exchange files</t>
        </is>
      </c>
      <c r="D9" s="70" t="inlineStr">
        <is>
          <t>An attacker with access to the SFTP server, shared folder or bucket changes or replaces files before the application processes them.</t>
        </is>
      </c>
      <c r="E9" s="70" t="inlineStr">
        <is>
          <t>All</t>
        </is>
      </c>
      <c r="F9" s="70" t="inlineStr">
        <is>
          <t>Exchanges files in batch</t>
        </is>
      </c>
      <c r="G9" s="70">
        <f>FILE_EXCHANGE="Yes"</f>
        <v/>
      </c>
      <c r="H9"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9" s="71">
        <f>IF(ISERROR(tblThreats[[#This Row],[Applicability formula]]),"Error",IF(AND(tblThreats[[#This Row],[Archetype match]],tblThreats[[#This Row],[Applicability formula]]=TRUE),"Applies","N/A"))</f>
        <v/>
      </c>
      <c r="J9" s="70" t="inlineStr">
        <is>
          <t>CAPEC-75; ATT&amp;CK T1565.001</t>
        </is>
      </c>
      <c r="K9" s="70" t="inlineStr">
        <is>
          <t>Medium</t>
        </is>
      </c>
      <c r="L9" s="70" t="inlineStr">
        <is>
          <t>High</t>
        </is>
      </c>
      <c r="M9" s="71">
        <f>IFERROR(INDEX(BASE_RISK_MATRIX,MATCH(tblThreats[[#This Row],[Impact]],BASE_RISK_ROWS,0),MATCH(tblThreats[[#This Row],[Likelihood]],BASE_RISK_COLS,0)),"")</f>
        <v/>
      </c>
      <c r="N9" s="71">
        <f>IF(tblThreats[[#This Row],[Applies]]&lt;&gt;"Applies","N/A",IFERROR(INDEX(FINAL_RISK_MATRIX,MATCH(tblThreats[[#This Row],[Base risk]],FINAL_RISK_ROWS,0),MATCH(APP_RISK_TIER,FINAL_RISK_COLS,0)),""))</f>
        <v/>
      </c>
      <c r="O9" s="71">
        <f>IFERROR(MATCH(tblThreats[[#This Row],[Risk]],RISK_SCALE_NAMES,0),0)</f>
        <v/>
      </c>
      <c r="P9" s="71">
        <f>COUNTIF(tblThreatControls[Threat ID],tblThreats[[#This Row],[Threat ID]])</f>
        <v/>
      </c>
      <c r="Q9" s="71">
        <f>COUNTIFS(tblThreatControls[Threat ID],tblThreats[[#This Row],[Threat ID]],tblThreatControls[Coverage status],"Full coverage")</f>
        <v/>
      </c>
      <c r="R9" s="71">
        <f>COUNTIFS(tblThreatControls[Threat ID],tblThreats[[#This Row],[Threat ID]],tblThreatControls[Coverage status],"Partial coverage")</f>
        <v/>
      </c>
      <c r="S9" s="71">
        <f>COUNTIFS(tblThreatControls[Threat ID],tblThreats[[#This Row],[Threat ID]],tblThreatControls[Coverage status],"Gap")</f>
        <v/>
      </c>
      <c r="T9" s="71">
        <f>COUNTIFS(tblThreatControls[Threat ID],tblThreats[[#This Row],[Threat ID]],tblThreatControls[Coverage status],"Not assessed")</f>
        <v/>
      </c>
      <c r="U9" s="71">
        <f>COUNTIFS(tblThreatControls[Threat ID],tblThreats[[#This Row],[Threat ID]],tblThreatControls[Coverage status],"N/A")</f>
        <v/>
      </c>
      <c r="V9"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9" s="71">
        <f>COUNTIF(tblThreatDetections[Threat ID],tblThreats[[#This Row],[Threat ID]])</f>
        <v/>
      </c>
      <c r="X9" s="71">
        <f>IF(TRIM(tblThreats[[#This Row],[Archetypes]])="All","Yes",IF(SUMPRODUCT(--(ARCHETYPE_IDS&lt;&gt;""),--ISNUMBER(SEARCH(";"&amp;ARCHETYPE_IDS&amp;";",";"&amp;SUBSTITUTE(tblThreats[[#This Row],[Archetypes]]," ","")&amp;";")))=LEN(SUBSTITUTE(tblThreats[[#This Row],[Archetypes]]," ",""))-LEN(SUBSTITUTE(SUBSTITUTE(tblThreats[[#This Row],[Archetypes]]," ",""),";",""))+1,"Yes","No"))</f>
        <v/>
      </c>
      <c r="Y9" s="70" t="inlineStr">
        <is>
          <t>Draft</t>
        </is>
      </c>
      <c r="Z9" s="70" t="inlineStr">
        <is>
          <t>No detection: generic file-exchange tampering needs per-integration checks; covered by preventive controls.</t>
        </is>
      </c>
    </row>
    <row r="10" ht="36" customHeight="1" s="19">
      <c r="A10" s="70" t="inlineStr">
        <is>
          <t>TM-T-002</t>
        </is>
      </c>
      <c r="B10" s="70" t="inlineStr">
        <is>
          <t>Tampering</t>
        </is>
      </c>
      <c r="C10" s="70" t="inlineStr">
        <is>
          <t>Malicious file upload</t>
        </is>
      </c>
      <c r="D10" s="70" t="inlineStr">
        <is>
          <t>A user uploads a file that is executed on the server, exhausts resources or abuses path handling (e.g. zip slip).</t>
        </is>
      </c>
      <c r="E10" s="70" t="inlineStr">
        <is>
          <t>All</t>
        </is>
      </c>
      <c r="F10" s="70" t="inlineStr">
        <is>
          <t>Handles user-provided files</t>
        </is>
      </c>
      <c r="G10" s="70">
        <f>FILE_HANDLING="Yes"</f>
        <v/>
      </c>
      <c r="H10"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0" s="71">
        <f>IF(ISERROR(tblThreats[[#This Row],[Applicability formula]]),"Error",IF(AND(tblThreats[[#This Row],[Archetype match]],tblThreats[[#This Row],[Applicability formula]]=TRUE),"Applies","N/A"))</f>
        <v/>
      </c>
      <c r="J10" s="70" t="inlineStr">
        <is>
          <t>CAPEC-17; CAPEC-650</t>
        </is>
      </c>
      <c r="K10" s="70" t="inlineStr">
        <is>
          <t>Medium</t>
        </is>
      </c>
      <c r="L10" s="70" t="inlineStr">
        <is>
          <t>High</t>
        </is>
      </c>
      <c r="M10" s="71">
        <f>IFERROR(INDEX(BASE_RISK_MATRIX,MATCH(tblThreats[[#This Row],[Impact]],BASE_RISK_ROWS,0),MATCH(tblThreats[[#This Row],[Likelihood]],BASE_RISK_COLS,0)),"")</f>
        <v/>
      </c>
      <c r="N10" s="71">
        <f>IF(tblThreats[[#This Row],[Applies]]&lt;&gt;"Applies","N/A",IFERROR(INDEX(FINAL_RISK_MATRIX,MATCH(tblThreats[[#This Row],[Base risk]],FINAL_RISK_ROWS,0),MATCH(APP_RISK_TIER,FINAL_RISK_COLS,0)),""))</f>
        <v/>
      </c>
      <c r="O10" s="71">
        <f>IFERROR(MATCH(tblThreats[[#This Row],[Risk]],RISK_SCALE_NAMES,0),0)</f>
        <v/>
      </c>
      <c r="P10" s="71">
        <f>COUNTIF(tblThreatControls[Threat ID],tblThreats[[#This Row],[Threat ID]])</f>
        <v/>
      </c>
      <c r="Q10" s="71">
        <f>COUNTIFS(tblThreatControls[Threat ID],tblThreats[[#This Row],[Threat ID]],tblThreatControls[Coverage status],"Full coverage")</f>
        <v/>
      </c>
      <c r="R10" s="71">
        <f>COUNTIFS(tblThreatControls[Threat ID],tblThreats[[#This Row],[Threat ID]],tblThreatControls[Coverage status],"Partial coverage")</f>
        <v/>
      </c>
      <c r="S10" s="71">
        <f>COUNTIFS(tblThreatControls[Threat ID],tblThreats[[#This Row],[Threat ID]],tblThreatControls[Coverage status],"Gap")</f>
        <v/>
      </c>
      <c r="T10" s="71">
        <f>COUNTIFS(tblThreatControls[Threat ID],tblThreats[[#This Row],[Threat ID]],tblThreatControls[Coverage status],"Not assessed")</f>
        <v/>
      </c>
      <c r="U10" s="71">
        <f>COUNTIFS(tblThreatControls[Threat ID],tblThreats[[#This Row],[Threat ID]],tblThreatControls[Coverage status],"N/A")</f>
        <v/>
      </c>
      <c r="V10"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0" s="71">
        <f>COUNTIF(tblThreatDetections[Threat ID],tblThreats[[#This Row],[Threat ID]])</f>
        <v/>
      </c>
      <c r="X10" s="71">
        <f>IF(TRIM(tblThreats[[#This Row],[Archetypes]])="All","Yes",IF(SUMPRODUCT(--(ARCHETYPE_IDS&lt;&gt;""),--ISNUMBER(SEARCH(";"&amp;ARCHETYPE_IDS&amp;";",";"&amp;SUBSTITUTE(tblThreats[[#This Row],[Archetypes]]," ","")&amp;";")))=LEN(SUBSTITUTE(tblThreats[[#This Row],[Archetypes]]," ",""))-LEN(SUBSTITUTE(SUBSTITUTE(tblThreats[[#This Row],[Archetypes]]," ",""),";",""))+1,"Yes","No"))</f>
        <v/>
      </c>
      <c r="Y10" s="70" t="inlineStr">
        <is>
          <t>Draft</t>
        </is>
      </c>
      <c r="Z10" s="70" t="inlineStr"/>
    </row>
    <row r="11" ht="36" customHeight="1" s="19">
      <c r="A11" s="70" t="inlineStr">
        <is>
          <t>TM-T-003</t>
        </is>
      </c>
      <c r="B11" s="70" t="inlineStr">
        <is>
          <t>Tampering</t>
        </is>
      </c>
      <c r="C11" s="70" t="inlineStr">
        <is>
          <t>Unverified vendor updates</t>
        </is>
      </c>
      <c r="D11" s="70" t="inlineStr">
        <is>
          <t>Updates or patches are installed without verifying their origin and integrity, so a compromised update channel installs attacker code.</t>
        </is>
      </c>
      <c r="E11" s="70" t="inlineStr">
        <is>
          <t>ARCH-COTS-HOSTED-WEB; ARCH-COTS-CUSTOMIZED; ARCH-VENDOR-APPLIANCE</t>
        </is>
      </c>
      <c r="F11" s="70" t="inlineStr">
        <is>
          <t>Vendor product</t>
        </is>
      </c>
      <c r="G11" s="70">
        <f>IS_COTS</f>
        <v/>
      </c>
      <c r="H11"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1" s="71">
        <f>IF(ISERROR(tblThreats[[#This Row],[Applicability formula]]),"Error",IF(AND(tblThreats[[#This Row],[Archetype match]],tblThreats[[#This Row],[Applicability formula]]=TRUE),"Applies","N/A"))</f>
        <v/>
      </c>
      <c r="J11" s="70" t="inlineStr">
        <is>
          <t>ATT&amp;CK T1195.002</t>
        </is>
      </c>
      <c r="K11" s="70" t="inlineStr">
        <is>
          <t>Low</t>
        </is>
      </c>
      <c r="L11" s="70" t="inlineStr">
        <is>
          <t>High</t>
        </is>
      </c>
      <c r="M11" s="71">
        <f>IFERROR(INDEX(BASE_RISK_MATRIX,MATCH(tblThreats[[#This Row],[Impact]],BASE_RISK_ROWS,0),MATCH(tblThreats[[#This Row],[Likelihood]],BASE_RISK_COLS,0)),"")</f>
        <v/>
      </c>
      <c r="N11" s="71">
        <f>IF(tblThreats[[#This Row],[Applies]]&lt;&gt;"Applies","N/A",IFERROR(INDEX(FINAL_RISK_MATRIX,MATCH(tblThreats[[#This Row],[Base risk]],FINAL_RISK_ROWS,0),MATCH(APP_RISK_TIER,FINAL_RISK_COLS,0)),""))</f>
        <v/>
      </c>
      <c r="O11" s="71">
        <f>IFERROR(MATCH(tblThreats[[#This Row],[Risk]],RISK_SCALE_NAMES,0),0)</f>
        <v/>
      </c>
      <c r="P11" s="71">
        <f>COUNTIF(tblThreatControls[Threat ID],tblThreats[[#This Row],[Threat ID]])</f>
        <v/>
      </c>
      <c r="Q11" s="71">
        <f>COUNTIFS(tblThreatControls[Threat ID],tblThreats[[#This Row],[Threat ID]],tblThreatControls[Coverage status],"Full coverage")</f>
        <v/>
      </c>
      <c r="R11" s="71">
        <f>COUNTIFS(tblThreatControls[Threat ID],tblThreats[[#This Row],[Threat ID]],tblThreatControls[Coverage status],"Partial coverage")</f>
        <v/>
      </c>
      <c r="S11" s="71">
        <f>COUNTIFS(tblThreatControls[Threat ID],tblThreats[[#This Row],[Threat ID]],tblThreatControls[Coverage status],"Gap")</f>
        <v/>
      </c>
      <c r="T11" s="71">
        <f>COUNTIFS(tblThreatControls[Threat ID],tblThreats[[#This Row],[Threat ID]],tblThreatControls[Coverage status],"Not assessed")</f>
        <v/>
      </c>
      <c r="U11" s="71">
        <f>COUNTIFS(tblThreatControls[Threat ID],tblThreats[[#This Row],[Threat ID]],tblThreatControls[Coverage status],"N/A")</f>
        <v/>
      </c>
      <c r="V11"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1" s="71">
        <f>COUNTIF(tblThreatDetections[Threat ID],tblThreats[[#This Row],[Threat ID]])</f>
        <v/>
      </c>
      <c r="X11" s="71">
        <f>IF(TRIM(tblThreats[[#This Row],[Archetypes]])="All","Yes",IF(SUMPRODUCT(--(ARCHETYPE_IDS&lt;&gt;""),--ISNUMBER(SEARCH(";"&amp;ARCHETYPE_IDS&amp;";",";"&amp;SUBSTITUTE(tblThreats[[#This Row],[Archetypes]]," ","")&amp;";")))=LEN(SUBSTITUTE(tblThreats[[#This Row],[Archetypes]]," ",""))-LEN(SUBSTITUTE(SUBSTITUTE(tblThreats[[#This Row],[Archetypes]]," ",""),";",""))+1,"Yes","No"))</f>
        <v/>
      </c>
      <c r="Y11" s="70" t="inlineStr">
        <is>
          <t>Draft</t>
        </is>
      </c>
      <c r="Z11" s="70" t="inlineStr"/>
    </row>
    <row r="12" ht="36" customHeight="1" s="19">
      <c r="A12" s="70" t="inlineStr">
        <is>
          <t>TM-T-004</t>
        </is>
      </c>
      <c r="B12" s="70" t="inlineStr">
        <is>
          <t>Tampering</t>
        </is>
      </c>
      <c r="C12" s="70" t="inlineStr">
        <is>
          <t>Business-logic abuse of financial flows</t>
        </is>
      </c>
      <c r="D12" s="70" t="inlineStr">
        <is>
          <t>A user manipulates the order or limits of payment/approval steps (skipping steps, replaying, splitting amounts) to move money they shouldn't.</t>
        </is>
      </c>
      <c r="E12" s="70" t="inlineStr">
        <is>
          <t>All</t>
        </is>
      </c>
      <c r="F12" s="70" t="inlineStr">
        <is>
          <t>Initiates, approves or changes financial transactions</t>
        </is>
      </c>
      <c r="G12" s="70">
        <f>FINANCIAL_TRANSACTIONS="Yes"</f>
        <v/>
      </c>
      <c r="H12"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2" s="71">
        <f>IF(ISERROR(tblThreats[[#This Row],[Applicability formula]]),"Error",IF(AND(tblThreats[[#This Row],[Archetype match]],tblThreats[[#This Row],[Applicability formula]]=TRUE),"Applies","N/A"))</f>
        <v/>
      </c>
      <c r="J12" s="70" t="inlineStr">
        <is>
          <t>CAPEC-77</t>
        </is>
      </c>
      <c r="K12" s="70" t="inlineStr">
        <is>
          <t>Medium</t>
        </is>
      </c>
      <c r="L12" s="70" t="inlineStr">
        <is>
          <t>High</t>
        </is>
      </c>
      <c r="M12" s="71">
        <f>IFERROR(INDEX(BASE_RISK_MATRIX,MATCH(tblThreats[[#This Row],[Impact]],BASE_RISK_ROWS,0),MATCH(tblThreats[[#This Row],[Likelihood]],BASE_RISK_COLS,0)),"")</f>
        <v/>
      </c>
      <c r="N12" s="71">
        <f>IF(tblThreats[[#This Row],[Applies]]&lt;&gt;"Applies","N/A",IFERROR(INDEX(FINAL_RISK_MATRIX,MATCH(tblThreats[[#This Row],[Base risk]],FINAL_RISK_ROWS,0),MATCH(APP_RISK_TIER,FINAL_RISK_COLS,0)),""))</f>
        <v/>
      </c>
      <c r="O12" s="71">
        <f>IFERROR(MATCH(tblThreats[[#This Row],[Risk]],RISK_SCALE_NAMES,0),0)</f>
        <v/>
      </c>
      <c r="P12" s="71">
        <f>COUNTIF(tblThreatControls[Threat ID],tblThreats[[#This Row],[Threat ID]])</f>
        <v/>
      </c>
      <c r="Q12" s="71">
        <f>COUNTIFS(tblThreatControls[Threat ID],tblThreats[[#This Row],[Threat ID]],tblThreatControls[Coverage status],"Full coverage")</f>
        <v/>
      </c>
      <c r="R12" s="71">
        <f>COUNTIFS(tblThreatControls[Threat ID],tblThreats[[#This Row],[Threat ID]],tblThreatControls[Coverage status],"Partial coverage")</f>
        <v/>
      </c>
      <c r="S12" s="71">
        <f>COUNTIFS(tblThreatControls[Threat ID],tblThreats[[#This Row],[Threat ID]],tblThreatControls[Coverage status],"Gap")</f>
        <v/>
      </c>
      <c r="T12" s="71">
        <f>COUNTIFS(tblThreatControls[Threat ID],tblThreats[[#This Row],[Threat ID]],tblThreatControls[Coverage status],"Not assessed")</f>
        <v/>
      </c>
      <c r="U12" s="71">
        <f>COUNTIFS(tblThreatControls[Threat ID],tblThreats[[#This Row],[Threat ID]],tblThreatControls[Coverage status],"N/A")</f>
        <v/>
      </c>
      <c r="V12"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2" s="71">
        <f>COUNTIF(tblThreatDetections[Threat ID],tblThreats[[#This Row],[Threat ID]])</f>
        <v/>
      </c>
      <c r="X12" s="71">
        <f>IF(TRIM(tblThreats[[#This Row],[Archetypes]])="All","Yes",IF(SUMPRODUCT(--(ARCHETYPE_IDS&lt;&gt;""),--ISNUMBER(SEARCH(";"&amp;ARCHETYPE_IDS&amp;";",";"&amp;SUBSTITUTE(tblThreats[[#This Row],[Archetypes]]," ","")&amp;";")))=LEN(SUBSTITUTE(tblThreats[[#This Row],[Archetypes]]," ",""))-LEN(SUBSTITUTE(SUBSTITUTE(tblThreats[[#This Row],[Archetypes]]," ",""),";",""))+1,"Yes","No"))</f>
        <v/>
      </c>
      <c r="Y12" s="70" t="inlineStr">
        <is>
          <t>Draft</t>
        </is>
      </c>
      <c r="Z12" s="70" t="inlineStr">
        <is>
          <t>No detection: needs business-specific transaction monitoring, defined per application with the fraud team.</t>
        </is>
      </c>
    </row>
    <row r="13" ht="36" customHeight="1" s="19">
      <c r="A13" s="70" t="inlineStr">
        <is>
          <t>TM-R-001</t>
        </is>
      </c>
      <c r="B13" s="70" t="inlineStr">
        <is>
          <t>Repudiation</t>
        </is>
      </c>
      <c r="C13" s="70" t="inlineStr">
        <is>
          <t>Administrative actions cannot be attributed</t>
        </is>
      </c>
      <c r="D13" s="70" t="inlineStr">
        <is>
          <t>Administrators change configuration or data and there is no reliable record of who did what, so misuse cannot be investigated or proven.</t>
        </is>
      </c>
      <c r="E13" s="70" t="inlineStr">
        <is>
          <t>All</t>
        </is>
      </c>
      <c r="F13" s="70" t="inlineStr">
        <is>
          <t>Has an admin interface and admin actions are not confirmed as logged</t>
        </is>
      </c>
      <c r="G13" s="70">
        <f>AND(ADMIN_INTERFACE="Yes",LOG_ADMIN_ACTIONS&lt;&gt;"Yes")</f>
        <v/>
      </c>
      <c r="H13"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3" s="71">
        <f>IF(ISERROR(tblThreats[[#This Row],[Applicability formula]]),"Error",IF(AND(tblThreats[[#This Row],[Archetype match]],tblThreats[[#This Row],[Applicability formula]]=TRUE),"Applies","N/A"))</f>
        <v/>
      </c>
      <c r="J13" s="70" t="inlineStr">
        <is>
          <t>ATT&amp;CK T1070</t>
        </is>
      </c>
      <c r="K13" s="70" t="inlineStr">
        <is>
          <t>Medium</t>
        </is>
      </c>
      <c r="L13" s="70" t="inlineStr">
        <is>
          <t>Medium</t>
        </is>
      </c>
      <c r="M13" s="71">
        <f>IFERROR(INDEX(BASE_RISK_MATRIX,MATCH(tblThreats[[#This Row],[Impact]],BASE_RISK_ROWS,0),MATCH(tblThreats[[#This Row],[Likelihood]],BASE_RISK_COLS,0)),"")</f>
        <v/>
      </c>
      <c r="N13" s="71">
        <f>IF(tblThreats[[#This Row],[Applies]]&lt;&gt;"Applies","N/A",IFERROR(INDEX(FINAL_RISK_MATRIX,MATCH(tblThreats[[#This Row],[Base risk]],FINAL_RISK_ROWS,0),MATCH(APP_RISK_TIER,FINAL_RISK_COLS,0)),""))</f>
        <v/>
      </c>
      <c r="O13" s="71">
        <f>IFERROR(MATCH(tblThreats[[#This Row],[Risk]],RISK_SCALE_NAMES,0),0)</f>
        <v/>
      </c>
      <c r="P13" s="71">
        <f>COUNTIF(tblThreatControls[Threat ID],tblThreats[[#This Row],[Threat ID]])</f>
        <v/>
      </c>
      <c r="Q13" s="71">
        <f>COUNTIFS(tblThreatControls[Threat ID],tblThreats[[#This Row],[Threat ID]],tblThreatControls[Coverage status],"Full coverage")</f>
        <v/>
      </c>
      <c r="R13" s="71">
        <f>COUNTIFS(tblThreatControls[Threat ID],tblThreats[[#This Row],[Threat ID]],tblThreatControls[Coverage status],"Partial coverage")</f>
        <v/>
      </c>
      <c r="S13" s="71">
        <f>COUNTIFS(tblThreatControls[Threat ID],tblThreats[[#This Row],[Threat ID]],tblThreatControls[Coverage status],"Gap")</f>
        <v/>
      </c>
      <c r="T13" s="71">
        <f>COUNTIFS(tblThreatControls[Threat ID],tblThreats[[#This Row],[Threat ID]],tblThreatControls[Coverage status],"Not assessed")</f>
        <v/>
      </c>
      <c r="U13" s="71">
        <f>COUNTIFS(tblThreatControls[Threat ID],tblThreats[[#This Row],[Threat ID]],tblThreatControls[Coverage status],"N/A")</f>
        <v/>
      </c>
      <c r="V13"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3" s="71">
        <f>COUNTIF(tblThreatDetections[Threat ID],tblThreats[[#This Row],[Threat ID]])</f>
        <v/>
      </c>
      <c r="X13" s="71">
        <f>IF(TRIM(tblThreats[[#This Row],[Archetypes]])="All","Yes",IF(SUMPRODUCT(--(ARCHETYPE_IDS&lt;&gt;""),--ISNUMBER(SEARCH(";"&amp;ARCHETYPE_IDS&amp;";",";"&amp;SUBSTITUTE(tblThreats[[#This Row],[Archetypes]]," ","")&amp;";")))=LEN(SUBSTITUTE(tblThreats[[#This Row],[Archetypes]]," ",""))-LEN(SUBSTITUTE(SUBSTITUTE(tblThreats[[#This Row],[Archetypes]]," ",""),";",""))+1,"Yes","No"))</f>
        <v/>
      </c>
      <c r="Y13" s="70" t="inlineStr">
        <is>
          <t>Draft</t>
        </is>
      </c>
      <c r="Z13" s="70" t="inlineStr"/>
    </row>
    <row r="14" ht="36" customHeight="1" s="19">
      <c r="A14" s="70" t="inlineStr">
        <is>
          <t>TM-I-001</t>
        </is>
      </c>
      <c r="B14" s="70" t="inlineStr">
        <is>
          <t>Information disclosure</t>
        </is>
      </c>
      <c r="C14" s="70" t="inlineStr">
        <is>
          <t>Broken object-level authorization / cross-tenant access</t>
        </is>
      </c>
      <c r="D14" s="70" t="inlineStr">
        <is>
          <t>A user changes an identifier in a request and reads or changes records of other users or other tenants.</t>
        </is>
      </c>
      <c r="E14" s="70" t="inlineStr">
        <is>
          <t>All</t>
        </is>
      </c>
      <c r="F14" s="70" t="inlineStr">
        <is>
          <t>Has several roles or serves several tenants</t>
        </is>
      </c>
      <c r="G14" s="70">
        <f>OR(MULTIPLE_ROLES="Yes",MULTI_TENANT="Yes")</f>
        <v/>
      </c>
      <c r="H14"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4" s="71">
        <f>IF(ISERROR(tblThreats[[#This Row],[Applicability formula]]),"Error",IF(AND(tblThreats[[#This Row],[Archetype match]],tblThreats[[#This Row],[Applicability formula]]=TRUE),"Applies","N/A"))</f>
        <v/>
      </c>
      <c r="J14" s="70" t="inlineStr">
        <is>
          <t>CAPEC-122; OWASP API1:2023</t>
        </is>
      </c>
      <c r="K14" s="70" t="inlineStr">
        <is>
          <t>High</t>
        </is>
      </c>
      <c r="L14" s="70" t="inlineStr">
        <is>
          <t>High</t>
        </is>
      </c>
      <c r="M14" s="71">
        <f>IFERROR(INDEX(BASE_RISK_MATRIX,MATCH(tblThreats[[#This Row],[Impact]],BASE_RISK_ROWS,0),MATCH(tblThreats[[#This Row],[Likelihood]],BASE_RISK_COLS,0)),"")</f>
        <v/>
      </c>
      <c r="N14" s="71">
        <f>IF(tblThreats[[#This Row],[Applies]]&lt;&gt;"Applies","N/A",IFERROR(INDEX(FINAL_RISK_MATRIX,MATCH(tblThreats[[#This Row],[Base risk]],FINAL_RISK_ROWS,0),MATCH(APP_RISK_TIER,FINAL_RISK_COLS,0)),""))</f>
        <v/>
      </c>
      <c r="O14" s="71">
        <f>IFERROR(MATCH(tblThreats[[#This Row],[Risk]],RISK_SCALE_NAMES,0),0)</f>
        <v/>
      </c>
      <c r="P14" s="71">
        <f>COUNTIF(tblThreatControls[Threat ID],tblThreats[[#This Row],[Threat ID]])</f>
        <v/>
      </c>
      <c r="Q14" s="71">
        <f>COUNTIFS(tblThreatControls[Threat ID],tblThreats[[#This Row],[Threat ID]],tblThreatControls[Coverage status],"Full coverage")</f>
        <v/>
      </c>
      <c r="R14" s="71">
        <f>COUNTIFS(tblThreatControls[Threat ID],tblThreats[[#This Row],[Threat ID]],tblThreatControls[Coverage status],"Partial coverage")</f>
        <v/>
      </c>
      <c r="S14" s="71">
        <f>COUNTIFS(tblThreatControls[Threat ID],tblThreats[[#This Row],[Threat ID]],tblThreatControls[Coverage status],"Gap")</f>
        <v/>
      </c>
      <c r="T14" s="71">
        <f>COUNTIFS(tblThreatControls[Threat ID],tblThreats[[#This Row],[Threat ID]],tblThreatControls[Coverage status],"Not assessed")</f>
        <v/>
      </c>
      <c r="U14" s="71">
        <f>COUNTIFS(tblThreatControls[Threat ID],tblThreats[[#This Row],[Threat ID]],tblThreatControls[Coverage status],"N/A")</f>
        <v/>
      </c>
      <c r="V14"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4" s="71">
        <f>COUNTIF(tblThreatDetections[Threat ID],tblThreats[[#This Row],[Threat ID]])</f>
        <v/>
      </c>
      <c r="X14" s="71">
        <f>IF(TRIM(tblThreats[[#This Row],[Archetypes]])="All","Yes",IF(SUMPRODUCT(--(ARCHETYPE_IDS&lt;&gt;""),--ISNUMBER(SEARCH(";"&amp;ARCHETYPE_IDS&amp;";",";"&amp;SUBSTITUTE(tblThreats[[#This Row],[Archetypes]]," ","")&amp;";")))=LEN(SUBSTITUTE(tblThreats[[#This Row],[Archetypes]]," ",""))-LEN(SUBSTITUTE(SUBSTITUTE(tblThreats[[#This Row],[Archetypes]]," ",""),";",""))+1,"Yes","No"))</f>
        <v/>
      </c>
      <c r="Y14" s="70" t="inlineStr">
        <is>
          <t>Draft</t>
        </is>
      </c>
      <c r="Z14" s="70" t="inlineStr"/>
    </row>
    <row r="15" ht="36" customHeight="1" s="19">
      <c r="A15" s="70" t="inlineStr">
        <is>
          <t>TM-I-002</t>
        </is>
      </c>
      <c r="B15" s="70" t="inlineStr">
        <is>
          <t>Information disclosure</t>
        </is>
      </c>
      <c r="C15" s="70" t="inlineStr">
        <is>
          <t>Exposure of stored third-party secrets</t>
        </is>
      </c>
      <c r="D15" s="70" t="inlineStr">
        <is>
          <t>Credentials, keys or tokens the application keeps for other systems are stolen from configuration, database or memory and reused against those systems.</t>
        </is>
      </c>
      <c r="E15" s="70" t="inlineStr">
        <is>
          <t>All</t>
        </is>
      </c>
      <c r="F15" s="70" t="inlineStr">
        <is>
          <t>Stores credentials/keys/tokens for other systems</t>
        </is>
      </c>
      <c r="G15" s="70">
        <f>STORES_THIRD_PARTY_SECRETS="Yes"</f>
        <v/>
      </c>
      <c r="H15"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5" s="71">
        <f>IF(ISERROR(tblThreats[[#This Row],[Applicability formula]]),"Error",IF(AND(tblThreats[[#This Row],[Archetype match]],tblThreats[[#This Row],[Applicability formula]]=TRUE),"Applies","N/A"))</f>
        <v/>
      </c>
      <c r="J15" s="70" t="inlineStr">
        <is>
          <t>ATT&amp;CK T1552</t>
        </is>
      </c>
      <c r="K15" s="70" t="inlineStr">
        <is>
          <t>Medium</t>
        </is>
      </c>
      <c r="L15" s="70" t="inlineStr">
        <is>
          <t>High</t>
        </is>
      </c>
      <c r="M15" s="71">
        <f>IFERROR(INDEX(BASE_RISK_MATRIX,MATCH(tblThreats[[#This Row],[Impact]],BASE_RISK_ROWS,0),MATCH(tblThreats[[#This Row],[Likelihood]],BASE_RISK_COLS,0)),"")</f>
        <v/>
      </c>
      <c r="N15" s="71">
        <f>IF(tblThreats[[#This Row],[Applies]]&lt;&gt;"Applies","N/A",IFERROR(INDEX(FINAL_RISK_MATRIX,MATCH(tblThreats[[#This Row],[Base risk]],FINAL_RISK_ROWS,0),MATCH(APP_RISK_TIER,FINAL_RISK_COLS,0)),""))</f>
        <v/>
      </c>
      <c r="O15" s="71">
        <f>IFERROR(MATCH(tblThreats[[#This Row],[Risk]],RISK_SCALE_NAMES,0),0)</f>
        <v/>
      </c>
      <c r="P15" s="71">
        <f>COUNTIF(tblThreatControls[Threat ID],tblThreats[[#This Row],[Threat ID]])</f>
        <v/>
      </c>
      <c r="Q15" s="71">
        <f>COUNTIFS(tblThreatControls[Threat ID],tblThreats[[#This Row],[Threat ID]],tblThreatControls[Coverage status],"Full coverage")</f>
        <v/>
      </c>
      <c r="R15" s="71">
        <f>COUNTIFS(tblThreatControls[Threat ID],tblThreats[[#This Row],[Threat ID]],tblThreatControls[Coverage status],"Partial coverage")</f>
        <v/>
      </c>
      <c r="S15" s="71">
        <f>COUNTIFS(tblThreatControls[Threat ID],tblThreats[[#This Row],[Threat ID]],tblThreatControls[Coverage status],"Gap")</f>
        <v/>
      </c>
      <c r="T15" s="71">
        <f>COUNTIFS(tblThreatControls[Threat ID],tblThreats[[#This Row],[Threat ID]],tblThreatControls[Coverage status],"Not assessed")</f>
        <v/>
      </c>
      <c r="U15" s="71">
        <f>COUNTIFS(tblThreatControls[Threat ID],tblThreats[[#This Row],[Threat ID]],tblThreatControls[Coverage status],"N/A")</f>
        <v/>
      </c>
      <c r="V15"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5" s="71">
        <f>COUNTIF(tblThreatDetections[Threat ID],tblThreats[[#This Row],[Threat ID]])</f>
        <v/>
      </c>
      <c r="X15" s="71">
        <f>IF(TRIM(tblThreats[[#This Row],[Archetypes]])="All","Yes",IF(SUMPRODUCT(--(ARCHETYPE_IDS&lt;&gt;""),--ISNUMBER(SEARCH(";"&amp;ARCHETYPE_IDS&amp;";",";"&amp;SUBSTITUTE(tblThreats[[#This Row],[Archetypes]]," ","")&amp;";")))=LEN(SUBSTITUTE(tblThreats[[#This Row],[Archetypes]]," ",""))-LEN(SUBSTITUTE(SUBSTITUTE(tblThreats[[#This Row],[Archetypes]]," ",""),";",""))+1,"Yes","No"))</f>
        <v/>
      </c>
      <c r="Y15" s="70" t="inlineStr">
        <is>
          <t>Draft</t>
        </is>
      </c>
      <c r="Z15" s="70" t="inlineStr"/>
    </row>
    <row r="16" ht="36" customHeight="1" s="19">
      <c r="A16" s="70" t="inlineStr">
        <is>
          <t>TM-I-003</t>
        </is>
      </c>
      <c r="B16" s="70" t="inlineStr">
        <is>
          <t>Information disclosure</t>
        </is>
      </c>
      <c r="C16" s="70" t="inlineStr">
        <is>
          <t>Data leakage through vendor telemetry</t>
        </is>
      </c>
      <c r="D16" s="70" t="inlineStr">
        <is>
          <t>The product sends telemetry, license or update traffic to the vendor that includes business or personal data.</t>
        </is>
      </c>
      <c r="E16" s="70" t="inlineStr">
        <is>
          <t>All</t>
        </is>
      </c>
      <c r="F16" s="70" t="inlineStr">
        <is>
          <t>Vendor product that sends data to the vendor</t>
        </is>
      </c>
      <c r="G16" s="70">
        <f>AND(IS_COTS,OUTBOUND_VENDOR_TELEMETRY="Yes")</f>
        <v/>
      </c>
      <c r="H16"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6" s="71">
        <f>IF(ISERROR(tblThreats[[#This Row],[Applicability formula]]),"Error",IF(AND(tblThreats[[#This Row],[Archetype match]],tblThreats[[#This Row],[Applicability formula]]=TRUE),"Applies","N/A"))</f>
        <v/>
      </c>
      <c r="J16" s="70" t="inlineStr">
        <is>
          <t>ATT&amp;CK T1041</t>
        </is>
      </c>
      <c r="K16" s="70" t="inlineStr">
        <is>
          <t>Medium</t>
        </is>
      </c>
      <c r="L16" s="70" t="inlineStr">
        <is>
          <t>Medium</t>
        </is>
      </c>
      <c r="M16" s="71">
        <f>IFERROR(INDEX(BASE_RISK_MATRIX,MATCH(tblThreats[[#This Row],[Impact]],BASE_RISK_ROWS,0),MATCH(tblThreats[[#This Row],[Likelihood]],BASE_RISK_COLS,0)),"")</f>
        <v/>
      </c>
      <c r="N16" s="71">
        <f>IF(tblThreats[[#This Row],[Applies]]&lt;&gt;"Applies","N/A",IFERROR(INDEX(FINAL_RISK_MATRIX,MATCH(tblThreats[[#This Row],[Base risk]],FINAL_RISK_ROWS,0),MATCH(APP_RISK_TIER,FINAL_RISK_COLS,0)),""))</f>
        <v/>
      </c>
      <c r="O16" s="71">
        <f>IFERROR(MATCH(tblThreats[[#This Row],[Risk]],RISK_SCALE_NAMES,0),0)</f>
        <v/>
      </c>
      <c r="P16" s="71">
        <f>COUNTIF(tblThreatControls[Threat ID],tblThreats[[#This Row],[Threat ID]])</f>
        <v/>
      </c>
      <c r="Q16" s="71">
        <f>COUNTIFS(tblThreatControls[Threat ID],tblThreats[[#This Row],[Threat ID]],tblThreatControls[Coverage status],"Full coverage")</f>
        <v/>
      </c>
      <c r="R16" s="71">
        <f>COUNTIFS(tblThreatControls[Threat ID],tblThreats[[#This Row],[Threat ID]],tblThreatControls[Coverage status],"Partial coverage")</f>
        <v/>
      </c>
      <c r="S16" s="71">
        <f>COUNTIFS(tblThreatControls[Threat ID],tblThreats[[#This Row],[Threat ID]],tblThreatControls[Coverage status],"Gap")</f>
        <v/>
      </c>
      <c r="T16" s="71">
        <f>COUNTIFS(tblThreatControls[Threat ID],tblThreats[[#This Row],[Threat ID]],tblThreatControls[Coverage status],"Not assessed")</f>
        <v/>
      </c>
      <c r="U16" s="71">
        <f>COUNTIFS(tblThreatControls[Threat ID],tblThreats[[#This Row],[Threat ID]],tblThreatControls[Coverage status],"N/A")</f>
        <v/>
      </c>
      <c r="V16"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6" s="71">
        <f>COUNTIF(tblThreatDetections[Threat ID],tblThreats[[#This Row],[Threat ID]])</f>
        <v/>
      </c>
      <c r="X16" s="71">
        <f>IF(TRIM(tblThreats[[#This Row],[Archetypes]])="All","Yes",IF(SUMPRODUCT(--(ARCHETYPE_IDS&lt;&gt;""),--ISNUMBER(SEARCH(";"&amp;ARCHETYPE_IDS&amp;";",";"&amp;SUBSTITUTE(tblThreats[[#This Row],[Archetypes]]," ","")&amp;";")))=LEN(SUBSTITUTE(tblThreats[[#This Row],[Archetypes]]," ",""))-LEN(SUBSTITUTE(SUBSTITUTE(tblThreats[[#This Row],[Archetypes]]," ",""),";",""))+1,"Yes","No"))</f>
        <v/>
      </c>
      <c r="Y16" s="70" t="inlineStr">
        <is>
          <t>Draft</t>
        </is>
      </c>
      <c r="Z16" s="70" t="inlineStr"/>
    </row>
    <row r="17" ht="36" customHeight="1" s="19">
      <c r="A17" s="70" t="inlineStr">
        <is>
          <t>TM-D-001</t>
        </is>
      </c>
      <c r="B17" s="70" t="inlineStr">
        <is>
          <t>Denial of service</t>
        </is>
      </c>
      <c r="C17" s="70" t="inlineStr">
        <is>
          <t>Denial of service on the internet-facing application</t>
        </is>
      </c>
      <c r="D17" s="70" t="inlineStr">
        <is>
          <t>Floods of requests, or a few very expensive ones, make the application unavailable to legitimate users.</t>
        </is>
      </c>
      <c r="E17" s="70" t="inlineStr">
        <is>
          <t>All</t>
        </is>
      </c>
      <c r="F17" s="70" t="inlineStr">
        <is>
          <t>Internet-facing</t>
        </is>
      </c>
      <c r="G17" s="70">
        <f>EXPOSURE="Public internet"</f>
        <v/>
      </c>
      <c r="H17"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7" s="71">
        <f>IF(ISERROR(tblThreats[[#This Row],[Applicability formula]]),"Error",IF(AND(tblThreats[[#This Row],[Archetype match]],tblThreats[[#This Row],[Applicability formula]]=TRUE),"Applies","N/A"))</f>
        <v/>
      </c>
      <c r="J17" s="70" t="inlineStr">
        <is>
          <t>CAPEC-125; ATT&amp;CK T1499</t>
        </is>
      </c>
      <c r="K17" s="70" t="inlineStr">
        <is>
          <t>Medium</t>
        </is>
      </c>
      <c r="L17" s="70" t="inlineStr">
        <is>
          <t>Medium</t>
        </is>
      </c>
      <c r="M17" s="71">
        <f>IFERROR(INDEX(BASE_RISK_MATRIX,MATCH(tblThreats[[#This Row],[Impact]],BASE_RISK_ROWS,0),MATCH(tblThreats[[#This Row],[Likelihood]],BASE_RISK_COLS,0)),"")</f>
        <v/>
      </c>
      <c r="N17" s="71">
        <f>IF(tblThreats[[#This Row],[Applies]]&lt;&gt;"Applies","N/A",IFERROR(INDEX(FINAL_RISK_MATRIX,MATCH(tblThreats[[#This Row],[Base risk]],FINAL_RISK_ROWS,0),MATCH(APP_RISK_TIER,FINAL_RISK_COLS,0)),""))</f>
        <v/>
      </c>
      <c r="O17" s="71">
        <f>IFERROR(MATCH(tblThreats[[#This Row],[Risk]],RISK_SCALE_NAMES,0),0)</f>
        <v/>
      </c>
      <c r="P17" s="71">
        <f>COUNTIF(tblThreatControls[Threat ID],tblThreats[[#This Row],[Threat ID]])</f>
        <v/>
      </c>
      <c r="Q17" s="71">
        <f>COUNTIFS(tblThreatControls[Threat ID],tblThreats[[#This Row],[Threat ID]],tblThreatControls[Coverage status],"Full coverage")</f>
        <v/>
      </c>
      <c r="R17" s="71">
        <f>COUNTIFS(tblThreatControls[Threat ID],tblThreats[[#This Row],[Threat ID]],tblThreatControls[Coverage status],"Partial coverage")</f>
        <v/>
      </c>
      <c r="S17" s="71">
        <f>COUNTIFS(tblThreatControls[Threat ID],tblThreats[[#This Row],[Threat ID]],tblThreatControls[Coverage status],"Gap")</f>
        <v/>
      </c>
      <c r="T17" s="71">
        <f>COUNTIFS(tblThreatControls[Threat ID],tblThreats[[#This Row],[Threat ID]],tblThreatControls[Coverage status],"Not assessed")</f>
        <v/>
      </c>
      <c r="U17" s="71">
        <f>COUNTIFS(tblThreatControls[Threat ID],tblThreats[[#This Row],[Threat ID]],tblThreatControls[Coverage status],"N/A")</f>
        <v/>
      </c>
      <c r="V17"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7" s="71">
        <f>COUNTIF(tblThreatDetections[Threat ID],tblThreats[[#This Row],[Threat ID]])</f>
        <v/>
      </c>
      <c r="X17" s="71">
        <f>IF(TRIM(tblThreats[[#This Row],[Archetypes]])="All","Yes",IF(SUMPRODUCT(--(ARCHETYPE_IDS&lt;&gt;""),--ISNUMBER(SEARCH(";"&amp;ARCHETYPE_IDS&amp;";",";"&amp;SUBSTITUTE(tblThreats[[#This Row],[Archetypes]]," ","")&amp;";")))=LEN(SUBSTITUTE(tblThreats[[#This Row],[Archetypes]]," ",""))-LEN(SUBSTITUTE(SUBSTITUTE(tblThreats[[#This Row],[Archetypes]]," ",""),";",""))+1,"Yes","No"))</f>
        <v/>
      </c>
      <c r="Y17" s="70" t="inlineStr">
        <is>
          <t>Draft</t>
        </is>
      </c>
      <c r="Z17" s="70" t="inlineStr"/>
    </row>
    <row r="18" ht="36" customHeight="1" s="19">
      <c r="A18" s="70" t="inlineStr">
        <is>
          <t>TM-D-002</t>
        </is>
      </c>
      <c r="B18" s="70" t="inlineStr">
        <is>
          <t>Denial of service</t>
        </is>
      </c>
      <c r="C18" s="70" t="inlineStr">
        <is>
          <t>Message flooding or poison messages</t>
        </is>
      </c>
      <c r="D18" s="70" t="inlineStr">
        <is>
          <t>A producer floods a queue or sends a malformed message that repeatedly crashes the consumer, blocking processing.</t>
        </is>
      </c>
      <c r="E18" s="70" t="inlineStr">
        <is>
          <t>All</t>
        </is>
      </c>
      <c r="F18" s="70" t="inlineStr">
        <is>
          <t>Publishes or consumes messages/events</t>
        </is>
      </c>
      <c r="G18" s="70">
        <f>MESSAGING="Yes"</f>
        <v/>
      </c>
      <c r="H18"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8" s="71">
        <f>IF(ISERROR(tblThreats[[#This Row],[Applicability formula]]),"Error",IF(AND(tblThreats[[#This Row],[Archetype match]],tblThreats[[#This Row],[Applicability formula]]=TRUE),"Applies","N/A"))</f>
        <v/>
      </c>
      <c r="J18" s="70" t="inlineStr">
        <is>
          <t>CAPEC-125</t>
        </is>
      </c>
      <c r="K18" s="70" t="inlineStr">
        <is>
          <t>Low</t>
        </is>
      </c>
      <c r="L18" s="70" t="inlineStr">
        <is>
          <t>Medium</t>
        </is>
      </c>
      <c r="M18" s="71">
        <f>IFERROR(INDEX(BASE_RISK_MATRIX,MATCH(tblThreats[[#This Row],[Impact]],BASE_RISK_ROWS,0),MATCH(tblThreats[[#This Row],[Likelihood]],BASE_RISK_COLS,0)),"")</f>
        <v/>
      </c>
      <c r="N18" s="71">
        <f>IF(tblThreats[[#This Row],[Applies]]&lt;&gt;"Applies","N/A",IFERROR(INDEX(FINAL_RISK_MATRIX,MATCH(tblThreats[[#This Row],[Base risk]],FINAL_RISK_ROWS,0),MATCH(APP_RISK_TIER,FINAL_RISK_COLS,0)),""))</f>
        <v/>
      </c>
      <c r="O18" s="71">
        <f>IFERROR(MATCH(tblThreats[[#This Row],[Risk]],RISK_SCALE_NAMES,0),0)</f>
        <v/>
      </c>
      <c r="P18" s="71">
        <f>COUNTIF(tblThreatControls[Threat ID],tblThreats[[#This Row],[Threat ID]])</f>
        <v/>
      </c>
      <c r="Q18" s="71">
        <f>COUNTIFS(tblThreatControls[Threat ID],tblThreats[[#This Row],[Threat ID]],tblThreatControls[Coverage status],"Full coverage")</f>
        <v/>
      </c>
      <c r="R18" s="71">
        <f>COUNTIFS(tblThreatControls[Threat ID],tblThreats[[#This Row],[Threat ID]],tblThreatControls[Coverage status],"Partial coverage")</f>
        <v/>
      </c>
      <c r="S18" s="71">
        <f>COUNTIFS(tblThreatControls[Threat ID],tblThreats[[#This Row],[Threat ID]],tblThreatControls[Coverage status],"Gap")</f>
        <v/>
      </c>
      <c r="T18" s="71">
        <f>COUNTIFS(tblThreatControls[Threat ID],tblThreats[[#This Row],[Threat ID]],tblThreatControls[Coverage status],"Not assessed")</f>
        <v/>
      </c>
      <c r="U18" s="71">
        <f>COUNTIFS(tblThreatControls[Threat ID],tblThreats[[#This Row],[Threat ID]],tblThreatControls[Coverage status],"N/A")</f>
        <v/>
      </c>
      <c r="V18"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8" s="71">
        <f>COUNTIF(tblThreatDetections[Threat ID],tblThreats[[#This Row],[Threat ID]])</f>
        <v/>
      </c>
      <c r="X18" s="71">
        <f>IF(TRIM(tblThreats[[#This Row],[Archetypes]])="All","Yes",IF(SUMPRODUCT(--(ARCHETYPE_IDS&lt;&gt;""),--ISNUMBER(SEARCH(";"&amp;ARCHETYPE_IDS&amp;";",";"&amp;SUBSTITUTE(tblThreats[[#This Row],[Archetypes]]," ","")&amp;";")))=LEN(SUBSTITUTE(tblThreats[[#This Row],[Archetypes]]," ",""))-LEN(SUBSTITUTE(SUBSTITUTE(tblThreats[[#This Row],[Archetypes]]," ",""),";",""))+1,"Yes","No"))</f>
        <v/>
      </c>
      <c r="Y18" s="70" t="inlineStr">
        <is>
          <t>Draft</t>
        </is>
      </c>
      <c r="Z18" s="70" t="inlineStr">
        <is>
          <t>No detection: queue depth / dead-letter alerts are platform monitoring, not a SOC detection.</t>
        </is>
      </c>
    </row>
    <row r="19" ht="36" customHeight="1" s="19">
      <c r="A19" s="70" t="inlineStr">
        <is>
          <t>TM-E-001</t>
        </is>
      </c>
      <c r="B19" s="70" t="inlineStr">
        <is>
          <t>Elevation of privilege</t>
        </is>
      </c>
      <c r="C19" s="70" t="inlineStr">
        <is>
          <t>Vertical privilege escalation</t>
        </is>
      </c>
      <c r="D19" s="70" t="inlineStr">
        <is>
          <t>A regular user reaches administrative functions or data because permissions are only enforced in the user interface or are checked inconsistently.</t>
        </is>
      </c>
      <c r="E19" s="70" t="inlineStr">
        <is>
          <t>All</t>
        </is>
      </c>
      <c r="F19" s="70" t="inlineStr">
        <is>
          <t>Has several user roles</t>
        </is>
      </c>
      <c r="G19" s="70">
        <f>MULTIPLE_ROLES="Yes"</f>
        <v/>
      </c>
      <c r="H19"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9" s="71">
        <f>IF(ISERROR(tblThreats[[#This Row],[Applicability formula]]),"Error",IF(AND(tblThreats[[#This Row],[Archetype match]],tblThreats[[#This Row],[Applicability formula]]=TRUE),"Applies","N/A"))</f>
        <v/>
      </c>
      <c r="J19" s="70" t="inlineStr">
        <is>
          <t>CAPEC-233; OWASP API5:2023</t>
        </is>
      </c>
      <c r="K19" s="70" t="inlineStr">
        <is>
          <t>Medium</t>
        </is>
      </c>
      <c r="L19" s="70" t="inlineStr">
        <is>
          <t>High</t>
        </is>
      </c>
      <c r="M19" s="71">
        <f>IFERROR(INDEX(BASE_RISK_MATRIX,MATCH(tblThreats[[#This Row],[Impact]],BASE_RISK_ROWS,0),MATCH(tblThreats[[#This Row],[Likelihood]],BASE_RISK_COLS,0)),"")</f>
        <v/>
      </c>
      <c r="N19" s="71">
        <f>IF(tblThreats[[#This Row],[Applies]]&lt;&gt;"Applies","N/A",IFERROR(INDEX(FINAL_RISK_MATRIX,MATCH(tblThreats[[#This Row],[Base risk]],FINAL_RISK_ROWS,0),MATCH(APP_RISK_TIER,FINAL_RISK_COLS,0)),""))</f>
        <v/>
      </c>
      <c r="O19" s="71">
        <f>IFERROR(MATCH(tblThreats[[#This Row],[Risk]],RISK_SCALE_NAMES,0),0)</f>
        <v/>
      </c>
      <c r="P19" s="71">
        <f>COUNTIF(tblThreatControls[Threat ID],tblThreats[[#This Row],[Threat ID]])</f>
        <v/>
      </c>
      <c r="Q19" s="71">
        <f>COUNTIFS(tblThreatControls[Threat ID],tblThreats[[#This Row],[Threat ID]],tblThreatControls[Coverage status],"Full coverage")</f>
        <v/>
      </c>
      <c r="R19" s="71">
        <f>COUNTIFS(tblThreatControls[Threat ID],tblThreats[[#This Row],[Threat ID]],tblThreatControls[Coverage status],"Partial coverage")</f>
        <v/>
      </c>
      <c r="S19" s="71">
        <f>COUNTIFS(tblThreatControls[Threat ID],tblThreats[[#This Row],[Threat ID]],tblThreatControls[Coverage status],"Gap")</f>
        <v/>
      </c>
      <c r="T19" s="71">
        <f>COUNTIFS(tblThreatControls[Threat ID],tblThreats[[#This Row],[Threat ID]],tblThreatControls[Coverage status],"Not assessed")</f>
        <v/>
      </c>
      <c r="U19" s="71">
        <f>COUNTIFS(tblThreatControls[Threat ID],tblThreats[[#This Row],[Threat ID]],tblThreatControls[Coverage status],"N/A")</f>
        <v/>
      </c>
      <c r="V19"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9" s="71">
        <f>COUNTIF(tblThreatDetections[Threat ID],tblThreats[[#This Row],[Threat ID]])</f>
        <v/>
      </c>
      <c r="X19" s="71">
        <f>IF(TRIM(tblThreats[[#This Row],[Archetypes]])="All","Yes",IF(SUMPRODUCT(--(ARCHETYPE_IDS&lt;&gt;""),--ISNUMBER(SEARCH(";"&amp;ARCHETYPE_IDS&amp;";",";"&amp;SUBSTITUTE(tblThreats[[#This Row],[Archetypes]]," ","")&amp;";")))=LEN(SUBSTITUTE(tblThreats[[#This Row],[Archetypes]]," ",""))-LEN(SUBSTITUTE(SUBSTITUTE(tblThreats[[#This Row],[Archetypes]]," ",""),";",""))+1,"Yes","No"))</f>
        <v/>
      </c>
      <c r="Y19" s="70" t="inlineStr">
        <is>
          <t>Draft</t>
        </is>
      </c>
      <c r="Z19" s="70" t="inlineStr"/>
    </row>
    <row r="20" ht="36" customHeight="1" s="19">
      <c r="A20" s="70" t="inlineStr">
        <is>
          <t>TM-E-002</t>
        </is>
      </c>
      <c r="B20" s="70" t="inlineStr">
        <is>
          <t>Elevation of privilege</t>
        </is>
      </c>
      <c r="C20" s="70" t="inlineStr">
        <is>
          <t>Abuse of vendor remote access</t>
        </is>
      </c>
      <c r="D20" s="70" t="inlineStr">
        <is>
          <t>Permanent or uncontrolled vendor remote access is used - by the vendor or by an attacker who compromised the vendor - to act with administrative rights.</t>
        </is>
      </c>
      <c r="E20" s="70" t="inlineStr">
        <is>
          <t>All</t>
        </is>
      </c>
      <c r="F20" s="70" t="inlineStr">
        <is>
          <t>Vendor product with permanent or unknown vendor remote access</t>
        </is>
      </c>
      <c r="G20" s="70">
        <f>AND(IS_COTS,OR(VENDOR_REMOTE_ACCESS="Yes, permanent",VENDOR_REMOTE_ACCESS="Don't know"))</f>
        <v/>
      </c>
      <c r="H20"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20" s="71">
        <f>IF(ISERROR(tblThreats[[#This Row],[Applicability formula]]),"Error",IF(AND(tblThreats[[#This Row],[Archetype match]],tblThreats[[#This Row],[Applicability formula]]=TRUE),"Applies","N/A"))</f>
        <v/>
      </c>
      <c r="J20" s="70" t="inlineStr">
        <is>
          <t>ATT&amp;CK T1133; ATT&amp;CK T1199</t>
        </is>
      </c>
      <c r="K20" s="70" t="inlineStr">
        <is>
          <t>Medium</t>
        </is>
      </c>
      <c r="L20" s="70" t="inlineStr">
        <is>
          <t>High</t>
        </is>
      </c>
      <c r="M20" s="71">
        <f>IFERROR(INDEX(BASE_RISK_MATRIX,MATCH(tblThreats[[#This Row],[Impact]],BASE_RISK_ROWS,0),MATCH(tblThreats[[#This Row],[Likelihood]],BASE_RISK_COLS,0)),"")</f>
        <v/>
      </c>
      <c r="N20" s="71">
        <f>IF(tblThreats[[#This Row],[Applies]]&lt;&gt;"Applies","N/A",IFERROR(INDEX(FINAL_RISK_MATRIX,MATCH(tblThreats[[#This Row],[Base risk]],FINAL_RISK_ROWS,0),MATCH(APP_RISK_TIER,FINAL_RISK_COLS,0)),""))</f>
        <v/>
      </c>
      <c r="O20" s="71">
        <f>IFERROR(MATCH(tblThreats[[#This Row],[Risk]],RISK_SCALE_NAMES,0),0)</f>
        <v/>
      </c>
      <c r="P20" s="71">
        <f>COUNTIF(tblThreatControls[Threat ID],tblThreats[[#This Row],[Threat ID]])</f>
        <v/>
      </c>
      <c r="Q20" s="71">
        <f>COUNTIFS(tblThreatControls[Threat ID],tblThreats[[#This Row],[Threat ID]],tblThreatControls[Coverage status],"Full coverage")</f>
        <v/>
      </c>
      <c r="R20" s="71">
        <f>COUNTIFS(tblThreatControls[Threat ID],tblThreats[[#This Row],[Threat ID]],tblThreatControls[Coverage status],"Partial coverage")</f>
        <v/>
      </c>
      <c r="S20" s="71">
        <f>COUNTIFS(tblThreatControls[Threat ID],tblThreats[[#This Row],[Threat ID]],tblThreatControls[Coverage status],"Gap")</f>
        <v/>
      </c>
      <c r="T20" s="71">
        <f>COUNTIFS(tblThreatControls[Threat ID],tblThreats[[#This Row],[Threat ID]],tblThreatControls[Coverage status],"Not assessed")</f>
        <v/>
      </c>
      <c r="U20" s="71">
        <f>COUNTIFS(tblThreatControls[Threat ID],tblThreats[[#This Row],[Threat ID]],tblThreatControls[Coverage status],"N/A")</f>
        <v/>
      </c>
      <c r="V20"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20" s="71">
        <f>COUNTIF(tblThreatDetections[Threat ID],tblThreats[[#This Row],[Threat ID]])</f>
        <v/>
      </c>
      <c r="X20" s="71">
        <f>IF(TRIM(tblThreats[[#This Row],[Archetypes]])="All","Yes",IF(SUMPRODUCT(--(ARCHETYPE_IDS&lt;&gt;""),--ISNUMBER(SEARCH(";"&amp;ARCHETYPE_IDS&amp;";",";"&amp;SUBSTITUTE(tblThreats[[#This Row],[Archetypes]]," ","")&amp;";")))=LEN(SUBSTITUTE(tblThreats[[#This Row],[Archetypes]]," ",""))-LEN(SUBSTITUTE(SUBSTITUTE(tblThreats[[#This Row],[Archetypes]]," ",""),";",""))+1,"Yes","No"))</f>
        <v/>
      </c>
      <c r="Y20" s="70" t="inlineStr">
        <is>
          <t>Draft</t>
        </is>
      </c>
      <c r="Z20" s="70" t="inlineStr"/>
    </row>
    <row r="21" ht="36" customHeight="1" s="19">
      <c r="A21" s="70" t="inlineStr">
        <is>
          <t>TM-E-003</t>
        </is>
      </c>
      <c r="B21" s="70" t="inlineStr">
        <is>
          <t>Elevation of privilege</t>
        </is>
      </c>
      <c r="C21" s="70" t="inlineStr">
        <is>
          <t>Exploitation of an unsupported product version</t>
        </is>
      </c>
      <c r="D21" s="70" t="inlineStr">
        <is>
          <t>The product version no longer receives security fixes, so publicly known vulnerabilities stay exploitable indefinitely.</t>
        </is>
      </c>
      <c r="E21" s="70" t="inlineStr">
        <is>
          <t>All</t>
        </is>
      </c>
      <c r="F21" s="70" t="inlineStr">
        <is>
          <t>Vendor product whose version is not confirmed as supported</t>
        </is>
      </c>
      <c r="G21" s="70">
        <f>AND(IS_COTS,VENDOR_SUPPORTED&lt;&gt;"Yes")</f>
        <v/>
      </c>
      <c r="H21"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21" s="71">
        <f>IF(ISERROR(tblThreats[[#This Row],[Applicability formula]]),"Error",IF(AND(tblThreats[[#This Row],[Archetype match]],tblThreats[[#This Row],[Applicability formula]]=TRUE),"Applies","N/A"))</f>
        <v/>
      </c>
      <c r="J21" s="70" t="inlineStr">
        <is>
          <t>ATT&amp;CK T1190</t>
        </is>
      </c>
      <c r="K21" s="70" t="inlineStr">
        <is>
          <t>High</t>
        </is>
      </c>
      <c r="L21" s="70" t="inlineStr">
        <is>
          <t>High</t>
        </is>
      </c>
      <c r="M21" s="71">
        <f>IFERROR(INDEX(BASE_RISK_MATRIX,MATCH(tblThreats[[#This Row],[Impact]],BASE_RISK_ROWS,0),MATCH(tblThreats[[#This Row],[Likelihood]],BASE_RISK_COLS,0)),"")</f>
        <v/>
      </c>
      <c r="N21" s="71">
        <f>IF(tblThreats[[#This Row],[Applies]]&lt;&gt;"Applies","N/A",IFERROR(INDEX(FINAL_RISK_MATRIX,MATCH(tblThreats[[#This Row],[Base risk]],FINAL_RISK_ROWS,0),MATCH(APP_RISK_TIER,FINAL_RISK_COLS,0)),""))</f>
        <v/>
      </c>
      <c r="O21" s="71">
        <f>IFERROR(MATCH(tblThreats[[#This Row],[Risk]],RISK_SCALE_NAMES,0),0)</f>
        <v/>
      </c>
      <c r="P21" s="71">
        <f>COUNTIF(tblThreatControls[Threat ID],tblThreats[[#This Row],[Threat ID]])</f>
        <v/>
      </c>
      <c r="Q21" s="71">
        <f>COUNTIFS(tblThreatControls[Threat ID],tblThreats[[#This Row],[Threat ID]],tblThreatControls[Coverage status],"Full coverage")</f>
        <v/>
      </c>
      <c r="R21" s="71">
        <f>COUNTIFS(tblThreatControls[Threat ID],tblThreats[[#This Row],[Threat ID]],tblThreatControls[Coverage status],"Partial coverage")</f>
        <v/>
      </c>
      <c r="S21" s="71">
        <f>COUNTIFS(tblThreatControls[Threat ID],tblThreats[[#This Row],[Threat ID]],tblThreatControls[Coverage status],"Gap")</f>
        <v/>
      </c>
      <c r="T21" s="71">
        <f>COUNTIFS(tblThreatControls[Threat ID],tblThreats[[#This Row],[Threat ID]],tblThreatControls[Coverage status],"Not assessed")</f>
        <v/>
      </c>
      <c r="U21" s="71">
        <f>COUNTIFS(tblThreatControls[Threat ID],tblThreats[[#This Row],[Threat ID]],tblThreatControls[Coverage status],"N/A")</f>
        <v/>
      </c>
      <c r="V21"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21" s="71">
        <f>COUNTIF(tblThreatDetections[Threat ID],tblThreats[[#This Row],[Threat ID]])</f>
        <v/>
      </c>
      <c r="X21" s="71">
        <f>IF(TRIM(tblThreats[[#This Row],[Archetypes]])="All","Yes",IF(SUMPRODUCT(--(ARCHETYPE_IDS&lt;&gt;""),--ISNUMBER(SEARCH(";"&amp;ARCHETYPE_IDS&amp;";",";"&amp;SUBSTITUTE(tblThreats[[#This Row],[Archetypes]]," ","")&amp;";")))=LEN(SUBSTITUTE(tblThreats[[#This Row],[Archetypes]]," ",""))-LEN(SUBSTITUTE(SUBSTITUTE(tblThreats[[#This Row],[Archetypes]]," ",""),";",""))+1,"Yes","No"))</f>
        <v/>
      </c>
      <c r="Y21" s="70" t="inlineStr">
        <is>
          <t>Draft</t>
        </is>
      </c>
      <c r="Z21" s="70" t="inlineStr"/>
    </row>
  </sheetData>
  <sheetProtection selectLockedCells="0" selectUnlockedCells="0" sheet="1" objects="0" insertRows="1" insertHyperlinks="1" autoFilter="0" scenarios="0" formatColumns="0" deleteColumns="1" insertColumns="1" pivotTables="1" deleteRows="1" formatCells="1" formatRows="0" sort="0"/>
  <mergeCells count="1">
    <mergeCell ref="A2:Z2"/>
  </mergeCells>
  <conditionalFormatting sqref="N5:N500">
    <cfRule type="expression" priority="1" dxfId="9">
      <formula>$N5="Critical"</formula>
    </cfRule>
    <cfRule type="expression" priority="2" dxfId="10">
      <formula>$N5="High"</formula>
    </cfRule>
    <cfRule type="expression" priority="3" dxfId="11">
      <formula>$N5="Medium"</formula>
    </cfRule>
  </conditionalFormatting>
  <conditionalFormatting sqref="V5:V500">
    <cfRule type="expression" priority="4" dxfId="9">
      <formula>$V5="Unmitigated"</formula>
    </cfRule>
    <cfRule type="expression" priority="5" dxfId="11">
      <formula>$V5="Partially mitigated"</formula>
    </cfRule>
    <cfRule type="expression" priority="6" dxfId="13">
      <formula>$V5="Mitigated"</formula>
    </cfRule>
    <cfRule type="expression" priority="7" dxfId="17">
      <formula>$V5="Not verified"</formula>
    </cfRule>
    <cfRule type="expression" priority="8" dxfId="17">
      <formula>$V5="No applicable controls"</formula>
    </cfRule>
    <cfRule type="expression" priority="9" dxfId="9">
      <formula>$V5="No controls mapped"</formula>
    </cfRule>
  </conditionalFormatting>
  <conditionalFormatting sqref="A5:Z500">
    <cfRule type="expression" priority="10" dxfId="19">
      <formula>$I5="N/A"</formula>
    </cfRule>
  </conditionalFormatting>
  <dataValidations count="3">
    <dataValidation sqref="B5:B500" showDropDown="0" showInputMessage="0" showErrorMessage="1" allowBlank="1" error="Choose one of the listed options." type="list">
      <formula1>LIST_STRIDE</formula1>
    </dataValidation>
    <dataValidation sqref="K5:L500" showDropDown="0" showInputMessage="0" showErrorMessage="1" allowBlank="1" error="Choose one of the listed options." type="list">
      <formula1>LIST_LMH</formula1>
    </dataValidation>
    <dataValidation sqref="Y5:Y500" showDropDown="0" showInputMessage="0" showErrorMessage="1" allowBlank="1" error="Choose one of the listed options." type="list">
      <formula1>LIST_REVIEW_STATUS</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FF7030A0"/>
    <outlinePr summaryBelow="1" summaryRight="1"/>
    <pageSetUpPr/>
  </sheetPr>
  <dimension ref="A1:Z100"/>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style="19" min="1" max="1"/>
    <col width="14" customWidth="1" style="19" min="2" max="2"/>
    <col width="14" customWidth="1" style="19" min="3" max="3"/>
    <col width="40" customWidth="1" style="19" min="4" max="4"/>
    <col width="11" customWidth="1" style="19" min="5" max="5"/>
    <col width="12" customWidth="1" style="19" min="6" max="6"/>
    <col width="14" customWidth="1" style="19" min="7" max="7"/>
    <col width="14" customWidth="1" style="19" min="8" max="8"/>
    <col width="11" customWidth="1" style="19" min="9" max="9"/>
    <col width="10" customWidth="1" style="19" min="10" max="10"/>
    <col width="9" customWidth="1" style="19" min="11" max="11"/>
    <col width="26" customWidth="1" style="19" min="12" max="12"/>
    <col width="8" customWidth="1" style="19" min="13" max="13"/>
    <col width="12" customWidth="1" style="19" min="14" max="14"/>
    <col width="8" customWidth="1" style="19" min="15" max="15"/>
    <col width="12" customWidth="1" style="19" min="16" max="16"/>
  </cols>
  <sheetData>
    <row r="1" ht="25.5" customHeight="1" s="19">
      <c r="A1" s="63" t="inlineStr">
        <is>
          <t>Threat-Control Map (catalog — maintained centrally)</t>
        </is>
      </c>
      <c r="B1" s="64" t="n"/>
      <c r="C1" s="64" t="n"/>
      <c r="D1" s="64" t="n"/>
      <c r="E1" s="64" t="n"/>
      <c r="F1" s="64" t="n"/>
      <c r="G1" s="64" t="n"/>
      <c r="H1" s="64" t="n"/>
      <c r="I1" s="64" t="n"/>
      <c r="J1" s="64" t="n"/>
      <c r="K1" s="64" t="n"/>
      <c r="L1" s="64" t="n"/>
      <c r="M1" s="64" t="n"/>
      <c r="N1" s="64" t="n"/>
      <c r="O1" s="64" t="n"/>
      <c r="P1" s="64" t="n"/>
    </row>
    <row r="2" ht="45" customHeight="1" s="19">
      <c r="A2" s="65" t="inlineStr">
        <is>
          <t>One row per link between a threat and a control that mitigates it. Control ID is a 'Hardening Baseline' ID (HB-…) or an ID from 'Custom Controls'. Default owner is used when the control's own Remediation Owner (column Q) is blank. Grey columns are calculated; 'Warning' flags links that need attention in this application.</t>
        </is>
      </c>
    </row>
    <row r="3"/>
    <row r="4">
      <c r="A4" s="68" t="inlineStr">
        <is>
          <t>Threat ID</t>
        </is>
      </c>
      <c r="B4" s="68" t="inlineStr">
        <is>
          <t>Control ID</t>
        </is>
      </c>
      <c r="C4" s="68" t="inlineStr">
        <is>
          <t>Default owner</t>
        </is>
      </c>
      <c r="D4" s="68" t="inlineStr">
        <is>
          <t>How it mitigates</t>
        </is>
      </c>
      <c r="E4" s="68" t="inlineStr">
        <is>
          <t>Control source</t>
        </is>
      </c>
      <c r="F4" s="68" t="inlineStr">
        <is>
          <t>Control applicable</t>
        </is>
      </c>
      <c r="G4" s="68" t="inlineStr">
        <is>
          <t>Coverage status</t>
        </is>
      </c>
      <c r="H4" s="68" t="inlineStr">
        <is>
          <t>Effective owner</t>
        </is>
      </c>
      <c r="I4" s="68" t="inlineStr">
        <is>
          <t>Threat applies</t>
        </is>
      </c>
      <c r="J4" s="68" t="inlineStr">
        <is>
          <t>Threat risk</t>
        </is>
      </c>
      <c r="K4" s="68" t="inlineStr">
        <is>
          <t>Threat risk score</t>
        </is>
      </c>
      <c r="L4" s="68" t="inlineStr">
        <is>
          <t>Warning</t>
        </is>
      </c>
      <c r="M4" s="68" t="inlineStr">
        <is>
          <t>Source row</t>
        </is>
      </c>
      <c r="N4" s="68" t="inlineStr">
        <is>
          <t>Raw coverage</t>
        </is>
      </c>
      <c r="O4" s="68" t="inlineStr">
        <is>
          <t>Raw level</t>
        </is>
      </c>
      <c r="P4" s="68" t="inlineStr">
        <is>
          <t>Raw owner</t>
        </is>
      </c>
    </row>
    <row r="5" ht="36" customHeight="1" s="19">
      <c r="A5" s="70" t="inlineStr">
        <is>
          <t>TM-S-001</t>
        </is>
      </c>
      <c r="B5" s="70" t="inlineStr">
        <is>
          <t>HB-AUTH-02</t>
        </is>
      </c>
      <c r="C5" s="70" t="inlineStr">
        <is>
          <t>Internal dev</t>
        </is>
      </c>
      <c r="D5" s="70" t="inlineStr">
        <is>
          <t>Documents rate limiting / anti-automation against credential stuffing; implements the anti-credential-stuffing controls; prevents account enumeration during guessing</t>
        </is>
      </c>
      <c r="E5" s="71">
        <f>IF(ISNUMBER(MATCH(tblThreatControls[[#This Row],[Control ID]],BL_IDS,0)),"Baseline",IF(ISNUMBER(MATCH(tblThreatControls[[#This Row],[Control ID]],CC_IDS,0)),"Custom","NOT FOUND"))</f>
        <v/>
      </c>
      <c r="F5" s="71">
        <f>IF(tblThreatControls[[#This Row],[Control source]]="Baseline",INDEX(BL_APPLICABLE,tblThreatControls[[#This Row],[Source row]])&amp;"",IF(tblThreatControls[[#This Row],[Control source]]="Custom",INDEX(CC_APPLICABLE,tblThreatControls[[#This Row],[Source row]])&amp;"","NOT FOUND"))</f>
        <v/>
      </c>
      <c r="G5" s="71">
        <f>IF(tblThreatControls[[#This Row],[Control applicable]]&lt;&gt;"Applicable","N/A",IF(tblThreatControls[[#This Row],[Raw coverage]]="","Not assessed",tblThreatControls[[#This Row],[Raw coverage]]))</f>
        <v/>
      </c>
      <c r="H5" s="71">
        <f>IF(tblThreatControls[[#This Row],[Raw owner]]="",tblThreatControls[[#This Row],[Default owner]],tblThreatControls[[#This Row],[Raw owner]])</f>
        <v/>
      </c>
      <c r="I5" s="71">
        <f>IFERROR(INDEX(tblThreats[Applies],MATCH(tblThreatControls[[#This Row],[Threat ID]],tblThreats[Threat ID],0)),"NOT FOUND")</f>
        <v/>
      </c>
      <c r="J5" s="71">
        <f>IFERROR(INDEX(tblThreats[Risk],MATCH(tblThreatControls[[#This Row],[Threat ID]],tblThreats[Threat ID],0)),"")</f>
        <v/>
      </c>
      <c r="K5" s="71">
        <f>IF(tblThreatControls[[#This Row],[Threat applies]]="Applies",IFERROR(INDEX(tblThreats[Risk score],MATCH(tblThreatControls[[#This Row],[Threat ID]],tblThreats[Threat ID],0)),0),0)</f>
        <v/>
      </c>
      <c r="L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5" s="71">
        <f>IF(tblThreatControls[[#This Row],[Control source]]="Baseline",MATCH(tblThreatControls[[#This Row],[Control ID]],BL_IDS,0),IF(tblThreatControls[[#This Row],[Control source]]="Custom",MATCH(tblThreatControls[[#This Row],[Control ID]],CC_IDS,0),0))</f>
        <v/>
      </c>
      <c r="N5" s="71">
        <f>IF(tblThreatControls[[#This Row],[Control source]]="Baseline",INDEX(BL_COVERAGE,tblThreatControls[[#This Row],[Source row]])&amp;"",IF(tblThreatControls[[#This Row],[Control source]]="Custom",INDEX(CC_COVERAGE,tblThreatControls[[#This Row],[Source row]])&amp;"",""))</f>
        <v/>
      </c>
      <c r="O5" s="71">
        <f>IF(tblThreatControls[[#This Row],[Control source]]="Baseline",INDEX(BL_LEVEL,tblThreatControls[[#This Row],[Source row]]),IF(tblThreatControls[[#This Row],[Control source]]="Custom",INDEX(CC_LEVEL,tblThreatControls[[#This Row],[Source row]]),0))</f>
        <v/>
      </c>
      <c r="P5" s="71">
        <f>IF(tblThreatControls[[#This Row],[Control source]]="Baseline",INDEX(BL_OWNER,tblThreatControls[[#This Row],[Source row]])&amp;"",IF(tblThreatControls[[#This Row],[Control source]]="Custom",INDEX(CC_OWNER,tblThreatControls[[#This Row],[Source row]])&amp;"",""))</f>
        <v/>
      </c>
    </row>
    <row r="6" ht="36" customHeight="1" s="19">
      <c r="A6" s="70" t="inlineStr">
        <is>
          <t>TM-S-001</t>
        </is>
      </c>
      <c r="B6" s="70" t="inlineStr">
        <is>
          <t>HB-AUTH-04</t>
        </is>
      </c>
      <c r="C6" s="70" t="inlineStr">
        <is>
          <t>Configuration</t>
        </is>
      </c>
      <c r="D6" s="70" t="inlineStr">
        <is>
          <t>MFA makes stolen passwords insufficient</t>
        </is>
      </c>
      <c r="E6" s="71">
        <f>IF(ISNUMBER(MATCH(tblThreatControls[[#This Row],[Control ID]],BL_IDS,0)),"Baseline",IF(ISNUMBER(MATCH(tblThreatControls[[#This Row],[Control ID]],CC_IDS,0)),"Custom","NOT FOUND"))</f>
        <v/>
      </c>
      <c r="F6" s="71">
        <f>IF(tblThreatControls[[#This Row],[Control source]]="Baseline",INDEX(BL_APPLICABLE,tblThreatControls[[#This Row],[Source row]])&amp;"",IF(tblThreatControls[[#This Row],[Control source]]="Custom",INDEX(CC_APPLICABLE,tblThreatControls[[#This Row],[Source row]])&amp;"","NOT FOUND"))</f>
        <v/>
      </c>
      <c r="G6" s="71">
        <f>IF(tblThreatControls[[#This Row],[Control applicable]]&lt;&gt;"Applicable","N/A",IF(tblThreatControls[[#This Row],[Raw coverage]]="","Not assessed",tblThreatControls[[#This Row],[Raw coverage]]))</f>
        <v/>
      </c>
      <c r="H6" s="71">
        <f>IF(tblThreatControls[[#This Row],[Raw owner]]="",tblThreatControls[[#This Row],[Default owner]],tblThreatControls[[#This Row],[Raw owner]])</f>
        <v/>
      </c>
      <c r="I6" s="71">
        <f>IFERROR(INDEX(tblThreats[Applies],MATCH(tblThreatControls[[#This Row],[Threat ID]],tblThreats[Threat ID],0)),"NOT FOUND")</f>
        <v/>
      </c>
      <c r="J6" s="71">
        <f>IFERROR(INDEX(tblThreats[Risk],MATCH(tblThreatControls[[#This Row],[Threat ID]],tblThreats[Threat ID],0)),"")</f>
        <v/>
      </c>
      <c r="K6" s="71">
        <f>IF(tblThreatControls[[#This Row],[Threat applies]]="Applies",IFERROR(INDEX(tblThreats[Risk score],MATCH(tblThreatControls[[#This Row],[Threat ID]],tblThreats[Threat ID],0)),0),0)</f>
        <v/>
      </c>
      <c r="L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6" s="71">
        <f>IF(tblThreatControls[[#This Row],[Control source]]="Baseline",MATCH(tblThreatControls[[#This Row],[Control ID]],BL_IDS,0),IF(tblThreatControls[[#This Row],[Control source]]="Custom",MATCH(tblThreatControls[[#This Row],[Control ID]],CC_IDS,0),0))</f>
        <v/>
      </c>
      <c r="N6" s="71">
        <f>IF(tblThreatControls[[#This Row],[Control source]]="Baseline",INDEX(BL_COVERAGE,tblThreatControls[[#This Row],[Source row]])&amp;"",IF(tblThreatControls[[#This Row],[Control source]]="Custom",INDEX(CC_COVERAGE,tblThreatControls[[#This Row],[Source row]])&amp;"",""))</f>
        <v/>
      </c>
      <c r="O6" s="71">
        <f>IF(tblThreatControls[[#This Row],[Control source]]="Baseline",INDEX(BL_LEVEL,tblThreatControls[[#This Row],[Source row]]),IF(tblThreatControls[[#This Row],[Control source]]="Custom",INDEX(CC_LEVEL,tblThreatControls[[#This Row],[Source row]]),0))</f>
        <v/>
      </c>
      <c r="P6" s="71">
        <f>IF(tblThreatControls[[#This Row],[Control source]]="Baseline",INDEX(BL_OWNER,tblThreatControls[[#This Row],[Source row]])&amp;"",IF(tblThreatControls[[#This Row],[Control source]]="Custom",INDEX(CC_OWNER,tblThreatControls[[#This Row],[Source row]])&amp;"",""))</f>
        <v/>
      </c>
    </row>
    <row r="7" ht="36" customHeight="1" s="19">
      <c r="A7" s="70" t="inlineStr">
        <is>
          <t>TM-S-001</t>
        </is>
      </c>
      <c r="B7" s="70" t="inlineStr">
        <is>
          <t>TMX-WAF-001</t>
        </is>
      </c>
      <c r="C7" s="70" t="inlineStr">
        <is>
          <t>Compensating</t>
        </is>
      </c>
      <c r="D7" s="70" t="inlineStr">
        <is>
          <t>Bot and rate protection in front of the login</t>
        </is>
      </c>
      <c r="E7" s="71">
        <f>IF(ISNUMBER(MATCH(tblThreatControls[[#This Row],[Control ID]],BL_IDS,0)),"Baseline",IF(ISNUMBER(MATCH(tblThreatControls[[#This Row],[Control ID]],CC_IDS,0)),"Custom","NOT FOUND"))</f>
        <v/>
      </c>
      <c r="F7" s="71">
        <f>IF(tblThreatControls[[#This Row],[Control source]]="Baseline",INDEX(BL_APPLICABLE,tblThreatControls[[#This Row],[Source row]])&amp;"",IF(tblThreatControls[[#This Row],[Control source]]="Custom",INDEX(CC_APPLICABLE,tblThreatControls[[#This Row],[Source row]])&amp;"","NOT FOUND"))</f>
        <v/>
      </c>
      <c r="G7" s="71">
        <f>IF(tblThreatControls[[#This Row],[Control applicable]]&lt;&gt;"Applicable","N/A",IF(tblThreatControls[[#This Row],[Raw coverage]]="","Not assessed",tblThreatControls[[#This Row],[Raw coverage]]))</f>
        <v/>
      </c>
      <c r="H7" s="71">
        <f>IF(tblThreatControls[[#This Row],[Raw owner]]="",tblThreatControls[[#This Row],[Default owner]],tblThreatControls[[#This Row],[Raw owner]])</f>
        <v/>
      </c>
      <c r="I7" s="71">
        <f>IFERROR(INDEX(tblThreats[Applies],MATCH(tblThreatControls[[#This Row],[Threat ID]],tblThreats[Threat ID],0)),"NOT FOUND")</f>
        <v/>
      </c>
      <c r="J7" s="71">
        <f>IFERROR(INDEX(tblThreats[Risk],MATCH(tblThreatControls[[#This Row],[Threat ID]],tblThreats[Threat ID],0)),"")</f>
        <v/>
      </c>
      <c r="K7" s="71">
        <f>IF(tblThreatControls[[#This Row],[Threat applies]]="Applies",IFERROR(INDEX(tblThreats[Risk score],MATCH(tblThreatControls[[#This Row],[Threat ID]],tblThreats[Threat ID],0)),0),0)</f>
        <v/>
      </c>
      <c r="L7"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7" s="71">
        <f>IF(tblThreatControls[[#This Row],[Control source]]="Baseline",MATCH(tblThreatControls[[#This Row],[Control ID]],BL_IDS,0),IF(tblThreatControls[[#This Row],[Control source]]="Custom",MATCH(tblThreatControls[[#This Row],[Control ID]],CC_IDS,0),0))</f>
        <v/>
      </c>
      <c r="N7" s="71">
        <f>IF(tblThreatControls[[#This Row],[Control source]]="Baseline",INDEX(BL_COVERAGE,tblThreatControls[[#This Row],[Source row]])&amp;"",IF(tblThreatControls[[#This Row],[Control source]]="Custom",INDEX(CC_COVERAGE,tblThreatControls[[#This Row],[Source row]])&amp;"",""))</f>
        <v/>
      </c>
      <c r="O7" s="71">
        <f>IF(tblThreatControls[[#This Row],[Control source]]="Baseline",INDEX(BL_LEVEL,tblThreatControls[[#This Row],[Source row]]),IF(tblThreatControls[[#This Row],[Control source]]="Custom",INDEX(CC_LEVEL,tblThreatControls[[#This Row],[Source row]]),0))</f>
        <v/>
      </c>
      <c r="P7" s="71">
        <f>IF(tblThreatControls[[#This Row],[Control source]]="Baseline",INDEX(BL_OWNER,tblThreatControls[[#This Row],[Source row]])&amp;"",IF(tblThreatControls[[#This Row],[Control source]]="Custom",INDEX(CC_OWNER,tblThreatControls[[#This Row],[Source row]])&amp;"",""))</f>
        <v/>
      </c>
    </row>
    <row r="8" ht="36" customHeight="1" s="19">
      <c r="A8" s="70" t="inlineStr">
        <is>
          <t>TM-S-002</t>
        </is>
      </c>
      <c r="B8" s="70" t="inlineStr">
        <is>
          <t>HB-AUTHZ-05</t>
        </is>
      </c>
      <c r="C8" s="70" t="inlineStr">
        <is>
          <t>Configuration</t>
        </is>
      </c>
      <c r="D8" s="70" t="inlineStr">
        <is>
          <t>Multiple layers of security for admin interfaces</t>
        </is>
      </c>
      <c r="E8" s="71">
        <f>IF(ISNUMBER(MATCH(tblThreatControls[[#This Row],[Control ID]],BL_IDS,0)),"Baseline",IF(ISNUMBER(MATCH(tblThreatControls[[#This Row],[Control ID]],CC_IDS,0)),"Custom","NOT FOUND"))</f>
        <v/>
      </c>
      <c r="F8" s="71">
        <f>IF(tblThreatControls[[#This Row],[Control source]]="Baseline",INDEX(BL_APPLICABLE,tblThreatControls[[#This Row],[Source row]])&amp;"",IF(tblThreatControls[[#This Row],[Control source]]="Custom",INDEX(CC_APPLICABLE,tblThreatControls[[#This Row],[Source row]])&amp;"","NOT FOUND"))</f>
        <v/>
      </c>
      <c r="G8" s="71">
        <f>IF(tblThreatControls[[#This Row],[Control applicable]]&lt;&gt;"Applicable","N/A",IF(tblThreatControls[[#This Row],[Raw coverage]]="","Not assessed",tblThreatControls[[#This Row],[Raw coverage]]))</f>
        <v/>
      </c>
      <c r="H8" s="71">
        <f>IF(tblThreatControls[[#This Row],[Raw owner]]="",tblThreatControls[[#This Row],[Default owner]],tblThreatControls[[#This Row],[Raw owner]])</f>
        <v/>
      </c>
      <c r="I8" s="71">
        <f>IFERROR(INDEX(tblThreats[Applies],MATCH(tblThreatControls[[#This Row],[Threat ID]],tblThreats[Threat ID],0)),"NOT FOUND")</f>
        <v/>
      </c>
      <c r="J8" s="71">
        <f>IFERROR(INDEX(tblThreats[Risk],MATCH(tblThreatControls[[#This Row],[Threat ID]],tblThreats[Threat ID],0)),"")</f>
        <v/>
      </c>
      <c r="K8" s="71">
        <f>IF(tblThreatControls[[#This Row],[Threat applies]]="Applies",IFERROR(INDEX(tblThreats[Risk score],MATCH(tblThreatControls[[#This Row],[Threat ID]],tblThreats[Threat ID],0)),0),0)</f>
        <v/>
      </c>
      <c r="L8"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8" s="71">
        <f>IF(tblThreatControls[[#This Row],[Control source]]="Baseline",MATCH(tblThreatControls[[#This Row],[Control ID]],BL_IDS,0),IF(tblThreatControls[[#This Row],[Control source]]="Custom",MATCH(tblThreatControls[[#This Row],[Control ID]],CC_IDS,0),0))</f>
        <v/>
      </c>
      <c r="N8" s="71">
        <f>IF(tblThreatControls[[#This Row],[Control source]]="Baseline",INDEX(BL_COVERAGE,tblThreatControls[[#This Row],[Source row]])&amp;"",IF(tblThreatControls[[#This Row],[Control source]]="Custom",INDEX(CC_COVERAGE,tblThreatControls[[#This Row],[Source row]])&amp;"",""))</f>
        <v/>
      </c>
      <c r="O8" s="71">
        <f>IF(tblThreatControls[[#This Row],[Control source]]="Baseline",INDEX(BL_LEVEL,tblThreatControls[[#This Row],[Source row]]),IF(tblThreatControls[[#This Row],[Control source]]="Custom",INDEX(CC_LEVEL,tblThreatControls[[#This Row],[Source row]]),0))</f>
        <v/>
      </c>
      <c r="P8" s="71">
        <f>IF(tblThreatControls[[#This Row],[Control source]]="Baseline",INDEX(BL_OWNER,tblThreatControls[[#This Row],[Source row]])&amp;"",IF(tblThreatControls[[#This Row],[Control source]]="Custom",INDEX(CC_OWNER,tblThreatControls[[#This Row],[Source row]])&amp;"",""))</f>
        <v/>
      </c>
    </row>
    <row r="9" ht="36" customHeight="1" s="19">
      <c r="A9" s="70" t="inlineStr">
        <is>
          <t>TM-S-002</t>
        </is>
      </c>
      <c r="B9" s="70" t="inlineStr">
        <is>
          <t>HB-AUTH-04</t>
        </is>
      </c>
      <c r="C9" s="70" t="inlineStr">
        <is>
          <t>Configuration</t>
        </is>
      </c>
      <c r="D9" s="70" t="inlineStr">
        <is>
          <t>MFA on the admin login</t>
        </is>
      </c>
      <c r="E9" s="71">
        <f>IF(ISNUMBER(MATCH(tblThreatControls[[#This Row],[Control ID]],BL_IDS,0)),"Baseline",IF(ISNUMBER(MATCH(tblThreatControls[[#This Row],[Control ID]],CC_IDS,0)),"Custom","NOT FOUND"))</f>
        <v/>
      </c>
      <c r="F9" s="71">
        <f>IF(tblThreatControls[[#This Row],[Control source]]="Baseline",INDEX(BL_APPLICABLE,tblThreatControls[[#This Row],[Source row]])&amp;"",IF(tblThreatControls[[#This Row],[Control source]]="Custom",INDEX(CC_APPLICABLE,tblThreatControls[[#This Row],[Source row]])&amp;"","NOT FOUND"))</f>
        <v/>
      </c>
      <c r="G9" s="71">
        <f>IF(tblThreatControls[[#This Row],[Control applicable]]&lt;&gt;"Applicable","N/A",IF(tblThreatControls[[#This Row],[Raw coverage]]="","Not assessed",tblThreatControls[[#This Row],[Raw coverage]]))</f>
        <v/>
      </c>
      <c r="H9" s="71">
        <f>IF(tblThreatControls[[#This Row],[Raw owner]]="",tblThreatControls[[#This Row],[Default owner]],tblThreatControls[[#This Row],[Raw owner]])</f>
        <v/>
      </c>
      <c r="I9" s="71">
        <f>IFERROR(INDEX(tblThreats[Applies],MATCH(tblThreatControls[[#This Row],[Threat ID]],tblThreats[Threat ID],0)),"NOT FOUND")</f>
        <v/>
      </c>
      <c r="J9" s="71">
        <f>IFERROR(INDEX(tblThreats[Risk],MATCH(tblThreatControls[[#This Row],[Threat ID]],tblThreats[Threat ID],0)),"")</f>
        <v/>
      </c>
      <c r="K9" s="71">
        <f>IF(tblThreatControls[[#This Row],[Threat applies]]="Applies",IFERROR(INDEX(tblThreats[Risk score],MATCH(tblThreatControls[[#This Row],[Threat ID]],tblThreats[Threat ID],0)),0),0)</f>
        <v/>
      </c>
      <c r="L9"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9" s="71">
        <f>IF(tblThreatControls[[#This Row],[Control source]]="Baseline",MATCH(tblThreatControls[[#This Row],[Control ID]],BL_IDS,0),IF(tblThreatControls[[#This Row],[Control source]]="Custom",MATCH(tblThreatControls[[#This Row],[Control ID]],CC_IDS,0),0))</f>
        <v/>
      </c>
      <c r="N9" s="71">
        <f>IF(tblThreatControls[[#This Row],[Control source]]="Baseline",INDEX(BL_COVERAGE,tblThreatControls[[#This Row],[Source row]])&amp;"",IF(tblThreatControls[[#This Row],[Control source]]="Custom",INDEX(CC_COVERAGE,tblThreatControls[[#This Row],[Source row]])&amp;"",""))</f>
        <v/>
      </c>
      <c r="O9" s="71">
        <f>IF(tblThreatControls[[#This Row],[Control source]]="Baseline",INDEX(BL_LEVEL,tblThreatControls[[#This Row],[Source row]]),IF(tblThreatControls[[#This Row],[Control source]]="Custom",INDEX(CC_LEVEL,tblThreatControls[[#This Row],[Source row]]),0))</f>
        <v/>
      </c>
      <c r="P9" s="71">
        <f>IF(tblThreatControls[[#This Row],[Control source]]="Baseline",INDEX(BL_OWNER,tblThreatControls[[#This Row],[Source row]])&amp;"",IF(tblThreatControls[[#This Row],[Control source]]="Custom",INDEX(CC_OWNER,tblThreatControls[[#This Row],[Source row]])&amp;"",""))</f>
        <v/>
      </c>
    </row>
    <row r="10" ht="36" customHeight="1" s="19">
      <c r="A10" s="70" t="inlineStr">
        <is>
          <t>TM-S-002</t>
        </is>
      </c>
      <c r="B10" s="70" t="inlineStr">
        <is>
          <t>HB-CFG-03</t>
        </is>
      </c>
      <c r="C10" s="70" t="inlineStr">
        <is>
          <t>Configuration</t>
        </is>
      </c>
      <c r="D10" s="70" t="inlineStr">
        <is>
          <t>Management endpoints not exposed unless intended</t>
        </is>
      </c>
      <c r="E10" s="71">
        <f>IF(ISNUMBER(MATCH(tblThreatControls[[#This Row],[Control ID]],BL_IDS,0)),"Baseline",IF(ISNUMBER(MATCH(tblThreatControls[[#This Row],[Control ID]],CC_IDS,0)),"Custom","NOT FOUND"))</f>
        <v/>
      </c>
      <c r="F10" s="71">
        <f>IF(tblThreatControls[[#This Row],[Control source]]="Baseline",INDEX(BL_APPLICABLE,tblThreatControls[[#This Row],[Source row]])&amp;"",IF(tblThreatControls[[#This Row],[Control source]]="Custom",INDEX(CC_APPLICABLE,tblThreatControls[[#This Row],[Source row]])&amp;"","NOT FOUND"))</f>
        <v/>
      </c>
      <c r="G10" s="71">
        <f>IF(tblThreatControls[[#This Row],[Control applicable]]&lt;&gt;"Applicable","N/A",IF(tblThreatControls[[#This Row],[Raw coverage]]="","Not assessed",tblThreatControls[[#This Row],[Raw coverage]]))</f>
        <v/>
      </c>
      <c r="H10" s="71">
        <f>IF(tblThreatControls[[#This Row],[Raw owner]]="",tblThreatControls[[#This Row],[Default owner]],tblThreatControls[[#This Row],[Raw owner]])</f>
        <v/>
      </c>
      <c r="I10" s="71">
        <f>IFERROR(INDEX(tblThreats[Applies],MATCH(tblThreatControls[[#This Row],[Threat ID]],tblThreats[Threat ID],0)),"NOT FOUND")</f>
        <v/>
      </c>
      <c r="J10" s="71">
        <f>IFERROR(INDEX(tblThreats[Risk],MATCH(tblThreatControls[[#This Row],[Threat ID]],tblThreats[Threat ID],0)),"")</f>
        <v/>
      </c>
      <c r="K10" s="71">
        <f>IF(tblThreatControls[[#This Row],[Threat applies]]="Applies",IFERROR(INDEX(tblThreats[Risk score],MATCH(tblThreatControls[[#This Row],[Threat ID]],tblThreats[Threat ID],0)),0),0)</f>
        <v/>
      </c>
      <c r="L10"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0" s="71">
        <f>IF(tblThreatControls[[#This Row],[Control source]]="Baseline",MATCH(tblThreatControls[[#This Row],[Control ID]],BL_IDS,0),IF(tblThreatControls[[#This Row],[Control source]]="Custom",MATCH(tblThreatControls[[#This Row],[Control ID]],CC_IDS,0),0))</f>
        <v/>
      </c>
      <c r="N10" s="71">
        <f>IF(tblThreatControls[[#This Row],[Control source]]="Baseline",INDEX(BL_COVERAGE,tblThreatControls[[#This Row],[Source row]])&amp;"",IF(tblThreatControls[[#This Row],[Control source]]="Custom",INDEX(CC_COVERAGE,tblThreatControls[[#This Row],[Source row]])&amp;"",""))</f>
        <v/>
      </c>
      <c r="O10" s="71">
        <f>IF(tblThreatControls[[#This Row],[Control source]]="Baseline",INDEX(BL_LEVEL,tblThreatControls[[#This Row],[Source row]]),IF(tblThreatControls[[#This Row],[Control source]]="Custom",INDEX(CC_LEVEL,tblThreatControls[[#This Row],[Source row]]),0))</f>
        <v/>
      </c>
      <c r="P10" s="71">
        <f>IF(tblThreatControls[[#This Row],[Control source]]="Baseline",INDEX(BL_OWNER,tblThreatControls[[#This Row],[Source row]])&amp;"",IF(tblThreatControls[[#This Row],[Control source]]="Custom",INDEX(CC_OWNER,tblThreatControls[[#This Row],[Source row]])&amp;"",""))</f>
        <v/>
      </c>
    </row>
    <row r="11" ht="36" customHeight="1" s="19">
      <c r="A11" s="70" t="inlineStr">
        <is>
          <t>TM-S-003</t>
        </is>
      </c>
      <c r="B11" s="70" t="inlineStr">
        <is>
          <t>HB-AUTH-03</t>
        </is>
      </c>
      <c r="C11" s="70" t="inlineStr">
        <is>
          <t>Configuration</t>
        </is>
      </c>
      <c r="D11" s="70" t="inlineStr">
        <is>
          <t>Default accounts removed or disabled; no default credentials for service accounts</t>
        </is>
      </c>
      <c r="E11" s="71">
        <f>IF(ISNUMBER(MATCH(tblThreatControls[[#This Row],[Control ID]],BL_IDS,0)),"Baseline",IF(ISNUMBER(MATCH(tblThreatControls[[#This Row],[Control ID]],CC_IDS,0)),"Custom","NOT FOUND"))</f>
        <v/>
      </c>
      <c r="F11" s="71">
        <f>IF(tblThreatControls[[#This Row],[Control source]]="Baseline",INDEX(BL_APPLICABLE,tblThreatControls[[#This Row],[Source row]])&amp;"",IF(tblThreatControls[[#This Row],[Control source]]="Custom",INDEX(CC_APPLICABLE,tblThreatControls[[#This Row],[Source row]])&amp;"","NOT FOUND"))</f>
        <v/>
      </c>
      <c r="G11" s="71">
        <f>IF(tblThreatControls[[#This Row],[Control applicable]]&lt;&gt;"Applicable","N/A",IF(tblThreatControls[[#This Row],[Raw coverage]]="","Not assessed",tblThreatControls[[#This Row],[Raw coverage]]))</f>
        <v/>
      </c>
      <c r="H11" s="71">
        <f>IF(tblThreatControls[[#This Row],[Raw owner]]="",tblThreatControls[[#This Row],[Default owner]],tblThreatControls[[#This Row],[Raw owner]])</f>
        <v/>
      </c>
      <c r="I11" s="71">
        <f>IFERROR(INDEX(tblThreats[Applies],MATCH(tblThreatControls[[#This Row],[Threat ID]],tblThreats[Threat ID],0)),"NOT FOUND")</f>
        <v/>
      </c>
      <c r="J11" s="71">
        <f>IFERROR(INDEX(tblThreats[Risk],MATCH(tblThreatControls[[#This Row],[Threat ID]],tblThreats[Threat ID],0)),"")</f>
        <v/>
      </c>
      <c r="K11" s="71">
        <f>IF(tblThreatControls[[#This Row],[Threat applies]]="Applies",IFERROR(INDEX(tblThreats[Risk score],MATCH(tblThreatControls[[#This Row],[Threat ID]],tblThreats[Threat ID],0)),0),0)</f>
        <v/>
      </c>
      <c r="L11"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1" s="71">
        <f>IF(tblThreatControls[[#This Row],[Control source]]="Baseline",MATCH(tblThreatControls[[#This Row],[Control ID]],BL_IDS,0),IF(tblThreatControls[[#This Row],[Control source]]="Custom",MATCH(tblThreatControls[[#This Row],[Control ID]],CC_IDS,0),0))</f>
        <v/>
      </c>
      <c r="N11" s="71">
        <f>IF(tblThreatControls[[#This Row],[Control source]]="Baseline",INDEX(BL_COVERAGE,tblThreatControls[[#This Row],[Source row]])&amp;"",IF(tblThreatControls[[#This Row],[Control source]]="Custom",INDEX(CC_COVERAGE,tblThreatControls[[#This Row],[Source row]])&amp;"",""))</f>
        <v/>
      </c>
      <c r="O11" s="71">
        <f>IF(tblThreatControls[[#This Row],[Control source]]="Baseline",INDEX(BL_LEVEL,tblThreatControls[[#This Row],[Source row]]),IF(tblThreatControls[[#This Row],[Control source]]="Custom",INDEX(CC_LEVEL,tblThreatControls[[#This Row],[Source row]]),0))</f>
        <v/>
      </c>
      <c r="P11" s="71">
        <f>IF(tblThreatControls[[#This Row],[Control source]]="Baseline",INDEX(BL_OWNER,tblThreatControls[[#This Row],[Source row]])&amp;"",IF(tblThreatControls[[#This Row],[Control source]]="Custom",INDEX(CC_OWNER,tblThreatControls[[#This Row],[Source row]])&amp;"",""))</f>
        <v/>
      </c>
    </row>
    <row r="12" ht="36" customHeight="1" s="19">
      <c r="A12" s="70" t="inlineStr">
        <is>
          <t>TM-S-004</t>
        </is>
      </c>
      <c r="B12" s="70" t="inlineStr">
        <is>
          <t>HB-AUTHZ-01</t>
        </is>
      </c>
      <c r="C12" s="70" t="inlineStr">
        <is>
          <t>Internal dev</t>
        </is>
      </c>
      <c r="D12" s="70" t="inlineStr">
        <is>
          <t>Function-level access only with explicit permissions</t>
        </is>
      </c>
      <c r="E12" s="71">
        <f>IF(ISNUMBER(MATCH(tblThreatControls[[#This Row],[Control ID]],BL_IDS,0)),"Baseline",IF(ISNUMBER(MATCH(tblThreatControls[[#This Row],[Control ID]],CC_IDS,0)),"Custom","NOT FOUND"))</f>
        <v/>
      </c>
      <c r="F12" s="71">
        <f>IF(tblThreatControls[[#This Row],[Control source]]="Baseline",INDEX(BL_APPLICABLE,tblThreatControls[[#This Row],[Source row]])&amp;"",IF(tblThreatControls[[#This Row],[Control source]]="Custom",INDEX(CC_APPLICABLE,tblThreatControls[[#This Row],[Source row]])&amp;"","NOT FOUND"))</f>
        <v/>
      </c>
      <c r="G12" s="71">
        <f>IF(tblThreatControls[[#This Row],[Control applicable]]&lt;&gt;"Applicable","N/A",IF(tblThreatControls[[#This Row],[Raw coverage]]="","Not assessed",tblThreatControls[[#This Row],[Raw coverage]]))</f>
        <v/>
      </c>
      <c r="H12" s="71">
        <f>IF(tblThreatControls[[#This Row],[Raw owner]]="",tblThreatControls[[#This Row],[Default owner]],tblThreatControls[[#This Row],[Raw owner]])</f>
        <v/>
      </c>
      <c r="I12" s="71">
        <f>IFERROR(INDEX(tblThreats[Applies],MATCH(tblThreatControls[[#This Row],[Threat ID]],tblThreats[Threat ID],0)),"NOT FOUND")</f>
        <v/>
      </c>
      <c r="J12" s="71">
        <f>IFERROR(INDEX(tblThreats[Risk],MATCH(tblThreatControls[[#This Row],[Threat ID]],tblThreats[Threat ID],0)),"")</f>
        <v/>
      </c>
      <c r="K12" s="71">
        <f>IF(tblThreatControls[[#This Row],[Threat applies]]="Applies",IFERROR(INDEX(tblThreats[Risk score],MATCH(tblThreatControls[[#This Row],[Threat ID]],tblThreats[Threat ID],0)),0),0)</f>
        <v/>
      </c>
      <c r="L12"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2" s="71">
        <f>IF(tblThreatControls[[#This Row],[Control source]]="Baseline",MATCH(tblThreatControls[[#This Row],[Control ID]],BL_IDS,0),IF(tblThreatControls[[#This Row],[Control source]]="Custom",MATCH(tblThreatControls[[#This Row],[Control ID]],CC_IDS,0),0))</f>
        <v/>
      </c>
      <c r="N12" s="71">
        <f>IF(tblThreatControls[[#This Row],[Control source]]="Baseline",INDEX(BL_COVERAGE,tblThreatControls[[#This Row],[Source row]])&amp;"",IF(tblThreatControls[[#This Row],[Control source]]="Custom",INDEX(CC_COVERAGE,tblThreatControls[[#This Row],[Source row]])&amp;"",""))</f>
        <v/>
      </c>
      <c r="O12" s="71">
        <f>IF(tblThreatControls[[#This Row],[Control source]]="Baseline",INDEX(BL_LEVEL,tblThreatControls[[#This Row],[Source row]]),IF(tblThreatControls[[#This Row],[Control source]]="Custom",INDEX(CC_LEVEL,tblThreatControls[[#This Row],[Source row]]),0))</f>
        <v/>
      </c>
      <c r="P12" s="71">
        <f>IF(tblThreatControls[[#This Row],[Control source]]="Baseline",INDEX(BL_OWNER,tblThreatControls[[#This Row],[Source row]])&amp;"",IF(tblThreatControls[[#This Row],[Control source]]="Custom",INDEX(CC_OWNER,tblThreatControls[[#This Row],[Source row]])&amp;"",""))</f>
        <v/>
      </c>
    </row>
    <row r="13" ht="36" customHeight="1" s="19">
      <c r="A13" s="70" t="inlineStr">
        <is>
          <t>TM-S-004</t>
        </is>
      </c>
      <c r="B13" s="70" t="inlineStr">
        <is>
          <t>HB-CFG-01</t>
        </is>
      </c>
      <c r="C13" s="70" t="inlineStr">
        <is>
          <t>Internal dev</t>
        </is>
      </c>
      <c r="D13" s="70" t="inlineStr">
        <is>
          <t>Individual, strong service authentication</t>
        </is>
      </c>
      <c r="E13" s="71">
        <f>IF(ISNUMBER(MATCH(tblThreatControls[[#This Row],[Control ID]],BL_IDS,0)),"Baseline",IF(ISNUMBER(MATCH(tblThreatControls[[#This Row],[Control ID]],CC_IDS,0)),"Custom","NOT FOUND"))</f>
        <v/>
      </c>
      <c r="F13" s="71">
        <f>IF(tblThreatControls[[#This Row],[Control source]]="Baseline",INDEX(BL_APPLICABLE,tblThreatControls[[#This Row],[Source row]])&amp;"",IF(tblThreatControls[[#This Row],[Control source]]="Custom",INDEX(CC_APPLICABLE,tblThreatControls[[#This Row],[Source row]])&amp;"","NOT FOUND"))</f>
        <v/>
      </c>
      <c r="G13" s="71">
        <f>IF(tblThreatControls[[#This Row],[Control applicable]]&lt;&gt;"Applicable","N/A",IF(tblThreatControls[[#This Row],[Raw coverage]]="","Not assessed",tblThreatControls[[#This Row],[Raw coverage]]))</f>
        <v/>
      </c>
      <c r="H13" s="71">
        <f>IF(tblThreatControls[[#This Row],[Raw owner]]="",tblThreatControls[[#This Row],[Default owner]],tblThreatControls[[#This Row],[Raw owner]])</f>
        <v/>
      </c>
      <c r="I13" s="71">
        <f>IFERROR(INDEX(tblThreats[Applies],MATCH(tblThreatControls[[#This Row],[Threat ID]],tblThreats[Threat ID],0)),"NOT FOUND")</f>
        <v/>
      </c>
      <c r="J13" s="71">
        <f>IFERROR(INDEX(tblThreats[Risk],MATCH(tblThreatControls[[#This Row],[Threat ID]],tblThreats[Threat ID],0)),"")</f>
        <v/>
      </c>
      <c r="K13" s="71">
        <f>IF(tblThreatControls[[#This Row],[Threat applies]]="Applies",IFERROR(INDEX(tblThreats[Risk score],MATCH(tblThreatControls[[#This Row],[Threat ID]],tblThreats[Threat ID],0)),0),0)</f>
        <v/>
      </c>
      <c r="L13"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3" s="71">
        <f>IF(tblThreatControls[[#This Row],[Control source]]="Baseline",MATCH(tblThreatControls[[#This Row],[Control ID]],BL_IDS,0),IF(tblThreatControls[[#This Row],[Control source]]="Custom",MATCH(tblThreatControls[[#This Row],[Control ID]],CC_IDS,0),0))</f>
        <v/>
      </c>
      <c r="N13" s="71">
        <f>IF(tblThreatControls[[#This Row],[Control source]]="Baseline",INDEX(BL_COVERAGE,tblThreatControls[[#This Row],[Source row]])&amp;"",IF(tblThreatControls[[#This Row],[Control source]]="Custom",INDEX(CC_COVERAGE,tblThreatControls[[#This Row],[Source row]])&amp;"",""))</f>
        <v/>
      </c>
      <c r="O13" s="71">
        <f>IF(tblThreatControls[[#This Row],[Control source]]="Baseline",INDEX(BL_LEVEL,tblThreatControls[[#This Row],[Source row]]),IF(tblThreatControls[[#This Row],[Control source]]="Custom",INDEX(CC_LEVEL,tblThreatControls[[#This Row],[Source row]]),0))</f>
        <v/>
      </c>
      <c r="P13" s="71">
        <f>IF(tblThreatControls[[#This Row],[Control source]]="Baseline",INDEX(BL_OWNER,tblThreatControls[[#This Row],[Source row]])&amp;"",IF(tblThreatControls[[#This Row],[Control source]]="Custom",INDEX(CC_OWNER,tblThreatControls[[#This Row],[Source row]])&amp;"",""))</f>
        <v/>
      </c>
    </row>
    <row r="14" ht="36" customHeight="1" s="19">
      <c r="A14" s="70" t="inlineStr">
        <is>
          <t>TM-S-004</t>
        </is>
      </c>
      <c r="B14" s="70" t="inlineStr">
        <is>
          <t>HB-CFG-02</t>
        </is>
      </c>
      <c r="C14" s="70" t="inlineStr">
        <is>
          <t>Configuration</t>
        </is>
      </c>
      <c r="D14" s="70" t="inlineStr">
        <is>
          <t>API secrets kept in a secrets manager</t>
        </is>
      </c>
      <c r="E14" s="71">
        <f>IF(ISNUMBER(MATCH(tblThreatControls[[#This Row],[Control ID]],BL_IDS,0)),"Baseline",IF(ISNUMBER(MATCH(tblThreatControls[[#This Row],[Control ID]],CC_IDS,0)),"Custom","NOT FOUND"))</f>
        <v/>
      </c>
      <c r="F14" s="71">
        <f>IF(tblThreatControls[[#This Row],[Control source]]="Baseline",INDEX(BL_APPLICABLE,tblThreatControls[[#This Row],[Source row]])&amp;"",IF(tblThreatControls[[#This Row],[Control source]]="Custom",INDEX(CC_APPLICABLE,tblThreatControls[[#This Row],[Source row]])&amp;"","NOT FOUND"))</f>
        <v/>
      </c>
      <c r="G14" s="71">
        <f>IF(tblThreatControls[[#This Row],[Control applicable]]&lt;&gt;"Applicable","N/A",IF(tblThreatControls[[#This Row],[Raw coverage]]="","Not assessed",tblThreatControls[[#This Row],[Raw coverage]]))</f>
        <v/>
      </c>
      <c r="H14" s="71">
        <f>IF(tblThreatControls[[#This Row],[Raw owner]]="",tblThreatControls[[#This Row],[Default owner]],tblThreatControls[[#This Row],[Raw owner]])</f>
        <v/>
      </c>
      <c r="I14" s="71">
        <f>IFERROR(INDEX(tblThreats[Applies],MATCH(tblThreatControls[[#This Row],[Threat ID]],tblThreats[Threat ID],0)),"NOT FOUND")</f>
        <v/>
      </c>
      <c r="J14" s="71">
        <f>IFERROR(INDEX(tblThreats[Risk],MATCH(tblThreatControls[[#This Row],[Threat ID]],tblThreats[Threat ID],0)),"")</f>
        <v/>
      </c>
      <c r="K14" s="71">
        <f>IF(tblThreatControls[[#This Row],[Threat applies]]="Applies",IFERROR(INDEX(tblThreats[Risk score],MATCH(tblThreatControls[[#This Row],[Threat ID]],tblThreats[Threat ID],0)),0),0)</f>
        <v/>
      </c>
      <c r="L14"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4" s="71">
        <f>IF(tblThreatControls[[#This Row],[Control source]]="Baseline",MATCH(tblThreatControls[[#This Row],[Control ID]],BL_IDS,0),IF(tblThreatControls[[#This Row],[Control source]]="Custom",MATCH(tblThreatControls[[#This Row],[Control ID]],CC_IDS,0),0))</f>
        <v/>
      </c>
      <c r="N14" s="71">
        <f>IF(tblThreatControls[[#This Row],[Control source]]="Baseline",INDEX(BL_COVERAGE,tblThreatControls[[#This Row],[Source row]])&amp;"",IF(tblThreatControls[[#This Row],[Control source]]="Custom",INDEX(CC_COVERAGE,tblThreatControls[[#This Row],[Source row]])&amp;"",""))</f>
        <v/>
      </c>
      <c r="O14" s="71">
        <f>IF(tblThreatControls[[#This Row],[Control source]]="Baseline",INDEX(BL_LEVEL,tblThreatControls[[#This Row],[Source row]]),IF(tblThreatControls[[#This Row],[Control source]]="Custom",INDEX(CC_LEVEL,tblThreatControls[[#This Row],[Source row]]),0))</f>
        <v/>
      </c>
      <c r="P14" s="71">
        <f>IF(tblThreatControls[[#This Row],[Control source]]="Baseline",INDEX(BL_OWNER,tblThreatControls[[#This Row],[Source row]])&amp;"",IF(tblThreatControls[[#This Row],[Control source]]="Custom",INDEX(CC_OWNER,tblThreatControls[[#This Row],[Source row]])&amp;"",""))</f>
        <v/>
      </c>
    </row>
    <row r="15" ht="36" customHeight="1" s="19">
      <c r="A15" s="70" t="inlineStr">
        <is>
          <t>TM-T-001</t>
        </is>
      </c>
      <c r="B15" s="70" t="inlineStr">
        <is>
          <t>HB-TLS-02</t>
        </is>
      </c>
      <c r="C15" s="70" t="inlineStr">
        <is>
          <t>Configuration</t>
        </is>
      </c>
      <c r="D15" s="70" t="inlineStr">
        <is>
          <t>Encrypted transport for the exchange</t>
        </is>
      </c>
      <c r="E15" s="71">
        <f>IF(ISNUMBER(MATCH(tblThreatControls[[#This Row],[Control ID]],BL_IDS,0)),"Baseline",IF(ISNUMBER(MATCH(tblThreatControls[[#This Row],[Control ID]],CC_IDS,0)),"Custom","NOT FOUND"))</f>
        <v/>
      </c>
      <c r="F15" s="71">
        <f>IF(tblThreatControls[[#This Row],[Control source]]="Baseline",INDEX(BL_APPLICABLE,tblThreatControls[[#This Row],[Source row]])&amp;"",IF(tblThreatControls[[#This Row],[Control source]]="Custom",INDEX(CC_APPLICABLE,tblThreatControls[[#This Row],[Source row]])&amp;"","NOT FOUND"))</f>
        <v/>
      </c>
      <c r="G15" s="71">
        <f>IF(tblThreatControls[[#This Row],[Control applicable]]&lt;&gt;"Applicable","N/A",IF(tblThreatControls[[#This Row],[Raw coverage]]="","Not assessed",tblThreatControls[[#This Row],[Raw coverage]]))</f>
        <v/>
      </c>
      <c r="H15" s="71">
        <f>IF(tblThreatControls[[#This Row],[Raw owner]]="",tblThreatControls[[#This Row],[Default owner]],tblThreatControls[[#This Row],[Raw owner]])</f>
        <v/>
      </c>
      <c r="I15" s="71">
        <f>IFERROR(INDEX(tblThreats[Applies],MATCH(tblThreatControls[[#This Row],[Threat ID]],tblThreats[Threat ID],0)),"NOT FOUND")</f>
        <v/>
      </c>
      <c r="J15" s="71">
        <f>IFERROR(INDEX(tblThreats[Risk],MATCH(tblThreatControls[[#This Row],[Threat ID]],tblThreats[Threat ID],0)),"")</f>
        <v/>
      </c>
      <c r="K15" s="71">
        <f>IF(tblThreatControls[[#This Row],[Threat applies]]="Applies",IFERROR(INDEX(tblThreats[Risk score],MATCH(tblThreatControls[[#This Row],[Threat ID]],tblThreats[Threat ID],0)),0),0)</f>
        <v/>
      </c>
      <c r="L1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5" s="71">
        <f>IF(tblThreatControls[[#This Row],[Control source]]="Baseline",MATCH(tblThreatControls[[#This Row],[Control ID]],BL_IDS,0),IF(tblThreatControls[[#This Row],[Control source]]="Custom",MATCH(tblThreatControls[[#This Row],[Control ID]],CC_IDS,0),0))</f>
        <v/>
      </c>
      <c r="N15" s="71">
        <f>IF(tblThreatControls[[#This Row],[Control source]]="Baseline",INDEX(BL_COVERAGE,tblThreatControls[[#This Row],[Source row]])&amp;"",IF(tblThreatControls[[#This Row],[Control source]]="Custom",INDEX(CC_COVERAGE,tblThreatControls[[#This Row],[Source row]])&amp;"",""))</f>
        <v/>
      </c>
      <c r="O15" s="71">
        <f>IF(tblThreatControls[[#This Row],[Control source]]="Baseline",INDEX(BL_LEVEL,tblThreatControls[[#This Row],[Source row]]),IF(tblThreatControls[[#This Row],[Control source]]="Custom",INDEX(CC_LEVEL,tblThreatControls[[#This Row],[Source row]]),0))</f>
        <v/>
      </c>
      <c r="P15" s="71">
        <f>IF(tblThreatControls[[#This Row],[Control source]]="Baseline",INDEX(BL_OWNER,tblThreatControls[[#This Row],[Source row]])&amp;"",IF(tblThreatControls[[#This Row],[Control source]]="Custom",INDEX(CC_OWNER,tblThreatControls[[#This Row],[Source row]])&amp;"",""))</f>
        <v/>
      </c>
    </row>
    <row r="16" ht="36" customHeight="1" s="19">
      <c r="A16" s="70" t="inlineStr">
        <is>
          <t>TM-T-001</t>
        </is>
      </c>
      <c r="B16" s="70" t="inlineStr">
        <is>
          <t>HB-CFG-01</t>
        </is>
      </c>
      <c r="C16" s="70" t="inlineStr">
        <is>
          <t>Configuration</t>
        </is>
      </c>
      <c r="D16" s="70" t="inlineStr">
        <is>
          <t>Least-privilege accounts on the exchange location</t>
        </is>
      </c>
      <c r="E16" s="71">
        <f>IF(ISNUMBER(MATCH(tblThreatControls[[#This Row],[Control ID]],BL_IDS,0)),"Baseline",IF(ISNUMBER(MATCH(tblThreatControls[[#This Row],[Control ID]],CC_IDS,0)),"Custom","NOT FOUND"))</f>
        <v/>
      </c>
      <c r="F16" s="71">
        <f>IF(tblThreatControls[[#This Row],[Control source]]="Baseline",INDEX(BL_APPLICABLE,tblThreatControls[[#This Row],[Source row]])&amp;"",IF(tblThreatControls[[#This Row],[Control source]]="Custom",INDEX(CC_APPLICABLE,tblThreatControls[[#This Row],[Source row]])&amp;"","NOT FOUND"))</f>
        <v/>
      </c>
      <c r="G16" s="71">
        <f>IF(tblThreatControls[[#This Row],[Control applicable]]&lt;&gt;"Applicable","N/A",IF(tblThreatControls[[#This Row],[Raw coverage]]="","Not assessed",tblThreatControls[[#This Row],[Raw coverage]]))</f>
        <v/>
      </c>
      <c r="H16" s="71">
        <f>IF(tblThreatControls[[#This Row],[Raw owner]]="",tblThreatControls[[#This Row],[Default owner]],tblThreatControls[[#This Row],[Raw owner]])</f>
        <v/>
      </c>
      <c r="I16" s="71">
        <f>IFERROR(INDEX(tblThreats[Applies],MATCH(tblThreatControls[[#This Row],[Threat ID]],tblThreats[Threat ID],0)),"NOT FOUND")</f>
        <v/>
      </c>
      <c r="J16" s="71">
        <f>IFERROR(INDEX(tblThreats[Risk],MATCH(tblThreatControls[[#This Row],[Threat ID]],tblThreats[Threat ID],0)),"")</f>
        <v/>
      </c>
      <c r="K16" s="71">
        <f>IF(tblThreatControls[[#This Row],[Threat applies]]="Applies",IFERROR(INDEX(tblThreats[Risk score],MATCH(tblThreatControls[[#This Row],[Threat ID]],tblThreats[Threat ID],0)),0),0)</f>
        <v/>
      </c>
      <c r="L1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6" s="71">
        <f>IF(tblThreatControls[[#This Row],[Control source]]="Baseline",MATCH(tblThreatControls[[#This Row],[Control ID]],BL_IDS,0),IF(tblThreatControls[[#This Row],[Control source]]="Custom",MATCH(tblThreatControls[[#This Row],[Control ID]],CC_IDS,0),0))</f>
        <v/>
      </c>
      <c r="N16" s="71">
        <f>IF(tblThreatControls[[#This Row],[Control source]]="Baseline",INDEX(BL_COVERAGE,tblThreatControls[[#This Row],[Source row]])&amp;"",IF(tblThreatControls[[#This Row],[Control source]]="Custom",INDEX(CC_COVERAGE,tblThreatControls[[#This Row],[Source row]])&amp;"",""))</f>
        <v/>
      </c>
      <c r="O16" s="71">
        <f>IF(tblThreatControls[[#This Row],[Control source]]="Baseline",INDEX(BL_LEVEL,tblThreatControls[[#This Row],[Source row]]),IF(tblThreatControls[[#This Row],[Control source]]="Custom",INDEX(CC_LEVEL,tblThreatControls[[#This Row],[Source row]]),0))</f>
        <v/>
      </c>
      <c r="P16" s="71">
        <f>IF(tblThreatControls[[#This Row],[Control source]]="Baseline",INDEX(BL_OWNER,tblThreatControls[[#This Row],[Source row]])&amp;"",IF(tblThreatControls[[#This Row],[Control source]]="Custom",INDEX(CC_OWNER,tblThreatControls[[#This Row],[Source row]])&amp;"",""))</f>
        <v/>
      </c>
    </row>
    <row r="17" ht="36" customHeight="1" s="19">
      <c r="A17" s="70" t="inlineStr">
        <is>
          <t>TM-T-001</t>
        </is>
      </c>
      <c r="B17" s="70" t="inlineStr">
        <is>
          <t>HB-VAL-01</t>
        </is>
      </c>
      <c r="C17" s="70" t="inlineStr">
        <is>
          <t>Internal dev</t>
        </is>
      </c>
      <c r="D17" s="70" t="inlineStr">
        <is>
          <t>Validates file content before processing</t>
        </is>
      </c>
      <c r="E17" s="71">
        <f>IF(ISNUMBER(MATCH(tblThreatControls[[#This Row],[Control ID]],BL_IDS,0)),"Baseline",IF(ISNUMBER(MATCH(tblThreatControls[[#This Row],[Control ID]],CC_IDS,0)),"Custom","NOT FOUND"))</f>
        <v/>
      </c>
      <c r="F17" s="71">
        <f>IF(tblThreatControls[[#This Row],[Control source]]="Baseline",INDEX(BL_APPLICABLE,tblThreatControls[[#This Row],[Source row]])&amp;"",IF(tblThreatControls[[#This Row],[Control source]]="Custom",INDEX(CC_APPLICABLE,tblThreatControls[[#This Row],[Source row]])&amp;"","NOT FOUND"))</f>
        <v/>
      </c>
      <c r="G17" s="71">
        <f>IF(tblThreatControls[[#This Row],[Control applicable]]&lt;&gt;"Applicable","N/A",IF(tblThreatControls[[#This Row],[Raw coverage]]="","Not assessed",tblThreatControls[[#This Row],[Raw coverage]]))</f>
        <v/>
      </c>
      <c r="H17" s="71">
        <f>IF(tblThreatControls[[#This Row],[Raw owner]]="",tblThreatControls[[#This Row],[Default owner]],tblThreatControls[[#This Row],[Raw owner]])</f>
        <v/>
      </c>
      <c r="I17" s="71">
        <f>IFERROR(INDEX(tblThreats[Applies],MATCH(tblThreatControls[[#This Row],[Threat ID]],tblThreats[Threat ID],0)),"NOT FOUND")</f>
        <v/>
      </c>
      <c r="J17" s="71">
        <f>IFERROR(INDEX(tblThreats[Risk],MATCH(tblThreatControls[[#This Row],[Threat ID]],tblThreats[Threat ID],0)),"")</f>
        <v/>
      </c>
      <c r="K17" s="71">
        <f>IF(tblThreatControls[[#This Row],[Threat applies]]="Applies",IFERROR(INDEX(tblThreats[Risk score],MATCH(tblThreatControls[[#This Row],[Threat ID]],tblThreats[Threat ID],0)),0),0)</f>
        <v/>
      </c>
      <c r="L17"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7" s="71">
        <f>IF(tblThreatControls[[#This Row],[Control source]]="Baseline",MATCH(tblThreatControls[[#This Row],[Control ID]],BL_IDS,0),IF(tblThreatControls[[#This Row],[Control source]]="Custom",MATCH(tblThreatControls[[#This Row],[Control ID]],CC_IDS,0),0))</f>
        <v/>
      </c>
      <c r="N17" s="71">
        <f>IF(tblThreatControls[[#This Row],[Control source]]="Baseline",INDEX(BL_COVERAGE,tblThreatControls[[#This Row],[Source row]])&amp;"",IF(tblThreatControls[[#This Row],[Control source]]="Custom",INDEX(CC_COVERAGE,tblThreatControls[[#This Row],[Source row]])&amp;"",""))</f>
        <v/>
      </c>
      <c r="O17" s="71">
        <f>IF(tblThreatControls[[#This Row],[Control source]]="Baseline",INDEX(BL_LEVEL,tblThreatControls[[#This Row],[Source row]]),IF(tblThreatControls[[#This Row],[Control source]]="Custom",INDEX(CC_LEVEL,tblThreatControls[[#This Row],[Source row]]),0))</f>
        <v/>
      </c>
      <c r="P17" s="71">
        <f>IF(tblThreatControls[[#This Row],[Control source]]="Baseline",INDEX(BL_OWNER,tblThreatControls[[#This Row],[Source row]])&amp;"",IF(tblThreatControls[[#This Row],[Control source]]="Custom",INDEX(CC_OWNER,tblThreatControls[[#This Row],[Source row]])&amp;"",""))</f>
        <v/>
      </c>
    </row>
    <row r="18" ht="36" customHeight="1" s="19">
      <c r="A18" s="70" t="inlineStr">
        <is>
          <t>TM-T-002</t>
        </is>
      </c>
      <c r="B18" s="70" t="inlineStr">
        <is>
          <t>HB-FILE-01</t>
        </is>
      </c>
      <c r="C18" s="70" t="inlineStr">
        <is>
          <t>Internal dev</t>
        </is>
      </c>
      <c r="D18" s="70" t="inlineStr">
        <is>
          <t>File size limits; extension and content-type validation</t>
        </is>
      </c>
      <c r="E18" s="71">
        <f>IF(ISNUMBER(MATCH(tblThreatControls[[#This Row],[Control ID]],BL_IDS,0)),"Baseline",IF(ISNUMBER(MATCH(tblThreatControls[[#This Row],[Control ID]],CC_IDS,0)),"Custom","NOT FOUND"))</f>
        <v/>
      </c>
      <c r="F18" s="71">
        <f>IF(tblThreatControls[[#This Row],[Control source]]="Baseline",INDEX(BL_APPLICABLE,tblThreatControls[[#This Row],[Source row]])&amp;"",IF(tblThreatControls[[#This Row],[Control source]]="Custom",INDEX(CC_APPLICABLE,tblThreatControls[[#This Row],[Source row]])&amp;"","NOT FOUND"))</f>
        <v/>
      </c>
      <c r="G18" s="71">
        <f>IF(tblThreatControls[[#This Row],[Control applicable]]&lt;&gt;"Applicable","N/A",IF(tblThreatControls[[#This Row],[Raw coverage]]="","Not assessed",tblThreatControls[[#This Row],[Raw coverage]]))</f>
        <v/>
      </c>
      <c r="H18" s="71">
        <f>IF(tblThreatControls[[#This Row],[Raw owner]]="",tblThreatControls[[#This Row],[Default owner]],tblThreatControls[[#This Row],[Raw owner]])</f>
        <v/>
      </c>
      <c r="I18" s="71">
        <f>IFERROR(INDEX(tblThreats[Applies],MATCH(tblThreatControls[[#This Row],[Threat ID]],tblThreats[Threat ID],0)),"NOT FOUND")</f>
        <v/>
      </c>
      <c r="J18" s="71">
        <f>IFERROR(INDEX(tblThreats[Risk],MATCH(tblThreatControls[[#This Row],[Threat ID]],tblThreats[Threat ID],0)),"")</f>
        <v/>
      </c>
      <c r="K18" s="71">
        <f>IF(tblThreatControls[[#This Row],[Threat applies]]="Applies",IFERROR(INDEX(tblThreats[Risk score],MATCH(tblThreatControls[[#This Row],[Threat ID]],tblThreats[Threat ID],0)),0),0)</f>
        <v/>
      </c>
      <c r="L18"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8" s="71">
        <f>IF(tblThreatControls[[#This Row],[Control source]]="Baseline",MATCH(tblThreatControls[[#This Row],[Control ID]],BL_IDS,0),IF(tblThreatControls[[#This Row],[Control source]]="Custom",MATCH(tblThreatControls[[#This Row],[Control ID]],CC_IDS,0),0))</f>
        <v/>
      </c>
      <c r="N18" s="71">
        <f>IF(tblThreatControls[[#This Row],[Control source]]="Baseline",INDEX(BL_COVERAGE,tblThreatControls[[#This Row],[Source row]])&amp;"",IF(tblThreatControls[[#This Row],[Control source]]="Custom",INDEX(CC_COVERAGE,tblThreatControls[[#This Row],[Source row]])&amp;"",""))</f>
        <v/>
      </c>
      <c r="O18" s="71">
        <f>IF(tblThreatControls[[#This Row],[Control source]]="Baseline",INDEX(BL_LEVEL,tblThreatControls[[#This Row],[Source row]]),IF(tblThreatControls[[#This Row],[Control source]]="Custom",INDEX(CC_LEVEL,tblThreatControls[[#This Row],[Source row]]),0))</f>
        <v/>
      </c>
      <c r="P18" s="71">
        <f>IF(tblThreatControls[[#This Row],[Control source]]="Baseline",INDEX(BL_OWNER,tblThreatControls[[#This Row],[Source row]])&amp;"",IF(tblThreatControls[[#This Row],[Control source]]="Custom",INDEX(CC_OWNER,tblThreatControls[[#This Row],[Source row]])&amp;"",""))</f>
        <v/>
      </c>
    </row>
    <row r="19" ht="36" customHeight="1" s="19">
      <c r="A19" s="70" t="inlineStr">
        <is>
          <t>TM-T-002</t>
        </is>
      </c>
      <c r="B19" s="70" t="inlineStr">
        <is>
          <t>HB-FILE-02</t>
        </is>
      </c>
      <c r="C19" s="70" t="inlineStr">
        <is>
          <t>Configuration</t>
        </is>
      </c>
      <c r="D19" s="70" t="inlineStr">
        <is>
          <t>Uploaded files never executed; safe file path handling</t>
        </is>
      </c>
      <c r="E19" s="71">
        <f>IF(ISNUMBER(MATCH(tblThreatControls[[#This Row],[Control ID]],BL_IDS,0)),"Baseline",IF(ISNUMBER(MATCH(tblThreatControls[[#This Row],[Control ID]],CC_IDS,0)),"Custom","NOT FOUND"))</f>
        <v/>
      </c>
      <c r="F19" s="71">
        <f>IF(tblThreatControls[[#This Row],[Control source]]="Baseline",INDEX(BL_APPLICABLE,tblThreatControls[[#This Row],[Source row]])&amp;"",IF(tblThreatControls[[#This Row],[Control source]]="Custom",INDEX(CC_APPLICABLE,tblThreatControls[[#This Row],[Source row]])&amp;"","NOT FOUND"))</f>
        <v/>
      </c>
      <c r="G19" s="71">
        <f>IF(tblThreatControls[[#This Row],[Control applicable]]&lt;&gt;"Applicable","N/A",IF(tblThreatControls[[#This Row],[Raw coverage]]="","Not assessed",tblThreatControls[[#This Row],[Raw coverage]]))</f>
        <v/>
      </c>
      <c r="H19" s="71">
        <f>IF(tblThreatControls[[#This Row],[Raw owner]]="",tblThreatControls[[#This Row],[Default owner]],tblThreatControls[[#This Row],[Raw owner]])</f>
        <v/>
      </c>
      <c r="I19" s="71">
        <f>IFERROR(INDEX(tblThreats[Applies],MATCH(tblThreatControls[[#This Row],[Threat ID]],tblThreats[Threat ID],0)),"NOT FOUND")</f>
        <v/>
      </c>
      <c r="J19" s="71">
        <f>IFERROR(INDEX(tblThreats[Risk],MATCH(tblThreatControls[[#This Row],[Threat ID]],tblThreats[Threat ID],0)),"")</f>
        <v/>
      </c>
      <c r="K19" s="71">
        <f>IF(tblThreatControls[[#This Row],[Threat applies]]="Applies",IFERROR(INDEX(tblThreats[Risk score],MATCH(tblThreatControls[[#This Row],[Threat ID]],tblThreats[Threat ID],0)),0),0)</f>
        <v/>
      </c>
      <c r="L19"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9" s="71">
        <f>IF(tblThreatControls[[#This Row],[Control source]]="Baseline",MATCH(tblThreatControls[[#This Row],[Control ID]],BL_IDS,0),IF(tblThreatControls[[#This Row],[Control source]]="Custom",MATCH(tblThreatControls[[#This Row],[Control ID]],CC_IDS,0),0))</f>
        <v/>
      </c>
      <c r="N19" s="71">
        <f>IF(tblThreatControls[[#This Row],[Control source]]="Baseline",INDEX(BL_COVERAGE,tblThreatControls[[#This Row],[Source row]])&amp;"",IF(tblThreatControls[[#This Row],[Control source]]="Custom",INDEX(CC_COVERAGE,tblThreatControls[[#This Row],[Source row]])&amp;"",""))</f>
        <v/>
      </c>
      <c r="O19" s="71">
        <f>IF(tblThreatControls[[#This Row],[Control source]]="Baseline",INDEX(BL_LEVEL,tblThreatControls[[#This Row],[Source row]]),IF(tblThreatControls[[#This Row],[Control source]]="Custom",INDEX(CC_LEVEL,tblThreatControls[[#This Row],[Source row]]),0))</f>
        <v/>
      </c>
      <c r="P19" s="71">
        <f>IF(tblThreatControls[[#This Row],[Control source]]="Baseline",INDEX(BL_OWNER,tblThreatControls[[#This Row],[Source row]])&amp;"",IF(tblThreatControls[[#This Row],[Control source]]="Custom",INDEX(CC_OWNER,tblThreatControls[[#This Row],[Source row]])&amp;"",""))</f>
        <v/>
      </c>
    </row>
    <row r="20" ht="36" customHeight="1" s="19">
      <c r="A20" s="70" t="inlineStr">
        <is>
          <t>TM-T-003</t>
        </is>
      </c>
      <c r="B20" s="70" t="inlineStr">
        <is>
          <t>TMX-VENDOR-002</t>
        </is>
      </c>
      <c r="C20" s="70" t="inlineStr">
        <is>
          <t>Vendor</t>
        </is>
      </c>
      <c r="D20" s="70" t="inlineStr">
        <is>
          <t>Contractual, verified patch/update process</t>
        </is>
      </c>
      <c r="E20" s="71">
        <f>IF(ISNUMBER(MATCH(tblThreatControls[[#This Row],[Control ID]],BL_IDS,0)),"Baseline",IF(ISNUMBER(MATCH(tblThreatControls[[#This Row],[Control ID]],CC_IDS,0)),"Custom","NOT FOUND"))</f>
        <v/>
      </c>
      <c r="F20" s="71">
        <f>IF(tblThreatControls[[#This Row],[Control source]]="Baseline",INDEX(BL_APPLICABLE,tblThreatControls[[#This Row],[Source row]])&amp;"",IF(tblThreatControls[[#This Row],[Control source]]="Custom",INDEX(CC_APPLICABLE,tblThreatControls[[#This Row],[Source row]])&amp;"","NOT FOUND"))</f>
        <v/>
      </c>
      <c r="G20" s="71">
        <f>IF(tblThreatControls[[#This Row],[Control applicable]]&lt;&gt;"Applicable","N/A",IF(tblThreatControls[[#This Row],[Raw coverage]]="","Not assessed",tblThreatControls[[#This Row],[Raw coverage]]))</f>
        <v/>
      </c>
      <c r="H20" s="71">
        <f>IF(tblThreatControls[[#This Row],[Raw owner]]="",tblThreatControls[[#This Row],[Default owner]],tblThreatControls[[#This Row],[Raw owner]])</f>
        <v/>
      </c>
      <c r="I20" s="71">
        <f>IFERROR(INDEX(tblThreats[Applies],MATCH(tblThreatControls[[#This Row],[Threat ID]],tblThreats[Threat ID],0)),"NOT FOUND")</f>
        <v/>
      </c>
      <c r="J20" s="71">
        <f>IFERROR(INDEX(tblThreats[Risk],MATCH(tblThreatControls[[#This Row],[Threat ID]],tblThreats[Threat ID],0)),"")</f>
        <v/>
      </c>
      <c r="K20" s="71">
        <f>IF(tblThreatControls[[#This Row],[Threat applies]]="Applies",IFERROR(INDEX(tblThreats[Risk score],MATCH(tblThreatControls[[#This Row],[Threat ID]],tblThreats[Threat ID],0)),0),0)</f>
        <v/>
      </c>
      <c r="L20"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0" s="71">
        <f>IF(tblThreatControls[[#This Row],[Control source]]="Baseline",MATCH(tblThreatControls[[#This Row],[Control ID]],BL_IDS,0),IF(tblThreatControls[[#This Row],[Control source]]="Custom",MATCH(tblThreatControls[[#This Row],[Control ID]],CC_IDS,0),0))</f>
        <v/>
      </c>
      <c r="N20" s="71">
        <f>IF(tblThreatControls[[#This Row],[Control source]]="Baseline",INDEX(BL_COVERAGE,tblThreatControls[[#This Row],[Source row]])&amp;"",IF(tblThreatControls[[#This Row],[Control source]]="Custom",INDEX(CC_COVERAGE,tblThreatControls[[#This Row],[Source row]])&amp;"",""))</f>
        <v/>
      </c>
      <c r="O20" s="71">
        <f>IF(tblThreatControls[[#This Row],[Control source]]="Baseline",INDEX(BL_LEVEL,tblThreatControls[[#This Row],[Source row]]),IF(tblThreatControls[[#This Row],[Control source]]="Custom",INDEX(CC_LEVEL,tblThreatControls[[#This Row],[Source row]]),0))</f>
        <v/>
      </c>
      <c r="P20" s="71">
        <f>IF(tblThreatControls[[#This Row],[Control source]]="Baseline",INDEX(BL_OWNER,tblThreatControls[[#This Row],[Source row]])&amp;"",IF(tblThreatControls[[#This Row],[Control source]]="Custom",INDEX(CC_OWNER,tblThreatControls[[#This Row],[Source row]])&amp;"",""))</f>
        <v/>
      </c>
    </row>
    <row r="21" ht="36" customHeight="1" s="19">
      <c r="A21" s="70" t="inlineStr">
        <is>
          <t>TM-T-003</t>
        </is>
      </c>
      <c r="B21" s="70" t="inlineStr">
        <is>
          <t>HB-DEP-01</t>
        </is>
      </c>
      <c r="C21" s="70" t="inlineStr">
        <is>
          <t>Vendor</t>
        </is>
      </c>
      <c r="D21" s="70" t="inlineStr">
        <is>
          <t>Component inventory (SBOM) to verify what is installed</t>
        </is>
      </c>
      <c r="E21" s="71">
        <f>IF(ISNUMBER(MATCH(tblThreatControls[[#This Row],[Control ID]],BL_IDS,0)),"Baseline",IF(ISNUMBER(MATCH(tblThreatControls[[#This Row],[Control ID]],CC_IDS,0)),"Custom","NOT FOUND"))</f>
        <v/>
      </c>
      <c r="F21" s="71">
        <f>IF(tblThreatControls[[#This Row],[Control source]]="Baseline",INDEX(BL_APPLICABLE,tblThreatControls[[#This Row],[Source row]])&amp;"",IF(tblThreatControls[[#This Row],[Control source]]="Custom",INDEX(CC_APPLICABLE,tblThreatControls[[#This Row],[Source row]])&amp;"","NOT FOUND"))</f>
        <v/>
      </c>
      <c r="G21" s="71">
        <f>IF(tblThreatControls[[#This Row],[Control applicable]]&lt;&gt;"Applicable","N/A",IF(tblThreatControls[[#This Row],[Raw coverage]]="","Not assessed",tblThreatControls[[#This Row],[Raw coverage]]))</f>
        <v/>
      </c>
      <c r="H21" s="71">
        <f>IF(tblThreatControls[[#This Row],[Raw owner]]="",tblThreatControls[[#This Row],[Default owner]],tblThreatControls[[#This Row],[Raw owner]])</f>
        <v/>
      </c>
      <c r="I21" s="71">
        <f>IFERROR(INDEX(tblThreats[Applies],MATCH(tblThreatControls[[#This Row],[Threat ID]],tblThreats[Threat ID],0)),"NOT FOUND")</f>
        <v/>
      </c>
      <c r="J21" s="71">
        <f>IFERROR(INDEX(tblThreats[Risk],MATCH(tblThreatControls[[#This Row],[Threat ID]],tblThreats[Threat ID],0)),"")</f>
        <v/>
      </c>
      <c r="K21" s="71">
        <f>IF(tblThreatControls[[#This Row],[Threat applies]]="Applies",IFERROR(INDEX(tblThreats[Risk score],MATCH(tblThreatControls[[#This Row],[Threat ID]],tblThreats[Threat ID],0)),0),0)</f>
        <v/>
      </c>
      <c r="L21"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1" s="71">
        <f>IF(tblThreatControls[[#This Row],[Control source]]="Baseline",MATCH(tblThreatControls[[#This Row],[Control ID]],BL_IDS,0),IF(tblThreatControls[[#This Row],[Control source]]="Custom",MATCH(tblThreatControls[[#This Row],[Control ID]],CC_IDS,0),0))</f>
        <v/>
      </c>
      <c r="N21" s="71">
        <f>IF(tblThreatControls[[#This Row],[Control source]]="Baseline",INDEX(BL_COVERAGE,tblThreatControls[[#This Row],[Source row]])&amp;"",IF(tblThreatControls[[#This Row],[Control source]]="Custom",INDEX(CC_COVERAGE,tblThreatControls[[#This Row],[Source row]])&amp;"",""))</f>
        <v/>
      </c>
      <c r="O21" s="71">
        <f>IF(tblThreatControls[[#This Row],[Control source]]="Baseline",INDEX(BL_LEVEL,tblThreatControls[[#This Row],[Source row]]),IF(tblThreatControls[[#This Row],[Control source]]="Custom",INDEX(CC_LEVEL,tblThreatControls[[#This Row],[Source row]]),0))</f>
        <v/>
      </c>
      <c r="P21" s="71">
        <f>IF(tblThreatControls[[#This Row],[Control source]]="Baseline",INDEX(BL_OWNER,tblThreatControls[[#This Row],[Source row]])&amp;"",IF(tblThreatControls[[#This Row],[Control source]]="Custom",INDEX(CC_OWNER,tblThreatControls[[#This Row],[Source row]])&amp;"",""))</f>
        <v/>
      </c>
    </row>
    <row r="22" ht="36" customHeight="1" s="19">
      <c r="A22" s="70" t="inlineStr">
        <is>
          <t>TM-T-004</t>
        </is>
      </c>
      <c r="B22" s="70" t="inlineStr">
        <is>
          <t>HB-BIZ-01</t>
        </is>
      </c>
      <c r="C22" s="70" t="inlineStr">
        <is>
          <t>Internal dev</t>
        </is>
      </c>
      <c r="D22" s="70" t="inlineStr">
        <is>
          <t>Steps processed in the expected order; business limits enforced</t>
        </is>
      </c>
      <c r="E22" s="71">
        <f>IF(ISNUMBER(MATCH(tblThreatControls[[#This Row],[Control ID]],BL_IDS,0)),"Baseline",IF(ISNUMBER(MATCH(tblThreatControls[[#This Row],[Control ID]],CC_IDS,0)),"Custom","NOT FOUND"))</f>
        <v/>
      </c>
      <c r="F22" s="71">
        <f>IF(tblThreatControls[[#This Row],[Control source]]="Baseline",INDEX(BL_APPLICABLE,tblThreatControls[[#This Row],[Source row]])&amp;"",IF(tblThreatControls[[#This Row],[Control source]]="Custom",INDEX(CC_APPLICABLE,tblThreatControls[[#This Row],[Source row]])&amp;"","NOT FOUND"))</f>
        <v/>
      </c>
      <c r="G22" s="71">
        <f>IF(tblThreatControls[[#This Row],[Control applicable]]&lt;&gt;"Applicable","N/A",IF(tblThreatControls[[#This Row],[Raw coverage]]="","Not assessed",tblThreatControls[[#This Row],[Raw coverage]]))</f>
        <v/>
      </c>
      <c r="H22" s="71">
        <f>IF(tblThreatControls[[#This Row],[Raw owner]]="",tblThreatControls[[#This Row],[Default owner]],tblThreatControls[[#This Row],[Raw owner]])</f>
        <v/>
      </c>
      <c r="I22" s="71">
        <f>IFERROR(INDEX(tblThreats[Applies],MATCH(tblThreatControls[[#This Row],[Threat ID]],tblThreats[Threat ID],0)),"NOT FOUND")</f>
        <v/>
      </c>
      <c r="J22" s="71">
        <f>IFERROR(INDEX(tblThreats[Risk],MATCH(tblThreatControls[[#This Row],[Threat ID]],tblThreats[Threat ID],0)),"")</f>
        <v/>
      </c>
      <c r="K22" s="71">
        <f>IF(tblThreatControls[[#This Row],[Threat applies]]="Applies",IFERROR(INDEX(tblThreats[Risk score],MATCH(tblThreatControls[[#This Row],[Threat ID]],tblThreats[Threat ID],0)),0),0)</f>
        <v/>
      </c>
      <c r="L22"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2" s="71">
        <f>IF(tblThreatControls[[#This Row],[Control source]]="Baseline",MATCH(tblThreatControls[[#This Row],[Control ID]],BL_IDS,0),IF(tblThreatControls[[#This Row],[Control source]]="Custom",MATCH(tblThreatControls[[#This Row],[Control ID]],CC_IDS,0),0))</f>
        <v/>
      </c>
      <c r="N22" s="71">
        <f>IF(tblThreatControls[[#This Row],[Control source]]="Baseline",INDEX(BL_COVERAGE,tblThreatControls[[#This Row],[Source row]])&amp;"",IF(tblThreatControls[[#This Row],[Control source]]="Custom",INDEX(CC_COVERAGE,tblThreatControls[[#This Row],[Source row]])&amp;"",""))</f>
        <v/>
      </c>
      <c r="O22" s="71">
        <f>IF(tblThreatControls[[#This Row],[Control source]]="Baseline",INDEX(BL_LEVEL,tblThreatControls[[#This Row],[Source row]]),IF(tblThreatControls[[#This Row],[Control source]]="Custom",INDEX(CC_LEVEL,tblThreatControls[[#This Row],[Source row]]),0))</f>
        <v/>
      </c>
      <c r="P22" s="71">
        <f>IF(tblThreatControls[[#This Row],[Control source]]="Baseline",INDEX(BL_OWNER,tblThreatControls[[#This Row],[Source row]])&amp;"",IF(tblThreatControls[[#This Row],[Control source]]="Custom",INDEX(CC_OWNER,tblThreatControls[[#This Row],[Source row]])&amp;"",""))</f>
        <v/>
      </c>
    </row>
    <row r="23" ht="36" customHeight="1" s="19">
      <c r="A23" s="70" t="inlineStr">
        <is>
          <t>TM-T-004</t>
        </is>
      </c>
      <c r="B23" s="70" t="inlineStr">
        <is>
          <t>HB-BIZ-02</t>
        </is>
      </c>
      <c r="C23" s="70" t="inlineStr">
        <is>
          <t>Internal dev</t>
        </is>
      </c>
      <c r="D23" s="70" t="inlineStr">
        <is>
          <t>Multi-user approval for high-value flows</t>
        </is>
      </c>
      <c r="E23" s="71">
        <f>IF(ISNUMBER(MATCH(tblThreatControls[[#This Row],[Control ID]],BL_IDS,0)),"Baseline",IF(ISNUMBER(MATCH(tblThreatControls[[#This Row],[Control ID]],CC_IDS,0)),"Custom","NOT FOUND"))</f>
        <v/>
      </c>
      <c r="F23" s="71">
        <f>IF(tblThreatControls[[#This Row],[Control source]]="Baseline",INDEX(BL_APPLICABLE,tblThreatControls[[#This Row],[Source row]])&amp;"",IF(tblThreatControls[[#This Row],[Control source]]="Custom",INDEX(CC_APPLICABLE,tblThreatControls[[#This Row],[Source row]])&amp;"","NOT FOUND"))</f>
        <v/>
      </c>
      <c r="G23" s="71">
        <f>IF(tblThreatControls[[#This Row],[Control applicable]]&lt;&gt;"Applicable","N/A",IF(tblThreatControls[[#This Row],[Raw coverage]]="","Not assessed",tblThreatControls[[#This Row],[Raw coverage]]))</f>
        <v/>
      </c>
      <c r="H23" s="71">
        <f>IF(tblThreatControls[[#This Row],[Raw owner]]="",tblThreatControls[[#This Row],[Default owner]],tblThreatControls[[#This Row],[Raw owner]])</f>
        <v/>
      </c>
      <c r="I23" s="71">
        <f>IFERROR(INDEX(tblThreats[Applies],MATCH(tblThreatControls[[#This Row],[Threat ID]],tblThreats[Threat ID],0)),"NOT FOUND")</f>
        <v/>
      </c>
      <c r="J23" s="71">
        <f>IFERROR(INDEX(tblThreats[Risk],MATCH(tblThreatControls[[#This Row],[Threat ID]],tblThreats[Threat ID],0)),"")</f>
        <v/>
      </c>
      <c r="K23" s="71">
        <f>IF(tblThreatControls[[#This Row],[Threat applies]]="Applies",IFERROR(INDEX(tblThreats[Risk score],MATCH(tblThreatControls[[#This Row],[Threat ID]],tblThreats[Threat ID],0)),0),0)</f>
        <v/>
      </c>
      <c r="L23"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3" s="71">
        <f>IF(tblThreatControls[[#This Row],[Control source]]="Baseline",MATCH(tblThreatControls[[#This Row],[Control ID]],BL_IDS,0),IF(tblThreatControls[[#This Row],[Control source]]="Custom",MATCH(tblThreatControls[[#This Row],[Control ID]],CC_IDS,0),0))</f>
        <v/>
      </c>
      <c r="N23" s="71">
        <f>IF(tblThreatControls[[#This Row],[Control source]]="Baseline",INDEX(BL_COVERAGE,tblThreatControls[[#This Row],[Source row]])&amp;"",IF(tblThreatControls[[#This Row],[Control source]]="Custom",INDEX(CC_COVERAGE,tblThreatControls[[#This Row],[Source row]])&amp;"",""))</f>
        <v/>
      </c>
      <c r="O23" s="71">
        <f>IF(tblThreatControls[[#This Row],[Control source]]="Baseline",INDEX(BL_LEVEL,tblThreatControls[[#This Row],[Source row]]),IF(tblThreatControls[[#This Row],[Control source]]="Custom",INDEX(CC_LEVEL,tblThreatControls[[#This Row],[Source row]]),0))</f>
        <v/>
      </c>
      <c r="P23" s="71">
        <f>IF(tblThreatControls[[#This Row],[Control source]]="Baseline",INDEX(BL_OWNER,tblThreatControls[[#This Row],[Source row]])&amp;"",IF(tblThreatControls[[#This Row],[Control source]]="Custom",INDEX(CC_OWNER,tblThreatControls[[#This Row],[Source row]])&amp;"",""))</f>
        <v/>
      </c>
    </row>
    <row r="24" ht="36" customHeight="1" s="19">
      <c r="A24" s="70" t="inlineStr">
        <is>
          <t>TM-T-004</t>
        </is>
      </c>
      <c r="B24" s="70" t="inlineStr">
        <is>
          <t>HB-LOG-01</t>
        </is>
      </c>
      <c r="C24" s="70" t="inlineStr">
        <is>
          <t>Internal dev</t>
        </is>
      </c>
      <c r="D24" s="70" t="inlineStr">
        <is>
          <t>Attempts to bypass business logic are logged</t>
        </is>
      </c>
      <c r="E24" s="71">
        <f>IF(ISNUMBER(MATCH(tblThreatControls[[#This Row],[Control ID]],BL_IDS,0)),"Baseline",IF(ISNUMBER(MATCH(tblThreatControls[[#This Row],[Control ID]],CC_IDS,0)),"Custom","NOT FOUND"))</f>
        <v/>
      </c>
      <c r="F24" s="71">
        <f>IF(tblThreatControls[[#This Row],[Control source]]="Baseline",INDEX(BL_APPLICABLE,tblThreatControls[[#This Row],[Source row]])&amp;"",IF(tblThreatControls[[#This Row],[Control source]]="Custom",INDEX(CC_APPLICABLE,tblThreatControls[[#This Row],[Source row]])&amp;"","NOT FOUND"))</f>
        <v/>
      </c>
      <c r="G24" s="71">
        <f>IF(tblThreatControls[[#This Row],[Control applicable]]&lt;&gt;"Applicable","N/A",IF(tblThreatControls[[#This Row],[Raw coverage]]="","Not assessed",tblThreatControls[[#This Row],[Raw coverage]]))</f>
        <v/>
      </c>
      <c r="H24" s="71">
        <f>IF(tblThreatControls[[#This Row],[Raw owner]]="",tblThreatControls[[#This Row],[Default owner]],tblThreatControls[[#This Row],[Raw owner]])</f>
        <v/>
      </c>
      <c r="I24" s="71">
        <f>IFERROR(INDEX(tblThreats[Applies],MATCH(tblThreatControls[[#This Row],[Threat ID]],tblThreats[Threat ID],0)),"NOT FOUND")</f>
        <v/>
      </c>
      <c r="J24" s="71">
        <f>IFERROR(INDEX(tblThreats[Risk],MATCH(tblThreatControls[[#This Row],[Threat ID]],tblThreats[Threat ID],0)),"")</f>
        <v/>
      </c>
      <c r="K24" s="71">
        <f>IF(tblThreatControls[[#This Row],[Threat applies]]="Applies",IFERROR(INDEX(tblThreats[Risk score],MATCH(tblThreatControls[[#This Row],[Threat ID]],tblThreats[Threat ID],0)),0),0)</f>
        <v/>
      </c>
      <c r="L24"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4" s="71">
        <f>IF(tblThreatControls[[#This Row],[Control source]]="Baseline",MATCH(tblThreatControls[[#This Row],[Control ID]],BL_IDS,0),IF(tblThreatControls[[#This Row],[Control source]]="Custom",MATCH(tblThreatControls[[#This Row],[Control ID]],CC_IDS,0),0))</f>
        <v/>
      </c>
      <c r="N24" s="71">
        <f>IF(tblThreatControls[[#This Row],[Control source]]="Baseline",INDEX(BL_COVERAGE,tblThreatControls[[#This Row],[Source row]])&amp;"",IF(tblThreatControls[[#This Row],[Control source]]="Custom",INDEX(CC_COVERAGE,tblThreatControls[[#This Row],[Source row]])&amp;"",""))</f>
        <v/>
      </c>
      <c r="O24" s="71">
        <f>IF(tblThreatControls[[#This Row],[Control source]]="Baseline",INDEX(BL_LEVEL,tblThreatControls[[#This Row],[Source row]]),IF(tblThreatControls[[#This Row],[Control source]]="Custom",INDEX(CC_LEVEL,tblThreatControls[[#This Row],[Source row]]),0))</f>
        <v/>
      </c>
      <c r="P24" s="71">
        <f>IF(tblThreatControls[[#This Row],[Control source]]="Baseline",INDEX(BL_OWNER,tblThreatControls[[#This Row],[Source row]])&amp;"",IF(tblThreatControls[[#This Row],[Control source]]="Custom",INDEX(CC_OWNER,tblThreatControls[[#This Row],[Source row]])&amp;"",""))</f>
        <v/>
      </c>
    </row>
    <row r="25" ht="36" customHeight="1" s="19">
      <c r="A25" s="70" t="inlineStr">
        <is>
          <t>TM-R-001</t>
        </is>
      </c>
      <c r="B25" s="70" t="inlineStr">
        <is>
          <t>HB-LOG-02</t>
        </is>
      </c>
      <c r="C25" s="70" t="inlineStr">
        <is>
          <t>Configuration</t>
        </is>
      </c>
      <c r="D25" s="70" t="inlineStr">
        <is>
          <t>Log entries carry who/what/when/where; logs protected from modification; logs shipped to a separate system</t>
        </is>
      </c>
      <c r="E25" s="71">
        <f>IF(ISNUMBER(MATCH(tblThreatControls[[#This Row],[Control ID]],BL_IDS,0)),"Baseline",IF(ISNUMBER(MATCH(tblThreatControls[[#This Row],[Control ID]],CC_IDS,0)),"Custom","NOT FOUND"))</f>
        <v/>
      </c>
      <c r="F25" s="71">
        <f>IF(tblThreatControls[[#This Row],[Control source]]="Baseline",INDEX(BL_APPLICABLE,tblThreatControls[[#This Row],[Source row]])&amp;"",IF(tblThreatControls[[#This Row],[Control source]]="Custom",INDEX(CC_APPLICABLE,tblThreatControls[[#This Row],[Source row]])&amp;"","NOT FOUND"))</f>
        <v/>
      </c>
      <c r="G25" s="71">
        <f>IF(tblThreatControls[[#This Row],[Control applicable]]&lt;&gt;"Applicable","N/A",IF(tblThreatControls[[#This Row],[Raw coverage]]="","Not assessed",tblThreatControls[[#This Row],[Raw coverage]]))</f>
        <v/>
      </c>
      <c r="H25" s="71">
        <f>IF(tblThreatControls[[#This Row],[Raw owner]]="",tblThreatControls[[#This Row],[Default owner]],tblThreatControls[[#This Row],[Raw owner]])</f>
        <v/>
      </c>
      <c r="I25" s="71">
        <f>IFERROR(INDEX(tblThreats[Applies],MATCH(tblThreatControls[[#This Row],[Threat ID]],tblThreats[Threat ID],0)),"NOT FOUND")</f>
        <v/>
      </c>
      <c r="J25" s="71">
        <f>IFERROR(INDEX(tblThreats[Risk],MATCH(tblThreatControls[[#This Row],[Threat ID]],tblThreats[Threat ID],0)),"")</f>
        <v/>
      </c>
      <c r="K25" s="71">
        <f>IF(tblThreatControls[[#This Row],[Threat applies]]="Applies",IFERROR(INDEX(tblThreats[Risk score],MATCH(tblThreatControls[[#This Row],[Threat ID]],tblThreats[Threat ID],0)),0),0)</f>
        <v/>
      </c>
      <c r="L2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5" s="71">
        <f>IF(tblThreatControls[[#This Row],[Control source]]="Baseline",MATCH(tblThreatControls[[#This Row],[Control ID]],BL_IDS,0),IF(tblThreatControls[[#This Row],[Control source]]="Custom",MATCH(tblThreatControls[[#This Row],[Control ID]],CC_IDS,0),0))</f>
        <v/>
      </c>
      <c r="N25" s="71">
        <f>IF(tblThreatControls[[#This Row],[Control source]]="Baseline",INDEX(BL_COVERAGE,tblThreatControls[[#This Row],[Source row]])&amp;"",IF(tblThreatControls[[#This Row],[Control source]]="Custom",INDEX(CC_COVERAGE,tblThreatControls[[#This Row],[Source row]])&amp;"",""))</f>
        <v/>
      </c>
      <c r="O25" s="71">
        <f>IF(tblThreatControls[[#This Row],[Control source]]="Baseline",INDEX(BL_LEVEL,tblThreatControls[[#This Row],[Source row]]),IF(tblThreatControls[[#This Row],[Control source]]="Custom",INDEX(CC_LEVEL,tblThreatControls[[#This Row],[Source row]]),0))</f>
        <v/>
      </c>
      <c r="P25" s="71">
        <f>IF(tblThreatControls[[#This Row],[Control source]]="Baseline",INDEX(BL_OWNER,tblThreatControls[[#This Row],[Source row]])&amp;"",IF(tblThreatControls[[#This Row],[Control source]]="Custom",INDEX(CC_OWNER,tblThreatControls[[#This Row],[Source row]])&amp;"",""))</f>
        <v/>
      </c>
    </row>
    <row r="26" ht="36" customHeight="1" s="19">
      <c r="A26" s="70" t="inlineStr">
        <is>
          <t>TM-R-001</t>
        </is>
      </c>
      <c r="B26" s="70" t="inlineStr">
        <is>
          <t>HB-LOG-01</t>
        </is>
      </c>
      <c r="C26" s="70" t="inlineStr">
        <is>
          <t>Internal dev</t>
        </is>
      </c>
      <c r="D26" s="70" t="inlineStr">
        <is>
          <t>Security-relevant events logged</t>
        </is>
      </c>
      <c r="E26" s="71">
        <f>IF(ISNUMBER(MATCH(tblThreatControls[[#This Row],[Control ID]],BL_IDS,0)),"Baseline",IF(ISNUMBER(MATCH(tblThreatControls[[#This Row],[Control ID]],CC_IDS,0)),"Custom","NOT FOUND"))</f>
        <v/>
      </c>
      <c r="F26" s="71">
        <f>IF(tblThreatControls[[#This Row],[Control source]]="Baseline",INDEX(BL_APPLICABLE,tblThreatControls[[#This Row],[Source row]])&amp;"",IF(tblThreatControls[[#This Row],[Control source]]="Custom",INDEX(CC_APPLICABLE,tblThreatControls[[#This Row],[Source row]])&amp;"","NOT FOUND"))</f>
        <v/>
      </c>
      <c r="G26" s="71">
        <f>IF(tblThreatControls[[#This Row],[Control applicable]]&lt;&gt;"Applicable","N/A",IF(tblThreatControls[[#This Row],[Raw coverage]]="","Not assessed",tblThreatControls[[#This Row],[Raw coverage]]))</f>
        <v/>
      </c>
      <c r="H26" s="71">
        <f>IF(tblThreatControls[[#This Row],[Raw owner]]="",tblThreatControls[[#This Row],[Default owner]],tblThreatControls[[#This Row],[Raw owner]])</f>
        <v/>
      </c>
      <c r="I26" s="71">
        <f>IFERROR(INDEX(tblThreats[Applies],MATCH(tblThreatControls[[#This Row],[Threat ID]],tblThreats[Threat ID],0)),"NOT FOUND")</f>
        <v/>
      </c>
      <c r="J26" s="71">
        <f>IFERROR(INDEX(tblThreats[Risk],MATCH(tblThreatControls[[#This Row],[Threat ID]],tblThreats[Threat ID],0)),"")</f>
        <v/>
      </c>
      <c r="K26" s="71">
        <f>IF(tblThreatControls[[#This Row],[Threat applies]]="Applies",IFERROR(INDEX(tblThreats[Risk score],MATCH(tblThreatControls[[#This Row],[Threat ID]],tblThreats[Threat ID],0)),0),0)</f>
        <v/>
      </c>
      <c r="L2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6" s="71">
        <f>IF(tblThreatControls[[#This Row],[Control source]]="Baseline",MATCH(tblThreatControls[[#This Row],[Control ID]],BL_IDS,0),IF(tblThreatControls[[#This Row],[Control source]]="Custom",MATCH(tblThreatControls[[#This Row],[Control ID]],CC_IDS,0),0))</f>
        <v/>
      </c>
      <c r="N26" s="71">
        <f>IF(tblThreatControls[[#This Row],[Control source]]="Baseline",INDEX(BL_COVERAGE,tblThreatControls[[#This Row],[Source row]])&amp;"",IF(tblThreatControls[[#This Row],[Control source]]="Custom",INDEX(CC_COVERAGE,tblThreatControls[[#This Row],[Source row]])&amp;"",""))</f>
        <v/>
      </c>
      <c r="O26" s="71">
        <f>IF(tblThreatControls[[#This Row],[Control source]]="Baseline",INDEX(BL_LEVEL,tblThreatControls[[#This Row],[Source row]]),IF(tblThreatControls[[#This Row],[Control source]]="Custom",INDEX(CC_LEVEL,tblThreatControls[[#This Row],[Source row]]),0))</f>
        <v/>
      </c>
      <c r="P26" s="71">
        <f>IF(tblThreatControls[[#This Row],[Control source]]="Baseline",INDEX(BL_OWNER,tblThreatControls[[#This Row],[Source row]])&amp;"",IF(tblThreatControls[[#This Row],[Control source]]="Custom",INDEX(CC_OWNER,tblThreatControls[[#This Row],[Source row]])&amp;"",""))</f>
        <v/>
      </c>
    </row>
    <row r="27" ht="36" customHeight="1" s="19">
      <c r="A27" s="70" t="inlineStr">
        <is>
          <t>TM-I-001</t>
        </is>
      </c>
      <c r="B27" s="70" t="inlineStr">
        <is>
          <t>HB-AUTHZ-01</t>
        </is>
      </c>
      <c r="C27" s="70" t="inlineStr">
        <is>
          <t>Internal dev</t>
        </is>
      </c>
      <c r="D27" s="70" t="inlineStr">
        <is>
          <t>Object-level authorization (IDOR/BOLA); authorization enforced server-side</t>
        </is>
      </c>
      <c r="E27" s="71">
        <f>IF(ISNUMBER(MATCH(tblThreatControls[[#This Row],[Control ID]],BL_IDS,0)),"Baseline",IF(ISNUMBER(MATCH(tblThreatControls[[#This Row],[Control ID]],CC_IDS,0)),"Custom","NOT FOUND"))</f>
        <v/>
      </c>
      <c r="F27" s="71">
        <f>IF(tblThreatControls[[#This Row],[Control source]]="Baseline",INDEX(BL_APPLICABLE,tblThreatControls[[#This Row],[Source row]])&amp;"",IF(tblThreatControls[[#This Row],[Control source]]="Custom",INDEX(CC_APPLICABLE,tblThreatControls[[#This Row],[Source row]])&amp;"","NOT FOUND"))</f>
        <v/>
      </c>
      <c r="G27" s="71">
        <f>IF(tblThreatControls[[#This Row],[Control applicable]]&lt;&gt;"Applicable","N/A",IF(tblThreatControls[[#This Row],[Raw coverage]]="","Not assessed",tblThreatControls[[#This Row],[Raw coverage]]))</f>
        <v/>
      </c>
      <c r="H27" s="71">
        <f>IF(tblThreatControls[[#This Row],[Raw owner]]="",tblThreatControls[[#This Row],[Default owner]],tblThreatControls[[#This Row],[Raw owner]])</f>
        <v/>
      </c>
      <c r="I27" s="71">
        <f>IFERROR(INDEX(tblThreats[Applies],MATCH(tblThreatControls[[#This Row],[Threat ID]],tblThreats[Threat ID],0)),"NOT FOUND")</f>
        <v/>
      </c>
      <c r="J27" s="71">
        <f>IFERROR(INDEX(tblThreats[Risk],MATCH(tblThreatControls[[#This Row],[Threat ID]],tblThreats[Threat ID],0)),"")</f>
        <v/>
      </c>
      <c r="K27" s="71">
        <f>IF(tblThreatControls[[#This Row],[Threat applies]]="Applies",IFERROR(INDEX(tblThreats[Risk score],MATCH(tblThreatControls[[#This Row],[Threat ID]],tblThreats[Threat ID],0)),0),0)</f>
        <v/>
      </c>
      <c r="L27"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7" s="71">
        <f>IF(tblThreatControls[[#This Row],[Control source]]="Baseline",MATCH(tblThreatControls[[#This Row],[Control ID]],BL_IDS,0),IF(tblThreatControls[[#This Row],[Control source]]="Custom",MATCH(tblThreatControls[[#This Row],[Control ID]],CC_IDS,0),0))</f>
        <v/>
      </c>
      <c r="N27" s="71">
        <f>IF(tblThreatControls[[#This Row],[Control source]]="Baseline",INDEX(BL_COVERAGE,tblThreatControls[[#This Row],[Source row]])&amp;"",IF(tblThreatControls[[#This Row],[Control source]]="Custom",INDEX(CC_COVERAGE,tblThreatControls[[#This Row],[Source row]])&amp;"",""))</f>
        <v/>
      </c>
      <c r="O27" s="71">
        <f>IF(tblThreatControls[[#This Row],[Control source]]="Baseline",INDEX(BL_LEVEL,tblThreatControls[[#This Row],[Source row]]),IF(tblThreatControls[[#This Row],[Control source]]="Custom",INDEX(CC_LEVEL,tblThreatControls[[#This Row],[Source row]]),0))</f>
        <v/>
      </c>
      <c r="P27" s="71">
        <f>IF(tblThreatControls[[#This Row],[Control source]]="Baseline",INDEX(BL_OWNER,tblThreatControls[[#This Row],[Source row]])&amp;"",IF(tblThreatControls[[#This Row],[Control source]]="Custom",INDEX(CC_OWNER,tblThreatControls[[#This Row],[Source row]])&amp;"",""))</f>
        <v/>
      </c>
    </row>
    <row r="28" ht="36" customHeight="1" s="19">
      <c r="A28" s="70" t="inlineStr">
        <is>
          <t>TM-I-001</t>
        </is>
      </c>
      <c r="B28" s="70" t="inlineStr">
        <is>
          <t>HB-AUTHZ-02</t>
        </is>
      </c>
      <c r="C28" s="70" t="inlineStr">
        <is>
          <t>Internal dev</t>
        </is>
      </c>
      <c r="D28" s="70" t="inlineStr">
        <is>
          <t>Field-level authorization (BOPLA)</t>
        </is>
      </c>
      <c r="E28" s="71">
        <f>IF(ISNUMBER(MATCH(tblThreatControls[[#This Row],[Control ID]],BL_IDS,0)),"Baseline",IF(ISNUMBER(MATCH(tblThreatControls[[#This Row],[Control ID]],CC_IDS,0)),"Custom","NOT FOUND"))</f>
        <v/>
      </c>
      <c r="F28" s="71">
        <f>IF(tblThreatControls[[#This Row],[Control source]]="Baseline",INDEX(BL_APPLICABLE,tblThreatControls[[#This Row],[Source row]])&amp;"",IF(tblThreatControls[[#This Row],[Control source]]="Custom",INDEX(CC_APPLICABLE,tblThreatControls[[#This Row],[Source row]])&amp;"","NOT FOUND"))</f>
        <v/>
      </c>
      <c r="G28" s="71">
        <f>IF(tblThreatControls[[#This Row],[Control applicable]]&lt;&gt;"Applicable","N/A",IF(tblThreatControls[[#This Row],[Raw coverage]]="","Not assessed",tblThreatControls[[#This Row],[Raw coverage]]))</f>
        <v/>
      </c>
      <c r="H28" s="71">
        <f>IF(tblThreatControls[[#This Row],[Raw owner]]="",tblThreatControls[[#This Row],[Default owner]],tblThreatControls[[#This Row],[Raw owner]])</f>
        <v/>
      </c>
      <c r="I28" s="71">
        <f>IFERROR(INDEX(tblThreats[Applies],MATCH(tblThreatControls[[#This Row],[Threat ID]],tblThreats[Threat ID],0)),"NOT FOUND")</f>
        <v/>
      </c>
      <c r="J28" s="71">
        <f>IFERROR(INDEX(tblThreats[Risk],MATCH(tblThreatControls[[#This Row],[Threat ID]],tblThreats[Threat ID],0)),"")</f>
        <v/>
      </c>
      <c r="K28" s="71">
        <f>IF(tblThreatControls[[#This Row],[Threat applies]]="Applies",IFERROR(INDEX(tblThreats[Risk score],MATCH(tblThreatControls[[#This Row],[Threat ID]],tblThreats[Threat ID],0)),0),0)</f>
        <v/>
      </c>
      <c r="L28"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8" s="71">
        <f>IF(tblThreatControls[[#This Row],[Control source]]="Baseline",MATCH(tblThreatControls[[#This Row],[Control ID]],BL_IDS,0),IF(tblThreatControls[[#This Row],[Control source]]="Custom",MATCH(tblThreatControls[[#This Row],[Control ID]],CC_IDS,0),0))</f>
        <v/>
      </c>
      <c r="N28" s="71">
        <f>IF(tblThreatControls[[#This Row],[Control source]]="Baseline",INDEX(BL_COVERAGE,tblThreatControls[[#This Row],[Source row]])&amp;"",IF(tblThreatControls[[#This Row],[Control source]]="Custom",INDEX(CC_COVERAGE,tblThreatControls[[#This Row],[Source row]])&amp;"",""))</f>
        <v/>
      </c>
      <c r="O28" s="71">
        <f>IF(tblThreatControls[[#This Row],[Control source]]="Baseline",INDEX(BL_LEVEL,tblThreatControls[[#This Row],[Source row]]),IF(tblThreatControls[[#This Row],[Control source]]="Custom",INDEX(CC_LEVEL,tblThreatControls[[#This Row],[Source row]]),0))</f>
        <v/>
      </c>
      <c r="P28" s="71">
        <f>IF(tblThreatControls[[#This Row],[Control source]]="Baseline",INDEX(BL_OWNER,tblThreatControls[[#This Row],[Source row]])&amp;"",IF(tblThreatControls[[#This Row],[Control source]]="Custom",INDEX(CC_OWNER,tblThreatControls[[#This Row],[Source row]])&amp;"",""))</f>
        <v/>
      </c>
    </row>
    <row r="29" ht="36" customHeight="1" s="19">
      <c r="A29" s="70" t="inlineStr">
        <is>
          <t>TM-I-001</t>
        </is>
      </c>
      <c r="B29" s="70" t="inlineStr">
        <is>
          <t>HB-AUTHZ-04</t>
        </is>
      </c>
      <c r="C29" s="70" t="inlineStr">
        <is>
          <t>Internal dev</t>
        </is>
      </c>
      <c r="D29" s="70" t="inlineStr">
        <is>
          <t>Cross-tenant controls</t>
        </is>
      </c>
      <c r="E29" s="71">
        <f>IF(ISNUMBER(MATCH(tblThreatControls[[#This Row],[Control ID]],BL_IDS,0)),"Baseline",IF(ISNUMBER(MATCH(tblThreatControls[[#This Row],[Control ID]],CC_IDS,0)),"Custom","NOT FOUND"))</f>
        <v/>
      </c>
      <c r="F29" s="71">
        <f>IF(tblThreatControls[[#This Row],[Control source]]="Baseline",INDEX(BL_APPLICABLE,tblThreatControls[[#This Row],[Source row]])&amp;"",IF(tblThreatControls[[#This Row],[Control source]]="Custom",INDEX(CC_APPLICABLE,tblThreatControls[[#This Row],[Source row]])&amp;"","NOT FOUND"))</f>
        <v/>
      </c>
      <c r="G29" s="71">
        <f>IF(tblThreatControls[[#This Row],[Control applicable]]&lt;&gt;"Applicable","N/A",IF(tblThreatControls[[#This Row],[Raw coverage]]="","Not assessed",tblThreatControls[[#This Row],[Raw coverage]]))</f>
        <v/>
      </c>
      <c r="H29" s="71">
        <f>IF(tblThreatControls[[#This Row],[Raw owner]]="",tblThreatControls[[#This Row],[Default owner]],tblThreatControls[[#This Row],[Raw owner]])</f>
        <v/>
      </c>
      <c r="I29" s="71">
        <f>IFERROR(INDEX(tblThreats[Applies],MATCH(tblThreatControls[[#This Row],[Threat ID]],tblThreats[Threat ID],0)),"NOT FOUND")</f>
        <v/>
      </c>
      <c r="J29" s="71">
        <f>IFERROR(INDEX(tblThreats[Risk],MATCH(tblThreatControls[[#This Row],[Threat ID]],tblThreats[Threat ID],0)),"")</f>
        <v/>
      </c>
      <c r="K29" s="71">
        <f>IF(tblThreatControls[[#This Row],[Threat applies]]="Applies",IFERROR(INDEX(tblThreats[Risk score],MATCH(tblThreatControls[[#This Row],[Threat ID]],tblThreats[Threat ID],0)),0),0)</f>
        <v/>
      </c>
      <c r="L29"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9" s="71">
        <f>IF(tblThreatControls[[#This Row],[Control source]]="Baseline",MATCH(tblThreatControls[[#This Row],[Control ID]],BL_IDS,0),IF(tblThreatControls[[#This Row],[Control source]]="Custom",MATCH(tblThreatControls[[#This Row],[Control ID]],CC_IDS,0),0))</f>
        <v/>
      </c>
      <c r="N29" s="71">
        <f>IF(tblThreatControls[[#This Row],[Control source]]="Baseline",INDEX(BL_COVERAGE,tblThreatControls[[#This Row],[Source row]])&amp;"",IF(tblThreatControls[[#This Row],[Control source]]="Custom",INDEX(CC_COVERAGE,tblThreatControls[[#This Row],[Source row]])&amp;"",""))</f>
        <v/>
      </c>
      <c r="O29" s="71">
        <f>IF(tblThreatControls[[#This Row],[Control source]]="Baseline",INDEX(BL_LEVEL,tblThreatControls[[#This Row],[Source row]]),IF(tblThreatControls[[#This Row],[Control source]]="Custom",INDEX(CC_LEVEL,tblThreatControls[[#This Row],[Source row]]),0))</f>
        <v/>
      </c>
      <c r="P29" s="71">
        <f>IF(tblThreatControls[[#This Row],[Control source]]="Baseline",INDEX(BL_OWNER,tblThreatControls[[#This Row],[Source row]])&amp;"",IF(tblThreatControls[[#This Row],[Control source]]="Custom",INDEX(CC_OWNER,tblThreatControls[[#This Row],[Source row]])&amp;"",""))</f>
        <v/>
      </c>
    </row>
    <row r="30" ht="36" customHeight="1" s="19">
      <c r="A30" s="70" t="inlineStr">
        <is>
          <t>TM-I-002</t>
        </is>
      </c>
      <c r="B30" s="70" t="inlineStr">
        <is>
          <t>HB-CFG-02</t>
        </is>
      </c>
      <c r="C30" s="70" t="inlineStr">
        <is>
          <t>Configuration</t>
        </is>
      </c>
      <c r="D30" s="70" t="inlineStr">
        <is>
          <t>Secrets kept in a secrets manager; least-privilege access to secrets; secrets expire and are rotated</t>
        </is>
      </c>
      <c r="E30" s="71">
        <f>IF(ISNUMBER(MATCH(tblThreatControls[[#This Row],[Control ID]],BL_IDS,0)),"Baseline",IF(ISNUMBER(MATCH(tblThreatControls[[#This Row],[Control ID]],CC_IDS,0)),"Custom","NOT FOUND"))</f>
        <v/>
      </c>
      <c r="F30" s="71">
        <f>IF(tblThreatControls[[#This Row],[Control source]]="Baseline",INDEX(BL_APPLICABLE,tblThreatControls[[#This Row],[Source row]])&amp;"",IF(tblThreatControls[[#This Row],[Control source]]="Custom",INDEX(CC_APPLICABLE,tblThreatControls[[#This Row],[Source row]])&amp;"","NOT FOUND"))</f>
        <v/>
      </c>
      <c r="G30" s="71">
        <f>IF(tblThreatControls[[#This Row],[Control applicable]]&lt;&gt;"Applicable","N/A",IF(tblThreatControls[[#This Row],[Raw coverage]]="","Not assessed",tblThreatControls[[#This Row],[Raw coverage]]))</f>
        <v/>
      </c>
      <c r="H30" s="71">
        <f>IF(tblThreatControls[[#This Row],[Raw owner]]="",tblThreatControls[[#This Row],[Default owner]],tblThreatControls[[#This Row],[Raw owner]])</f>
        <v/>
      </c>
      <c r="I30" s="71">
        <f>IFERROR(INDEX(tblThreats[Applies],MATCH(tblThreatControls[[#This Row],[Threat ID]],tblThreats[Threat ID],0)),"NOT FOUND")</f>
        <v/>
      </c>
      <c r="J30" s="71">
        <f>IFERROR(INDEX(tblThreats[Risk],MATCH(tblThreatControls[[#This Row],[Threat ID]],tblThreats[Threat ID],0)),"")</f>
        <v/>
      </c>
      <c r="K30" s="71">
        <f>IF(tblThreatControls[[#This Row],[Threat applies]]="Applies",IFERROR(INDEX(tblThreats[Risk score],MATCH(tblThreatControls[[#This Row],[Threat ID]],tblThreats[Threat ID],0)),0),0)</f>
        <v/>
      </c>
      <c r="L30"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0" s="71">
        <f>IF(tblThreatControls[[#This Row],[Control source]]="Baseline",MATCH(tblThreatControls[[#This Row],[Control ID]],BL_IDS,0),IF(tblThreatControls[[#This Row],[Control source]]="Custom",MATCH(tblThreatControls[[#This Row],[Control ID]],CC_IDS,0),0))</f>
        <v/>
      </c>
      <c r="N30" s="71">
        <f>IF(tblThreatControls[[#This Row],[Control source]]="Baseline",INDEX(BL_COVERAGE,tblThreatControls[[#This Row],[Source row]])&amp;"",IF(tblThreatControls[[#This Row],[Control source]]="Custom",INDEX(CC_COVERAGE,tblThreatControls[[#This Row],[Source row]])&amp;"",""))</f>
        <v/>
      </c>
      <c r="O30" s="71">
        <f>IF(tblThreatControls[[#This Row],[Control source]]="Baseline",INDEX(BL_LEVEL,tblThreatControls[[#This Row],[Source row]]),IF(tblThreatControls[[#This Row],[Control source]]="Custom",INDEX(CC_LEVEL,tblThreatControls[[#This Row],[Source row]]),0))</f>
        <v/>
      </c>
      <c r="P30" s="71">
        <f>IF(tblThreatControls[[#This Row],[Control source]]="Baseline",INDEX(BL_OWNER,tblThreatControls[[#This Row],[Source row]])&amp;"",IF(tblThreatControls[[#This Row],[Control source]]="Custom",INDEX(CC_OWNER,tblThreatControls[[#This Row],[Source row]])&amp;"",""))</f>
        <v/>
      </c>
    </row>
    <row r="31" ht="36" customHeight="1" s="19">
      <c r="A31" s="70" t="inlineStr">
        <is>
          <t>TM-I-003</t>
        </is>
      </c>
      <c r="B31" s="70" t="inlineStr">
        <is>
          <t>TMX-EGRESS-001</t>
        </is>
      </c>
      <c r="C31" s="70" t="inlineStr">
        <is>
          <t>Compensating</t>
        </is>
      </c>
      <c r="D31" s="70" t="inlineStr">
        <is>
          <t>Outbound traffic limited to approved destinations</t>
        </is>
      </c>
      <c r="E31" s="71">
        <f>IF(ISNUMBER(MATCH(tblThreatControls[[#This Row],[Control ID]],BL_IDS,0)),"Baseline",IF(ISNUMBER(MATCH(tblThreatControls[[#This Row],[Control ID]],CC_IDS,0)),"Custom","NOT FOUND"))</f>
        <v/>
      </c>
      <c r="F31" s="71">
        <f>IF(tblThreatControls[[#This Row],[Control source]]="Baseline",INDEX(BL_APPLICABLE,tblThreatControls[[#This Row],[Source row]])&amp;"",IF(tblThreatControls[[#This Row],[Control source]]="Custom",INDEX(CC_APPLICABLE,tblThreatControls[[#This Row],[Source row]])&amp;"","NOT FOUND"))</f>
        <v/>
      </c>
      <c r="G31" s="71">
        <f>IF(tblThreatControls[[#This Row],[Control applicable]]&lt;&gt;"Applicable","N/A",IF(tblThreatControls[[#This Row],[Raw coverage]]="","Not assessed",tblThreatControls[[#This Row],[Raw coverage]]))</f>
        <v/>
      </c>
      <c r="H31" s="71">
        <f>IF(tblThreatControls[[#This Row],[Raw owner]]="",tblThreatControls[[#This Row],[Default owner]],tblThreatControls[[#This Row],[Raw owner]])</f>
        <v/>
      </c>
      <c r="I31" s="71">
        <f>IFERROR(INDEX(tblThreats[Applies],MATCH(tblThreatControls[[#This Row],[Threat ID]],tblThreats[Threat ID],0)),"NOT FOUND")</f>
        <v/>
      </c>
      <c r="J31" s="71">
        <f>IFERROR(INDEX(tblThreats[Risk],MATCH(tblThreatControls[[#This Row],[Threat ID]],tblThreats[Threat ID],0)),"")</f>
        <v/>
      </c>
      <c r="K31" s="71">
        <f>IF(tblThreatControls[[#This Row],[Threat applies]]="Applies",IFERROR(INDEX(tblThreats[Risk score],MATCH(tblThreatControls[[#This Row],[Threat ID]],tblThreats[Threat ID],0)),0),0)</f>
        <v/>
      </c>
      <c r="L31"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1" s="71">
        <f>IF(tblThreatControls[[#This Row],[Control source]]="Baseline",MATCH(tblThreatControls[[#This Row],[Control ID]],BL_IDS,0),IF(tblThreatControls[[#This Row],[Control source]]="Custom",MATCH(tblThreatControls[[#This Row],[Control ID]],CC_IDS,0),0))</f>
        <v/>
      </c>
      <c r="N31" s="71">
        <f>IF(tblThreatControls[[#This Row],[Control source]]="Baseline",INDEX(BL_COVERAGE,tblThreatControls[[#This Row],[Source row]])&amp;"",IF(tblThreatControls[[#This Row],[Control source]]="Custom",INDEX(CC_COVERAGE,tblThreatControls[[#This Row],[Source row]])&amp;"",""))</f>
        <v/>
      </c>
      <c r="O31" s="71">
        <f>IF(tblThreatControls[[#This Row],[Control source]]="Baseline",INDEX(BL_LEVEL,tblThreatControls[[#This Row],[Source row]]),IF(tblThreatControls[[#This Row],[Control source]]="Custom",INDEX(CC_LEVEL,tblThreatControls[[#This Row],[Source row]]),0))</f>
        <v/>
      </c>
      <c r="P31" s="71">
        <f>IF(tblThreatControls[[#This Row],[Control source]]="Baseline",INDEX(BL_OWNER,tblThreatControls[[#This Row],[Source row]])&amp;"",IF(tblThreatControls[[#This Row],[Control source]]="Custom",INDEX(CC_OWNER,tblThreatControls[[#This Row],[Source row]])&amp;"",""))</f>
        <v/>
      </c>
    </row>
    <row r="32" ht="36" customHeight="1" s="19">
      <c r="A32" s="70" t="inlineStr">
        <is>
          <t>TM-I-003</t>
        </is>
      </c>
      <c r="B32" s="70" t="inlineStr">
        <is>
          <t>HB-CFG-04</t>
        </is>
      </c>
      <c r="C32" s="70" t="inlineStr">
        <is>
          <t>Configuration</t>
        </is>
      </c>
      <c r="D32" s="70" t="inlineStr">
        <is>
          <t>Allowlist of external systems</t>
        </is>
      </c>
      <c r="E32" s="71">
        <f>IF(ISNUMBER(MATCH(tblThreatControls[[#This Row],[Control ID]],BL_IDS,0)),"Baseline",IF(ISNUMBER(MATCH(tblThreatControls[[#This Row],[Control ID]],CC_IDS,0)),"Custom","NOT FOUND"))</f>
        <v/>
      </c>
      <c r="F32" s="71">
        <f>IF(tblThreatControls[[#This Row],[Control source]]="Baseline",INDEX(BL_APPLICABLE,tblThreatControls[[#This Row],[Source row]])&amp;"",IF(tblThreatControls[[#This Row],[Control source]]="Custom",INDEX(CC_APPLICABLE,tblThreatControls[[#This Row],[Source row]])&amp;"","NOT FOUND"))</f>
        <v/>
      </c>
      <c r="G32" s="71">
        <f>IF(tblThreatControls[[#This Row],[Control applicable]]&lt;&gt;"Applicable","N/A",IF(tblThreatControls[[#This Row],[Raw coverage]]="","Not assessed",tblThreatControls[[#This Row],[Raw coverage]]))</f>
        <v/>
      </c>
      <c r="H32" s="71">
        <f>IF(tblThreatControls[[#This Row],[Raw owner]]="",tblThreatControls[[#This Row],[Default owner]],tblThreatControls[[#This Row],[Raw owner]])</f>
        <v/>
      </c>
      <c r="I32" s="71">
        <f>IFERROR(INDEX(tblThreats[Applies],MATCH(tblThreatControls[[#This Row],[Threat ID]],tblThreats[Threat ID],0)),"NOT FOUND")</f>
        <v/>
      </c>
      <c r="J32" s="71">
        <f>IFERROR(INDEX(tblThreats[Risk],MATCH(tblThreatControls[[#This Row],[Threat ID]],tblThreats[Threat ID],0)),"")</f>
        <v/>
      </c>
      <c r="K32" s="71">
        <f>IF(tblThreatControls[[#This Row],[Threat applies]]="Applies",IFERROR(INDEX(tblThreats[Risk score],MATCH(tblThreatControls[[#This Row],[Threat ID]],tblThreats[Threat ID],0)),0),0)</f>
        <v/>
      </c>
      <c r="L32"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2" s="71">
        <f>IF(tblThreatControls[[#This Row],[Control source]]="Baseline",MATCH(tblThreatControls[[#This Row],[Control ID]],BL_IDS,0),IF(tblThreatControls[[#This Row],[Control source]]="Custom",MATCH(tblThreatControls[[#This Row],[Control ID]],CC_IDS,0),0))</f>
        <v/>
      </c>
      <c r="N32" s="71">
        <f>IF(tblThreatControls[[#This Row],[Control source]]="Baseline",INDEX(BL_COVERAGE,tblThreatControls[[#This Row],[Source row]])&amp;"",IF(tblThreatControls[[#This Row],[Control source]]="Custom",INDEX(CC_COVERAGE,tblThreatControls[[#This Row],[Source row]])&amp;"",""))</f>
        <v/>
      </c>
      <c r="O32" s="71">
        <f>IF(tblThreatControls[[#This Row],[Control source]]="Baseline",INDEX(BL_LEVEL,tblThreatControls[[#This Row],[Source row]]),IF(tblThreatControls[[#This Row],[Control source]]="Custom",INDEX(CC_LEVEL,tblThreatControls[[#This Row],[Source row]]),0))</f>
        <v/>
      </c>
      <c r="P32" s="71">
        <f>IF(tblThreatControls[[#This Row],[Control source]]="Baseline",INDEX(BL_OWNER,tblThreatControls[[#This Row],[Source row]])&amp;"",IF(tblThreatControls[[#This Row],[Control source]]="Custom",INDEX(CC_OWNER,tblThreatControls[[#This Row],[Source row]])&amp;"",""))</f>
        <v/>
      </c>
    </row>
    <row r="33" ht="36" customHeight="1" s="19">
      <c r="A33" s="70" t="inlineStr">
        <is>
          <t>TM-I-003</t>
        </is>
      </c>
      <c r="B33" s="70" t="inlineStr">
        <is>
          <t>HB-DATA-02</t>
        </is>
      </c>
      <c r="C33" s="70" t="inlineStr">
        <is>
          <t>Configuration</t>
        </is>
      </c>
      <c r="D33" s="70" t="inlineStr">
        <is>
          <t>Sensitive data not sent to untrusted parties</t>
        </is>
      </c>
      <c r="E33" s="71">
        <f>IF(ISNUMBER(MATCH(tblThreatControls[[#This Row],[Control ID]],BL_IDS,0)),"Baseline",IF(ISNUMBER(MATCH(tblThreatControls[[#This Row],[Control ID]],CC_IDS,0)),"Custom","NOT FOUND"))</f>
        <v/>
      </c>
      <c r="F33" s="71">
        <f>IF(tblThreatControls[[#This Row],[Control source]]="Baseline",INDEX(BL_APPLICABLE,tblThreatControls[[#This Row],[Source row]])&amp;"",IF(tblThreatControls[[#This Row],[Control source]]="Custom",INDEX(CC_APPLICABLE,tblThreatControls[[#This Row],[Source row]])&amp;"","NOT FOUND"))</f>
        <v/>
      </c>
      <c r="G33" s="71">
        <f>IF(tblThreatControls[[#This Row],[Control applicable]]&lt;&gt;"Applicable","N/A",IF(tblThreatControls[[#This Row],[Raw coverage]]="","Not assessed",tblThreatControls[[#This Row],[Raw coverage]]))</f>
        <v/>
      </c>
      <c r="H33" s="71">
        <f>IF(tblThreatControls[[#This Row],[Raw owner]]="",tblThreatControls[[#This Row],[Default owner]],tblThreatControls[[#This Row],[Raw owner]])</f>
        <v/>
      </c>
      <c r="I33" s="71">
        <f>IFERROR(INDEX(tblThreats[Applies],MATCH(tblThreatControls[[#This Row],[Threat ID]],tblThreats[Threat ID],0)),"NOT FOUND")</f>
        <v/>
      </c>
      <c r="J33" s="71">
        <f>IFERROR(INDEX(tblThreats[Risk],MATCH(tblThreatControls[[#This Row],[Threat ID]],tblThreats[Threat ID],0)),"")</f>
        <v/>
      </c>
      <c r="K33" s="71">
        <f>IF(tblThreatControls[[#This Row],[Threat applies]]="Applies",IFERROR(INDEX(tblThreats[Risk score],MATCH(tblThreatControls[[#This Row],[Threat ID]],tblThreats[Threat ID],0)),0),0)</f>
        <v/>
      </c>
      <c r="L33"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3" s="71">
        <f>IF(tblThreatControls[[#This Row],[Control source]]="Baseline",MATCH(tblThreatControls[[#This Row],[Control ID]],BL_IDS,0),IF(tblThreatControls[[#This Row],[Control source]]="Custom",MATCH(tblThreatControls[[#This Row],[Control ID]],CC_IDS,0),0))</f>
        <v/>
      </c>
      <c r="N33" s="71">
        <f>IF(tblThreatControls[[#This Row],[Control source]]="Baseline",INDEX(BL_COVERAGE,tblThreatControls[[#This Row],[Source row]])&amp;"",IF(tblThreatControls[[#This Row],[Control source]]="Custom",INDEX(CC_COVERAGE,tblThreatControls[[#This Row],[Source row]])&amp;"",""))</f>
        <v/>
      </c>
      <c r="O33" s="71">
        <f>IF(tblThreatControls[[#This Row],[Control source]]="Baseline",INDEX(BL_LEVEL,tblThreatControls[[#This Row],[Source row]]),IF(tblThreatControls[[#This Row],[Control source]]="Custom",INDEX(CC_LEVEL,tblThreatControls[[#This Row],[Source row]]),0))</f>
        <v/>
      </c>
      <c r="P33" s="71">
        <f>IF(tblThreatControls[[#This Row],[Control source]]="Baseline",INDEX(BL_OWNER,tblThreatControls[[#This Row],[Source row]])&amp;"",IF(tblThreatControls[[#This Row],[Control source]]="Custom",INDEX(CC_OWNER,tblThreatControls[[#This Row],[Source row]])&amp;"",""))</f>
        <v/>
      </c>
    </row>
    <row r="34" ht="36" customHeight="1" s="19">
      <c r="A34" s="70" t="inlineStr">
        <is>
          <t>TM-D-001</t>
        </is>
      </c>
      <c r="B34" s="70" t="inlineStr">
        <is>
          <t>TMX-WAF-001</t>
        </is>
      </c>
      <c r="C34" s="70" t="inlineStr">
        <is>
          <t>Compensating</t>
        </is>
      </c>
      <c r="D34" s="70" t="inlineStr">
        <is>
          <t>Rate limiting and bot protection at WAF/gateway</t>
        </is>
      </c>
      <c r="E34" s="71">
        <f>IF(ISNUMBER(MATCH(tblThreatControls[[#This Row],[Control ID]],BL_IDS,0)),"Baseline",IF(ISNUMBER(MATCH(tblThreatControls[[#This Row],[Control ID]],CC_IDS,0)),"Custom","NOT FOUND"))</f>
        <v/>
      </c>
      <c r="F34" s="71">
        <f>IF(tblThreatControls[[#This Row],[Control source]]="Baseline",INDEX(BL_APPLICABLE,tblThreatControls[[#This Row],[Source row]])&amp;"",IF(tblThreatControls[[#This Row],[Control source]]="Custom",INDEX(CC_APPLICABLE,tblThreatControls[[#This Row],[Source row]])&amp;"","NOT FOUND"))</f>
        <v/>
      </c>
      <c r="G34" s="71">
        <f>IF(tblThreatControls[[#This Row],[Control applicable]]&lt;&gt;"Applicable","N/A",IF(tblThreatControls[[#This Row],[Raw coverage]]="","Not assessed",tblThreatControls[[#This Row],[Raw coverage]]))</f>
        <v/>
      </c>
      <c r="H34" s="71">
        <f>IF(tblThreatControls[[#This Row],[Raw owner]]="",tblThreatControls[[#This Row],[Default owner]],tblThreatControls[[#This Row],[Raw owner]])</f>
        <v/>
      </c>
      <c r="I34" s="71">
        <f>IFERROR(INDEX(tblThreats[Applies],MATCH(tblThreatControls[[#This Row],[Threat ID]],tblThreats[Threat ID],0)),"NOT FOUND")</f>
        <v/>
      </c>
      <c r="J34" s="71">
        <f>IFERROR(INDEX(tblThreats[Risk],MATCH(tblThreatControls[[#This Row],[Threat ID]],tblThreats[Threat ID],0)),"")</f>
        <v/>
      </c>
      <c r="K34" s="71">
        <f>IF(tblThreatControls[[#This Row],[Threat applies]]="Applies",IFERROR(INDEX(tblThreats[Risk score],MATCH(tblThreatControls[[#This Row],[Threat ID]],tblThreats[Threat ID],0)),0),0)</f>
        <v/>
      </c>
      <c r="L34"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4" s="71">
        <f>IF(tblThreatControls[[#This Row],[Control source]]="Baseline",MATCH(tblThreatControls[[#This Row],[Control ID]],BL_IDS,0),IF(tblThreatControls[[#This Row],[Control source]]="Custom",MATCH(tblThreatControls[[#This Row],[Control ID]],CC_IDS,0),0))</f>
        <v/>
      </c>
      <c r="N34" s="71">
        <f>IF(tblThreatControls[[#This Row],[Control source]]="Baseline",INDEX(BL_COVERAGE,tblThreatControls[[#This Row],[Source row]])&amp;"",IF(tblThreatControls[[#This Row],[Control source]]="Custom",INDEX(CC_COVERAGE,tblThreatControls[[#This Row],[Source row]])&amp;"",""))</f>
        <v/>
      </c>
      <c r="O34" s="71">
        <f>IF(tblThreatControls[[#This Row],[Control source]]="Baseline",INDEX(BL_LEVEL,tblThreatControls[[#This Row],[Source row]]),IF(tblThreatControls[[#This Row],[Control source]]="Custom",INDEX(CC_LEVEL,tblThreatControls[[#This Row],[Source row]]),0))</f>
        <v/>
      </c>
      <c r="P34" s="71">
        <f>IF(tblThreatControls[[#This Row],[Control source]]="Baseline",INDEX(BL_OWNER,tblThreatControls[[#This Row],[Source row]])&amp;"",IF(tblThreatControls[[#This Row],[Control source]]="Custom",INDEX(CC_OWNER,tblThreatControls[[#This Row],[Source row]])&amp;"",""))</f>
        <v/>
      </c>
    </row>
    <row r="35" ht="36" customHeight="1" s="19">
      <c r="A35" s="70" t="inlineStr">
        <is>
          <t>TM-D-001</t>
        </is>
      </c>
      <c r="B35" s="70" t="inlineStr">
        <is>
          <t>HB-ABUSE-01</t>
        </is>
      </c>
      <c r="C35" s="70" t="inlineStr">
        <is>
          <t>Internal dev</t>
        </is>
      </c>
      <c r="D35" s="70" t="inlineStr">
        <is>
          <t>Anti-automation on application functions</t>
        </is>
      </c>
      <c r="E35" s="71">
        <f>IF(ISNUMBER(MATCH(tblThreatControls[[#This Row],[Control ID]],BL_IDS,0)),"Baseline",IF(ISNUMBER(MATCH(tblThreatControls[[#This Row],[Control ID]],CC_IDS,0)),"Custom","NOT FOUND"))</f>
        <v/>
      </c>
      <c r="F35" s="71">
        <f>IF(tblThreatControls[[#This Row],[Control source]]="Baseline",INDEX(BL_APPLICABLE,tblThreatControls[[#This Row],[Source row]])&amp;"",IF(tblThreatControls[[#This Row],[Control source]]="Custom",INDEX(CC_APPLICABLE,tblThreatControls[[#This Row],[Source row]])&amp;"","NOT FOUND"))</f>
        <v/>
      </c>
      <c r="G35" s="71">
        <f>IF(tblThreatControls[[#This Row],[Control applicable]]&lt;&gt;"Applicable","N/A",IF(tblThreatControls[[#This Row],[Raw coverage]]="","Not assessed",tblThreatControls[[#This Row],[Raw coverage]]))</f>
        <v/>
      </c>
      <c r="H35" s="71">
        <f>IF(tblThreatControls[[#This Row],[Raw owner]]="",tblThreatControls[[#This Row],[Default owner]],tblThreatControls[[#This Row],[Raw owner]])</f>
        <v/>
      </c>
      <c r="I35" s="71">
        <f>IFERROR(INDEX(tblThreats[Applies],MATCH(tblThreatControls[[#This Row],[Threat ID]],tblThreats[Threat ID],0)),"NOT FOUND")</f>
        <v/>
      </c>
      <c r="J35" s="71">
        <f>IFERROR(INDEX(tblThreats[Risk],MATCH(tblThreatControls[[#This Row],[Threat ID]],tblThreats[Threat ID],0)),"")</f>
        <v/>
      </c>
      <c r="K35" s="71">
        <f>IF(tblThreatControls[[#This Row],[Threat applies]]="Applies",IFERROR(INDEX(tblThreats[Risk score],MATCH(tblThreatControls[[#This Row],[Threat ID]],tblThreats[Threat ID],0)),0),0)</f>
        <v/>
      </c>
      <c r="L3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5" s="71">
        <f>IF(tblThreatControls[[#This Row],[Control source]]="Baseline",MATCH(tblThreatControls[[#This Row],[Control ID]],BL_IDS,0),IF(tblThreatControls[[#This Row],[Control source]]="Custom",MATCH(tblThreatControls[[#This Row],[Control ID]],CC_IDS,0),0))</f>
        <v/>
      </c>
      <c r="N35" s="71">
        <f>IF(tblThreatControls[[#This Row],[Control source]]="Baseline",INDEX(BL_COVERAGE,tblThreatControls[[#This Row],[Source row]])&amp;"",IF(tblThreatControls[[#This Row],[Control source]]="Custom",INDEX(CC_COVERAGE,tblThreatControls[[#This Row],[Source row]])&amp;"",""))</f>
        <v/>
      </c>
      <c r="O35" s="71">
        <f>IF(tblThreatControls[[#This Row],[Control source]]="Baseline",INDEX(BL_LEVEL,tblThreatControls[[#This Row],[Source row]]),IF(tblThreatControls[[#This Row],[Control source]]="Custom",INDEX(CC_LEVEL,tblThreatControls[[#This Row],[Source row]]),0))</f>
        <v/>
      </c>
      <c r="P35" s="71">
        <f>IF(tblThreatControls[[#This Row],[Control source]]="Baseline",INDEX(BL_OWNER,tblThreatControls[[#This Row],[Source row]])&amp;"",IF(tblThreatControls[[#This Row],[Control source]]="Custom",INDEX(CC_OWNER,tblThreatControls[[#This Row],[Source row]])&amp;"",""))</f>
        <v/>
      </c>
    </row>
    <row r="36" ht="36" customHeight="1" s="19">
      <c r="A36" s="70" t="inlineStr">
        <is>
          <t>TM-D-001</t>
        </is>
      </c>
      <c r="B36" s="70" t="inlineStr">
        <is>
          <t>HB-AVAIL-01</t>
        </is>
      </c>
      <c r="C36" s="70" t="inlineStr">
        <is>
          <t>Internal dev</t>
        </is>
      </c>
      <c r="D36" s="70" t="inlineStr">
        <is>
          <t>Defenses for resource-demanding functions</t>
        </is>
      </c>
      <c r="E36" s="71">
        <f>IF(ISNUMBER(MATCH(tblThreatControls[[#This Row],[Control ID]],BL_IDS,0)),"Baseline",IF(ISNUMBER(MATCH(tblThreatControls[[#This Row],[Control ID]],CC_IDS,0)),"Custom","NOT FOUND"))</f>
        <v/>
      </c>
      <c r="F36" s="71">
        <f>IF(tblThreatControls[[#This Row],[Control source]]="Baseline",INDEX(BL_APPLICABLE,tblThreatControls[[#This Row],[Source row]])&amp;"",IF(tblThreatControls[[#This Row],[Control source]]="Custom",INDEX(CC_APPLICABLE,tblThreatControls[[#This Row],[Source row]])&amp;"","NOT FOUND"))</f>
        <v/>
      </c>
      <c r="G36" s="71">
        <f>IF(tblThreatControls[[#This Row],[Control applicable]]&lt;&gt;"Applicable","N/A",IF(tblThreatControls[[#This Row],[Raw coverage]]="","Not assessed",tblThreatControls[[#This Row],[Raw coverage]]))</f>
        <v/>
      </c>
      <c r="H36" s="71">
        <f>IF(tblThreatControls[[#This Row],[Raw owner]]="",tblThreatControls[[#This Row],[Default owner]],tblThreatControls[[#This Row],[Raw owner]])</f>
        <v/>
      </c>
      <c r="I36" s="71">
        <f>IFERROR(INDEX(tblThreats[Applies],MATCH(tblThreatControls[[#This Row],[Threat ID]],tblThreats[Threat ID],0)),"NOT FOUND")</f>
        <v/>
      </c>
      <c r="J36" s="71">
        <f>IFERROR(INDEX(tblThreats[Risk],MATCH(tblThreatControls[[#This Row],[Threat ID]],tblThreats[Threat ID],0)),"")</f>
        <v/>
      </c>
      <c r="K36" s="71">
        <f>IF(tblThreatControls[[#This Row],[Threat applies]]="Applies",IFERROR(INDEX(tblThreats[Risk score],MATCH(tblThreatControls[[#This Row],[Threat ID]],tblThreats[Threat ID],0)),0),0)</f>
        <v/>
      </c>
      <c r="L3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6" s="71">
        <f>IF(tblThreatControls[[#This Row],[Control source]]="Baseline",MATCH(tblThreatControls[[#This Row],[Control ID]],BL_IDS,0),IF(tblThreatControls[[#This Row],[Control source]]="Custom",MATCH(tblThreatControls[[#This Row],[Control ID]],CC_IDS,0),0))</f>
        <v/>
      </c>
      <c r="N36" s="71">
        <f>IF(tblThreatControls[[#This Row],[Control source]]="Baseline",INDEX(BL_COVERAGE,tblThreatControls[[#This Row],[Source row]])&amp;"",IF(tblThreatControls[[#This Row],[Control source]]="Custom",INDEX(CC_COVERAGE,tblThreatControls[[#This Row],[Source row]])&amp;"",""))</f>
        <v/>
      </c>
      <c r="O36" s="71">
        <f>IF(tblThreatControls[[#This Row],[Control source]]="Baseline",INDEX(BL_LEVEL,tblThreatControls[[#This Row],[Source row]]),IF(tblThreatControls[[#This Row],[Control source]]="Custom",INDEX(CC_LEVEL,tblThreatControls[[#This Row],[Source row]]),0))</f>
        <v/>
      </c>
      <c r="P36" s="71">
        <f>IF(tblThreatControls[[#This Row],[Control source]]="Baseline",INDEX(BL_OWNER,tblThreatControls[[#This Row],[Source row]])&amp;"",IF(tblThreatControls[[#This Row],[Control source]]="Custom",INDEX(CC_OWNER,tblThreatControls[[#This Row],[Source row]])&amp;"",""))</f>
        <v/>
      </c>
    </row>
    <row r="37" ht="36" customHeight="1" s="19">
      <c r="A37" s="70" t="inlineStr">
        <is>
          <t>TM-D-002</t>
        </is>
      </c>
      <c r="B37" s="70" t="inlineStr">
        <is>
          <t>HB-VAL-01</t>
        </is>
      </c>
      <c r="C37" s="70" t="inlineStr">
        <is>
          <t>Internal dev</t>
        </is>
      </c>
      <c r="D37" s="70" t="inlineStr">
        <is>
          <t>Message content validated</t>
        </is>
      </c>
      <c r="E37" s="71">
        <f>IF(ISNUMBER(MATCH(tblThreatControls[[#This Row],[Control ID]],BL_IDS,0)),"Baseline",IF(ISNUMBER(MATCH(tblThreatControls[[#This Row],[Control ID]],CC_IDS,0)),"Custom","NOT FOUND"))</f>
        <v/>
      </c>
      <c r="F37" s="71">
        <f>IF(tblThreatControls[[#This Row],[Control source]]="Baseline",INDEX(BL_APPLICABLE,tblThreatControls[[#This Row],[Source row]])&amp;"",IF(tblThreatControls[[#This Row],[Control source]]="Custom",INDEX(CC_APPLICABLE,tblThreatControls[[#This Row],[Source row]])&amp;"","NOT FOUND"))</f>
        <v/>
      </c>
      <c r="G37" s="71">
        <f>IF(tblThreatControls[[#This Row],[Control applicable]]&lt;&gt;"Applicable","N/A",IF(tblThreatControls[[#This Row],[Raw coverage]]="","Not assessed",tblThreatControls[[#This Row],[Raw coverage]]))</f>
        <v/>
      </c>
      <c r="H37" s="71">
        <f>IF(tblThreatControls[[#This Row],[Raw owner]]="",tblThreatControls[[#This Row],[Default owner]],tblThreatControls[[#This Row],[Raw owner]])</f>
        <v/>
      </c>
      <c r="I37" s="71">
        <f>IFERROR(INDEX(tblThreats[Applies],MATCH(tblThreatControls[[#This Row],[Threat ID]],tblThreats[Threat ID],0)),"NOT FOUND")</f>
        <v/>
      </c>
      <c r="J37" s="71">
        <f>IFERROR(INDEX(tblThreats[Risk],MATCH(tblThreatControls[[#This Row],[Threat ID]],tblThreats[Threat ID],0)),"")</f>
        <v/>
      </c>
      <c r="K37" s="71">
        <f>IF(tblThreatControls[[#This Row],[Threat applies]]="Applies",IFERROR(INDEX(tblThreats[Risk score],MATCH(tblThreatControls[[#This Row],[Threat ID]],tblThreats[Threat ID],0)),0),0)</f>
        <v/>
      </c>
      <c r="L37"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7" s="71">
        <f>IF(tblThreatControls[[#This Row],[Control source]]="Baseline",MATCH(tblThreatControls[[#This Row],[Control ID]],BL_IDS,0),IF(tblThreatControls[[#This Row],[Control source]]="Custom",MATCH(tblThreatControls[[#This Row],[Control ID]],CC_IDS,0),0))</f>
        <v/>
      </c>
      <c r="N37" s="71">
        <f>IF(tblThreatControls[[#This Row],[Control source]]="Baseline",INDEX(BL_COVERAGE,tblThreatControls[[#This Row],[Source row]])&amp;"",IF(tblThreatControls[[#This Row],[Control source]]="Custom",INDEX(CC_COVERAGE,tblThreatControls[[#This Row],[Source row]])&amp;"",""))</f>
        <v/>
      </c>
      <c r="O37" s="71">
        <f>IF(tblThreatControls[[#This Row],[Control source]]="Baseline",INDEX(BL_LEVEL,tblThreatControls[[#This Row],[Source row]]),IF(tblThreatControls[[#This Row],[Control source]]="Custom",INDEX(CC_LEVEL,tblThreatControls[[#This Row],[Source row]]),0))</f>
        <v/>
      </c>
      <c r="P37" s="71">
        <f>IF(tblThreatControls[[#This Row],[Control source]]="Baseline",INDEX(BL_OWNER,tblThreatControls[[#This Row],[Source row]])&amp;"",IF(tblThreatControls[[#This Row],[Control source]]="Custom",INDEX(CC_OWNER,tblThreatControls[[#This Row],[Source row]])&amp;"",""))</f>
        <v/>
      </c>
    </row>
    <row r="38" ht="36" customHeight="1" s="19">
      <c r="A38" s="70" t="inlineStr">
        <is>
          <t>TM-D-002</t>
        </is>
      </c>
      <c r="B38" s="70" t="inlineStr">
        <is>
          <t>HB-ERR-01</t>
        </is>
      </c>
      <c r="C38" s="70" t="inlineStr">
        <is>
          <t>Internal dev</t>
        </is>
      </c>
      <c r="D38" s="70" t="inlineStr">
        <is>
          <t>Fails securely on bad input</t>
        </is>
      </c>
      <c r="E38" s="71">
        <f>IF(ISNUMBER(MATCH(tblThreatControls[[#This Row],[Control ID]],BL_IDS,0)),"Baseline",IF(ISNUMBER(MATCH(tblThreatControls[[#This Row],[Control ID]],CC_IDS,0)),"Custom","NOT FOUND"))</f>
        <v/>
      </c>
      <c r="F38" s="71">
        <f>IF(tblThreatControls[[#This Row],[Control source]]="Baseline",INDEX(BL_APPLICABLE,tblThreatControls[[#This Row],[Source row]])&amp;"",IF(tblThreatControls[[#This Row],[Control source]]="Custom",INDEX(CC_APPLICABLE,tblThreatControls[[#This Row],[Source row]])&amp;"","NOT FOUND"))</f>
        <v/>
      </c>
      <c r="G38" s="71">
        <f>IF(tblThreatControls[[#This Row],[Control applicable]]&lt;&gt;"Applicable","N/A",IF(tblThreatControls[[#This Row],[Raw coverage]]="","Not assessed",tblThreatControls[[#This Row],[Raw coverage]]))</f>
        <v/>
      </c>
      <c r="H38" s="71">
        <f>IF(tblThreatControls[[#This Row],[Raw owner]]="",tblThreatControls[[#This Row],[Default owner]],tblThreatControls[[#This Row],[Raw owner]])</f>
        <v/>
      </c>
      <c r="I38" s="71">
        <f>IFERROR(INDEX(tblThreats[Applies],MATCH(tblThreatControls[[#This Row],[Threat ID]],tblThreats[Threat ID],0)),"NOT FOUND")</f>
        <v/>
      </c>
      <c r="J38" s="71">
        <f>IFERROR(INDEX(tblThreats[Risk],MATCH(tblThreatControls[[#This Row],[Threat ID]],tblThreats[Threat ID],0)),"")</f>
        <v/>
      </c>
      <c r="K38" s="71">
        <f>IF(tblThreatControls[[#This Row],[Threat applies]]="Applies",IFERROR(INDEX(tblThreats[Risk score],MATCH(tblThreatControls[[#This Row],[Threat ID]],tblThreats[Threat ID],0)),0),0)</f>
        <v/>
      </c>
      <c r="L38"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8" s="71">
        <f>IF(tblThreatControls[[#This Row],[Control source]]="Baseline",MATCH(tblThreatControls[[#This Row],[Control ID]],BL_IDS,0),IF(tblThreatControls[[#This Row],[Control source]]="Custom",MATCH(tblThreatControls[[#This Row],[Control ID]],CC_IDS,0),0))</f>
        <v/>
      </c>
      <c r="N38" s="71">
        <f>IF(tblThreatControls[[#This Row],[Control source]]="Baseline",INDEX(BL_COVERAGE,tblThreatControls[[#This Row],[Source row]])&amp;"",IF(tblThreatControls[[#This Row],[Control source]]="Custom",INDEX(CC_COVERAGE,tblThreatControls[[#This Row],[Source row]])&amp;"",""))</f>
        <v/>
      </c>
      <c r="O38" s="71">
        <f>IF(tblThreatControls[[#This Row],[Control source]]="Baseline",INDEX(BL_LEVEL,tblThreatControls[[#This Row],[Source row]]),IF(tblThreatControls[[#This Row],[Control source]]="Custom",INDEX(CC_LEVEL,tblThreatControls[[#This Row],[Source row]]),0))</f>
        <v/>
      </c>
      <c r="P38" s="71">
        <f>IF(tblThreatControls[[#This Row],[Control source]]="Baseline",INDEX(BL_OWNER,tblThreatControls[[#This Row],[Source row]])&amp;"",IF(tblThreatControls[[#This Row],[Control source]]="Custom",INDEX(CC_OWNER,tblThreatControls[[#This Row],[Source row]])&amp;"",""))</f>
        <v/>
      </c>
    </row>
    <row r="39" ht="36" customHeight="1" s="19">
      <c r="A39" s="70" t="inlineStr">
        <is>
          <t>TM-D-002</t>
        </is>
      </c>
      <c r="B39" s="70" t="inlineStr">
        <is>
          <t>HB-AVAIL-01</t>
        </is>
      </c>
      <c r="C39" s="70" t="inlineStr">
        <is>
          <t>Internal dev</t>
        </is>
      </c>
      <c r="D39" s="70" t="inlineStr">
        <is>
          <t>Protects resource-demanding processing</t>
        </is>
      </c>
      <c r="E39" s="71">
        <f>IF(ISNUMBER(MATCH(tblThreatControls[[#This Row],[Control ID]],BL_IDS,0)),"Baseline",IF(ISNUMBER(MATCH(tblThreatControls[[#This Row],[Control ID]],CC_IDS,0)),"Custom","NOT FOUND"))</f>
        <v/>
      </c>
      <c r="F39" s="71">
        <f>IF(tblThreatControls[[#This Row],[Control source]]="Baseline",INDEX(BL_APPLICABLE,tblThreatControls[[#This Row],[Source row]])&amp;"",IF(tblThreatControls[[#This Row],[Control source]]="Custom",INDEX(CC_APPLICABLE,tblThreatControls[[#This Row],[Source row]])&amp;"","NOT FOUND"))</f>
        <v/>
      </c>
      <c r="G39" s="71">
        <f>IF(tblThreatControls[[#This Row],[Control applicable]]&lt;&gt;"Applicable","N/A",IF(tblThreatControls[[#This Row],[Raw coverage]]="","Not assessed",tblThreatControls[[#This Row],[Raw coverage]]))</f>
        <v/>
      </c>
      <c r="H39" s="71">
        <f>IF(tblThreatControls[[#This Row],[Raw owner]]="",tblThreatControls[[#This Row],[Default owner]],tblThreatControls[[#This Row],[Raw owner]])</f>
        <v/>
      </c>
      <c r="I39" s="71">
        <f>IFERROR(INDEX(tblThreats[Applies],MATCH(tblThreatControls[[#This Row],[Threat ID]],tblThreats[Threat ID],0)),"NOT FOUND")</f>
        <v/>
      </c>
      <c r="J39" s="71">
        <f>IFERROR(INDEX(tblThreats[Risk],MATCH(tblThreatControls[[#This Row],[Threat ID]],tblThreats[Threat ID],0)),"")</f>
        <v/>
      </c>
      <c r="K39" s="71">
        <f>IF(tblThreatControls[[#This Row],[Threat applies]]="Applies",IFERROR(INDEX(tblThreats[Risk score],MATCH(tblThreatControls[[#This Row],[Threat ID]],tblThreats[Threat ID],0)),0),0)</f>
        <v/>
      </c>
      <c r="L39"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9" s="71">
        <f>IF(tblThreatControls[[#This Row],[Control source]]="Baseline",MATCH(tblThreatControls[[#This Row],[Control ID]],BL_IDS,0),IF(tblThreatControls[[#This Row],[Control source]]="Custom",MATCH(tblThreatControls[[#This Row],[Control ID]],CC_IDS,0),0))</f>
        <v/>
      </c>
      <c r="N39" s="71">
        <f>IF(tblThreatControls[[#This Row],[Control source]]="Baseline",INDEX(BL_COVERAGE,tblThreatControls[[#This Row],[Source row]])&amp;"",IF(tblThreatControls[[#This Row],[Control source]]="Custom",INDEX(CC_COVERAGE,tblThreatControls[[#This Row],[Source row]])&amp;"",""))</f>
        <v/>
      </c>
      <c r="O39" s="71">
        <f>IF(tblThreatControls[[#This Row],[Control source]]="Baseline",INDEX(BL_LEVEL,tblThreatControls[[#This Row],[Source row]]),IF(tblThreatControls[[#This Row],[Control source]]="Custom",INDEX(CC_LEVEL,tblThreatControls[[#This Row],[Source row]]),0))</f>
        <v/>
      </c>
      <c r="P39" s="71">
        <f>IF(tblThreatControls[[#This Row],[Control source]]="Baseline",INDEX(BL_OWNER,tblThreatControls[[#This Row],[Source row]])&amp;"",IF(tblThreatControls[[#This Row],[Control source]]="Custom",INDEX(CC_OWNER,tblThreatControls[[#This Row],[Source row]])&amp;"",""))</f>
        <v/>
      </c>
    </row>
    <row r="40" ht="36" customHeight="1" s="19">
      <c r="A40" s="70" t="inlineStr">
        <is>
          <t>TM-E-001</t>
        </is>
      </c>
      <c r="B40" s="70" t="inlineStr">
        <is>
          <t>HB-AUTHZ-01</t>
        </is>
      </c>
      <c r="C40" s="70" t="inlineStr">
        <is>
          <t>Internal dev</t>
        </is>
      </c>
      <c r="D40" s="70" t="inlineStr">
        <is>
          <t>Function-level access control; authorization enforced server-side</t>
        </is>
      </c>
      <c r="E40" s="71">
        <f>IF(ISNUMBER(MATCH(tblThreatControls[[#This Row],[Control ID]],BL_IDS,0)),"Baseline",IF(ISNUMBER(MATCH(tblThreatControls[[#This Row],[Control ID]],CC_IDS,0)),"Custom","NOT FOUND"))</f>
        <v/>
      </c>
      <c r="F40" s="71">
        <f>IF(tblThreatControls[[#This Row],[Control source]]="Baseline",INDEX(BL_APPLICABLE,tblThreatControls[[#This Row],[Source row]])&amp;"",IF(tblThreatControls[[#This Row],[Control source]]="Custom",INDEX(CC_APPLICABLE,tblThreatControls[[#This Row],[Source row]])&amp;"","NOT FOUND"))</f>
        <v/>
      </c>
      <c r="G40" s="71">
        <f>IF(tblThreatControls[[#This Row],[Control applicable]]&lt;&gt;"Applicable","N/A",IF(tblThreatControls[[#This Row],[Raw coverage]]="","Not assessed",tblThreatControls[[#This Row],[Raw coverage]]))</f>
        <v/>
      </c>
      <c r="H40" s="71">
        <f>IF(tblThreatControls[[#This Row],[Raw owner]]="",tblThreatControls[[#This Row],[Default owner]],tblThreatControls[[#This Row],[Raw owner]])</f>
        <v/>
      </c>
      <c r="I40" s="71">
        <f>IFERROR(INDEX(tblThreats[Applies],MATCH(tblThreatControls[[#This Row],[Threat ID]],tblThreats[Threat ID],0)),"NOT FOUND")</f>
        <v/>
      </c>
      <c r="J40" s="71">
        <f>IFERROR(INDEX(tblThreats[Risk],MATCH(tblThreatControls[[#This Row],[Threat ID]],tblThreats[Threat ID],0)),"")</f>
        <v/>
      </c>
      <c r="K40" s="71">
        <f>IF(tblThreatControls[[#This Row],[Threat applies]]="Applies",IFERROR(INDEX(tblThreats[Risk score],MATCH(tblThreatControls[[#This Row],[Threat ID]],tblThreats[Threat ID],0)),0),0)</f>
        <v/>
      </c>
      <c r="L40"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0" s="71">
        <f>IF(tblThreatControls[[#This Row],[Control source]]="Baseline",MATCH(tblThreatControls[[#This Row],[Control ID]],BL_IDS,0),IF(tblThreatControls[[#This Row],[Control source]]="Custom",MATCH(tblThreatControls[[#This Row],[Control ID]],CC_IDS,0),0))</f>
        <v/>
      </c>
      <c r="N40" s="71">
        <f>IF(tblThreatControls[[#This Row],[Control source]]="Baseline",INDEX(BL_COVERAGE,tblThreatControls[[#This Row],[Source row]])&amp;"",IF(tblThreatControls[[#This Row],[Control source]]="Custom",INDEX(CC_COVERAGE,tblThreatControls[[#This Row],[Source row]])&amp;"",""))</f>
        <v/>
      </c>
      <c r="O40" s="71">
        <f>IF(tblThreatControls[[#This Row],[Control source]]="Baseline",INDEX(BL_LEVEL,tblThreatControls[[#This Row],[Source row]]),IF(tblThreatControls[[#This Row],[Control source]]="Custom",INDEX(CC_LEVEL,tblThreatControls[[#This Row],[Source row]]),0))</f>
        <v/>
      </c>
      <c r="P40" s="71">
        <f>IF(tblThreatControls[[#This Row],[Control source]]="Baseline",INDEX(BL_OWNER,tblThreatControls[[#This Row],[Source row]])&amp;"",IF(tblThreatControls[[#This Row],[Control source]]="Custom",INDEX(CC_OWNER,tblThreatControls[[#This Row],[Source row]])&amp;"",""))</f>
        <v/>
      </c>
    </row>
    <row r="41" ht="36" customHeight="1" s="19">
      <c r="A41" s="70" t="inlineStr">
        <is>
          <t>TM-E-001</t>
        </is>
      </c>
      <c r="B41" s="70" t="inlineStr">
        <is>
          <t>HB-LOG-01</t>
        </is>
      </c>
      <c r="C41" s="70" t="inlineStr">
        <is>
          <t>Internal dev</t>
        </is>
      </c>
      <c r="D41" s="70" t="inlineStr">
        <is>
          <t>Failed authorization attempts logged</t>
        </is>
      </c>
      <c r="E41" s="71">
        <f>IF(ISNUMBER(MATCH(tblThreatControls[[#This Row],[Control ID]],BL_IDS,0)),"Baseline",IF(ISNUMBER(MATCH(tblThreatControls[[#This Row],[Control ID]],CC_IDS,0)),"Custom","NOT FOUND"))</f>
        <v/>
      </c>
      <c r="F41" s="71">
        <f>IF(tblThreatControls[[#This Row],[Control source]]="Baseline",INDEX(BL_APPLICABLE,tblThreatControls[[#This Row],[Source row]])&amp;"",IF(tblThreatControls[[#This Row],[Control source]]="Custom",INDEX(CC_APPLICABLE,tblThreatControls[[#This Row],[Source row]])&amp;"","NOT FOUND"))</f>
        <v/>
      </c>
      <c r="G41" s="71">
        <f>IF(tblThreatControls[[#This Row],[Control applicable]]&lt;&gt;"Applicable","N/A",IF(tblThreatControls[[#This Row],[Raw coverage]]="","Not assessed",tblThreatControls[[#This Row],[Raw coverage]]))</f>
        <v/>
      </c>
      <c r="H41" s="71">
        <f>IF(tblThreatControls[[#This Row],[Raw owner]]="",tblThreatControls[[#This Row],[Default owner]],tblThreatControls[[#This Row],[Raw owner]])</f>
        <v/>
      </c>
      <c r="I41" s="71">
        <f>IFERROR(INDEX(tblThreats[Applies],MATCH(tblThreatControls[[#This Row],[Threat ID]],tblThreats[Threat ID],0)),"NOT FOUND")</f>
        <v/>
      </c>
      <c r="J41" s="71">
        <f>IFERROR(INDEX(tblThreats[Risk],MATCH(tblThreatControls[[#This Row],[Threat ID]],tblThreats[Threat ID],0)),"")</f>
        <v/>
      </c>
      <c r="K41" s="71">
        <f>IF(tblThreatControls[[#This Row],[Threat applies]]="Applies",IFERROR(INDEX(tblThreats[Risk score],MATCH(tblThreatControls[[#This Row],[Threat ID]],tblThreats[Threat ID],0)),0),0)</f>
        <v/>
      </c>
      <c r="L41"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1" s="71">
        <f>IF(tblThreatControls[[#This Row],[Control source]]="Baseline",MATCH(tblThreatControls[[#This Row],[Control ID]],BL_IDS,0),IF(tblThreatControls[[#This Row],[Control source]]="Custom",MATCH(tblThreatControls[[#This Row],[Control ID]],CC_IDS,0),0))</f>
        <v/>
      </c>
      <c r="N41" s="71">
        <f>IF(tblThreatControls[[#This Row],[Control source]]="Baseline",INDEX(BL_COVERAGE,tblThreatControls[[#This Row],[Source row]])&amp;"",IF(tblThreatControls[[#This Row],[Control source]]="Custom",INDEX(CC_COVERAGE,tblThreatControls[[#This Row],[Source row]])&amp;"",""))</f>
        <v/>
      </c>
      <c r="O41" s="71">
        <f>IF(tblThreatControls[[#This Row],[Control source]]="Baseline",INDEX(BL_LEVEL,tblThreatControls[[#This Row],[Source row]]),IF(tblThreatControls[[#This Row],[Control source]]="Custom",INDEX(CC_LEVEL,tblThreatControls[[#This Row],[Source row]]),0))</f>
        <v/>
      </c>
      <c r="P41" s="71">
        <f>IF(tblThreatControls[[#This Row],[Control source]]="Baseline",INDEX(BL_OWNER,tblThreatControls[[#This Row],[Source row]])&amp;"",IF(tblThreatControls[[#This Row],[Control source]]="Custom",INDEX(CC_OWNER,tblThreatControls[[#This Row],[Source row]])&amp;"",""))</f>
        <v/>
      </c>
    </row>
    <row r="42" ht="36" customHeight="1" s="19">
      <c r="A42" s="70" t="inlineStr">
        <is>
          <t>TM-E-002</t>
        </is>
      </c>
      <c r="B42" s="70" t="inlineStr">
        <is>
          <t>TMX-VENDOR-001</t>
        </is>
      </c>
      <c r="C42" s="70" t="inlineStr">
        <is>
          <t>Compensating</t>
        </is>
      </c>
      <c r="D42" s="70" t="inlineStr">
        <is>
          <t>Vendor access only through PAM, approved per session, recorded</t>
        </is>
      </c>
      <c r="E42" s="71">
        <f>IF(ISNUMBER(MATCH(tblThreatControls[[#This Row],[Control ID]],BL_IDS,0)),"Baseline",IF(ISNUMBER(MATCH(tblThreatControls[[#This Row],[Control ID]],CC_IDS,0)),"Custom","NOT FOUND"))</f>
        <v/>
      </c>
      <c r="F42" s="71">
        <f>IF(tblThreatControls[[#This Row],[Control source]]="Baseline",INDEX(BL_APPLICABLE,tblThreatControls[[#This Row],[Source row]])&amp;"",IF(tblThreatControls[[#This Row],[Control source]]="Custom",INDEX(CC_APPLICABLE,tblThreatControls[[#This Row],[Source row]])&amp;"","NOT FOUND"))</f>
        <v/>
      </c>
      <c r="G42" s="71">
        <f>IF(tblThreatControls[[#This Row],[Control applicable]]&lt;&gt;"Applicable","N/A",IF(tblThreatControls[[#This Row],[Raw coverage]]="","Not assessed",tblThreatControls[[#This Row],[Raw coverage]]))</f>
        <v/>
      </c>
      <c r="H42" s="71">
        <f>IF(tblThreatControls[[#This Row],[Raw owner]]="",tblThreatControls[[#This Row],[Default owner]],tblThreatControls[[#This Row],[Raw owner]])</f>
        <v/>
      </c>
      <c r="I42" s="71">
        <f>IFERROR(INDEX(tblThreats[Applies],MATCH(tblThreatControls[[#This Row],[Threat ID]],tblThreats[Threat ID],0)),"NOT FOUND")</f>
        <v/>
      </c>
      <c r="J42" s="71">
        <f>IFERROR(INDEX(tblThreats[Risk],MATCH(tblThreatControls[[#This Row],[Threat ID]],tblThreats[Threat ID],0)),"")</f>
        <v/>
      </c>
      <c r="K42" s="71">
        <f>IF(tblThreatControls[[#This Row],[Threat applies]]="Applies",IFERROR(INDEX(tblThreats[Risk score],MATCH(tblThreatControls[[#This Row],[Threat ID]],tblThreats[Threat ID],0)),0),0)</f>
        <v/>
      </c>
      <c r="L42"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2" s="71">
        <f>IF(tblThreatControls[[#This Row],[Control source]]="Baseline",MATCH(tblThreatControls[[#This Row],[Control ID]],BL_IDS,0),IF(tblThreatControls[[#This Row],[Control source]]="Custom",MATCH(tblThreatControls[[#This Row],[Control ID]],CC_IDS,0),0))</f>
        <v/>
      </c>
      <c r="N42" s="71">
        <f>IF(tblThreatControls[[#This Row],[Control source]]="Baseline",INDEX(BL_COVERAGE,tblThreatControls[[#This Row],[Source row]])&amp;"",IF(tblThreatControls[[#This Row],[Control source]]="Custom",INDEX(CC_COVERAGE,tblThreatControls[[#This Row],[Source row]])&amp;"",""))</f>
        <v/>
      </c>
      <c r="O42" s="71">
        <f>IF(tblThreatControls[[#This Row],[Control source]]="Baseline",INDEX(BL_LEVEL,tblThreatControls[[#This Row],[Source row]]),IF(tblThreatControls[[#This Row],[Control source]]="Custom",INDEX(CC_LEVEL,tblThreatControls[[#This Row],[Source row]]),0))</f>
        <v/>
      </c>
      <c r="P42" s="71">
        <f>IF(tblThreatControls[[#This Row],[Control source]]="Baseline",INDEX(BL_OWNER,tblThreatControls[[#This Row],[Source row]])&amp;"",IF(tblThreatControls[[#This Row],[Control source]]="Custom",INDEX(CC_OWNER,tblThreatControls[[#This Row],[Source row]])&amp;"",""))</f>
        <v/>
      </c>
    </row>
    <row r="43" ht="36" customHeight="1" s="19">
      <c r="A43" s="70" t="inlineStr">
        <is>
          <t>TM-E-002</t>
        </is>
      </c>
      <c r="B43" s="70" t="inlineStr">
        <is>
          <t>HB-AUTH-04</t>
        </is>
      </c>
      <c r="C43" s="70" t="inlineStr">
        <is>
          <t>Configuration</t>
        </is>
      </c>
      <c r="D43" s="70" t="inlineStr">
        <is>
          <t>MFA for vendor accounts</t>
        </is>
      </c>
      <c r="E43" s="71">
        <f>IF(ISNUMBER(MATCH(tblThreatControls[[#This Row],[Control ID]],BL_IDS,0)),"Baseline",IF(ISNUMBER(MATCH(tblThreatControls[[#This Row],[Control ID]],CC_IDS,0)),"Custom","NOT FOUND"))</f>
        <v/>
      </c>
      <c r="F43" s="71">
        <f>IF(tblThreatControls[[#This Row],[Control source]]="Baseline",INDEX(BL_APPLICABLE,tblThreatControls[[#This Row],[Source row]])&amp;"",IF(tblThreatControls[[#This Row],[Control source]]="Custom",INDEX(CC_APPLICABLE,tblThreatControls[[#This Row],[Source row]])&amp;"","NOT FOUND"))</f>
        <v/>
      </c>
      <c r="G43" s="71">
        <f>IF(tblThreatControls[[#This Row],[Control applicable]]&lt;&gt;"Applicable","N/A",IF(tblThreatControls[[#This Row],[Raw coverage]]="","Not assessed",tblThreatControls[[#This Row],[Raw coverage]]))</f>
        <v/>
      </c>
      <c r="H43" s="71">
        <f>IF(tblThreatControls[[#This Row],[Raw owner]]="",tblThreatControls[[#This Row],[Default owner]],tblThreatControls[[#This Row],[Raw owner]])</f>
        <v/>
      </c>
      <c r="I43" s="71">
        <f>IFERROR(INDEX(tblThreats[Applies],MATCH(tblThreatControls[[#This Row],[Threat ID]],tblThreats[Threat ID],0)),"NOT FOUND")</f>
        <v/>
      </c>
      <c r="J43" s="71">
        <f>IFERROR(INDEX(tblThreats[Risk],MATCH(tblThreatControls[[#This Row],[Threat ID]],tblThreats[Threat ID],0)),"")</f>
        <v/>
      </c>
      <c r="K43" s="71">
        <f>IF(tblThreatControls[[#This Row],[Threat applies]]="Applies",IFERROR(INDEX(tblThreats[Risk score],MATCH(tblThreatControls[[#This Row],[Threat ID]],tblThreats[Threat ID],0)),0),0)</f>
        <v/>
      </c>
      <c r="L43"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3" s="71">
        <f>IF(tblThreatControls[[#This Row],[Control source]]="Baseline",MATCH(tblThreatControls[[#This Row],[Control ID]],BL_IDS,0),IF(tblThreatControls[[#This Row],[Control source]]="Custom",MATCH(tblThreatControls[[#This Row],[Control ID]],CC_IDS,0),0))</f>
        <v/>
      </c>
      <c r="N43" s="71">
        <f>IF(tblThreatControls[[#This Row],[Control source]]="Baseline",INDEX(BL_COVERAGE,tblThreatControls[[#This Row],[Source row]])&amp;"",IF(tblThreatControls[[#This Row],[Control source]]="Custom",INDEX(CC_COVERAGE,tblThreatControls[[#This Row],[Source row]])&amp;"",""))</f>
        <v/>
      </c>
      <c r="O43" s="71">
        <f>IF(tblThreatControls[[#This Row],[Control source]]="Baseline",INDEX(BL_LEVEL,tblThreatControls[[#This Row],[Source row]]),IF(tblThreatControls[[#This Row],[Control source]]="Custom",INDEX(CC_LEVEL,tblThreatControls[[#This Row],[Source row]]),0))</f>
        <v/>
      </c>
      <c r="P43" s="71">
        <f>IF(tblThreatControls[[#This Row],[Control source]]="Baseline",INDEX(BL_OWNER,tblThreatControls[[#This Row],[Source row]])&amp;"",IF(tblThreatControls[[#This Row],[Control source]]="Custom",INDEX(CC_OWNER,tblThreatControls[[#This Row],[Source row]])&amp;"",""))</f>
        <v/>
      </c>
    </row>
    <row r="44" ht="36" customHeight="1" s="19">
      <c r="A44" s="70" t="inlineStr">
        <is>
          <t>TM-E-003</t>
        </is>
      </c>
      <c r="B44" s="70" t="inlineStr">
        <is>
          <t>TMX-VENDOR-002</t>
        </is>
      </c>
      <c r="C44" s="70" t="inlineStr">
        <is>
          <t>Vendor</t>
        </is>
      </c>
      <c r="D44" s="70" t="inlineStr">
        <is>
          <t>Supported version and patch SLA in the contract</t>
        </is>
      </c>
      <c r="E44" s="71">
        <f>IF(ISNUMBER(MATCH(tblThreatControls[[#This Row],[Control ID]],BL_IDS,0)),"Baseline",IF(ISNUMBER(MATCH(tblThreatControls[[#This Row],[Control ID]],CC_IDS,0)),"Custom","NOT FOUND"))</f>
        <v/>
      </c>
      <c r="F44" s="71">
        <f>IF(tblThreatControls[[#This Row],[Control source]]="Baseline",INDEX(BL_APPLICABLE,tblThreatControls[[#This Row],[Source row]])&amp;"",IF(tblThreatControls[[#This Row],[Control source]]="Custom",INDEX(CC_APPLICABLE,tblThreatControls[[#This Row],[Source row]])&amp;"","NOT FOUND"))</f>
        <v/>
      </c>
      <c r="G44" s="71">
        <f>IF(tblThreatControls[[#This Row],[Control applicable]]&lt;&gt;"Applicable","N/A",IF(tblThreatControls[[#This Row],[Raw coverage]]="","Not assessed",tblThreatControls[[#This Row],[Raw coverage]]))</f>
        <v/>
      </c>
      <c r="H44" s="71">
        <f>IF(tblThreatControls[[#This Row],[Raw owner]]="",tblThreatControls[[#This Row],[Default owner]],tblThreatControls[[#This Row],[Raw owner]])</f>
        <v/>
      </c>
      <c r="I44" s="71">
        <f>IFERROR(INDEX(tblThreats[Applies],MATCH(tblThreatControls[[#This Row],[Threat ID]],tblThreats[Threat ID],0)),"NOT FOUND")</f>
        <v/>
      </c>
      <c r="J44" s="71">
        <f>IFERROR(INDEX(tblThreats[Risk],MATCH(tblThreatControls[[#This Row],[Threat ID]],tblThreats[Threat ID],0)),"")</f>
        <v/>
      </c>
      <c r="K44" s="71">
        <f>IF(tblThreatControls[[#This Row],[Threat applies]]="Applies",IFERROR(INDEX(tblThreats[Risk score],MATCH(tblThreatControls[[#This Row],[Threat ID]],tblThreats[Threat ID],0)),0),0)</f>
        <v/>
      </c>
      <c r="L44"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4" s="71">
        <f>IF(tblThreatControls[[#This Row],[Control source]]="Baseline",MATCH(tblThreatControls[[#This Row],[Control ID]],BL_IDS,0),IF(tblThreatControls[[#This Row],[Control source]]="Custom",MATCH(tblThreatControls[[#This Row],[Control ID]],CC_IDS,0),0))</f>
        <v/>
      </c>
      <c r="N44" s="71">
        <f>IF(tblThreatControls[[#This Row],[Control source]]="Baseline",INDEX(BL_COVERAGE,tblThreatControls[[#This Row],[Source row]])&amp;"",IF(tblThreatControls[[#This Row],[Control source]]="Custom",INDEX(CC_COVERAGE,tblThreatControls[[#This Row],[Source row]])&amp;"",""))</f>
        <v/>
      </c>
      <c r="O44" s="71">
        <f>IF(tblThreatControls[[#This Row],[Control source]]="Baseline",INDEX(BL_LEVEL,tblThreatControls[[#This Row],[Source row]]),IF(tblThreatControls[[#This Row],[Control source]]="Custom",INDEX(CC_LEVEL,tblThreatControls[[#This Row],[Source row]]),0))</f>
        <v/>
      </c>
      <c r="P44" s="71">
        <f>IF(tblThreatControls[[#This Row],[Control source]]="Baseline",INDEX(BL_OWNER,tblThreatControls[[#This Row],[Source row]])&amp;"",IF(tblThreatControls[[#This Row],[Control source]]="Custom",INDEX(CC_OWNER,tblThreatControls[[#This Row],[Source row]])&amp;"",""))</f>
        <v/>
      </c>
    </row>
    <row r="45" ht="36" customHeight="1" s="19">
      <c r="A45" s="70" t="inlineStr">
        <is>
          <t>TM-E-003</t>
        </is>
      </c>
      <c r="B45" s="70" t="inlineStr">
        <is>
          <t>HB-DEP-01</t>
        </is>
      </c>
      <c r="C45" s="70" t="inlineStr">
        <is>
          <t>Vendor</t>
        </is>
      </c>
      <c r="D45" s="70" t="inlineStr">
        <is>
          <t>Components within remediation time frames</t>
        </is>
      </c>
      <c r="E45" s="71">
        <f>IF(ISNUMBER(MATCH(tblThreatControls[[#This Row],[Control ID]],BL_IDS,0)),"Baseline",IF(ISNUMBER(MATCH(tblThreatControls[[#This Row],[Control ID]],CC_IDS,0)),"Custom","NOT FOUND"))</f>
        <v/>
      </c>
      <c r="F45" s="71">
        <f>IF(tblThreatControls[[#This Row],[Control source]]="Baseline",INDEX(BL_APPLICABLE,tblThreatControls[[#This Row],[Source row]])&amp;"",IF(tblThreatControls[[#This Row],[Control source]]="Custom",INDEX(CC_APPLICABLE,tblThreatControls[[#This Row],[Source row]])&amp;"","NOT FOUND"))</f>
        <v/>
      </c>
      <c r="G45" s="71">
        <f>IF(tblThreatControls[[#This Row],[Control applicable]]&lt;&gt;"Applicable","N/A",IF(tblThreatControls[[#This Row],[Raw coverage]]="","Not assessed",tblThreatControls[[#This Row],[Raw coverage]]))</f>
        <v/>
      </c>
      <c r="H45" s="71">
        <f>IF(tblThreatControls[[#This Row],[Raw owner]]="",tblThreatControls[[#This Row],[Default owner]],tblThreatControls[[#This Row],[Raw owner]])</f>
        <v/>
      </c>
      <c r="I45" s="71">
        <f>IFERROR(INDEX(tblThreats[Applies],MATCH(tblThreatControls[[#This Row],[Threat ID]],tblThreats[Threat ID],0)),"NOT FOUND")</f>
        <v/>
      </c>
      <c r="J45" s="71">
        <f>IFERROR(INDEX(tblThreats[Risk],MATCH(tblThreatControls[[#This Row],[Threat ID]],tblThreats[Threat ID],0)),"")</f>
        <v/>
      </c>
      <c r="K45" s="71">
        <f>IF(tblThreatControls[[#This Row],[Threat applies]]="Applies",IFERROR(INDEX(tblThreats[Risk score],MATCH(tblThreatControls[[#This Row],[Threat ID]],tblThreats[Threat ID],0)),0),0)</f>
        <v/>
      </c>
      <c r="L4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5" s="71">
        <f>IF(tblThreatControls[[#This Row],[Control source]]="Baseline",MATCH(tblThreatControls[[#This Row],[Control ID]],BL_IDS,0),IF(tblThreatControls[[#This Row],[Control source]]="Custom",MATCH(tblThreatControls[[#This Row],[Control ID]],CC_IDS,0),0))</f>
        <v/>
      </c>
      <c r="N45" s="71">
        <f>IF(tblThreatControls[[#This Row],[Control source]]="Baseline",INDEX(BL_COVERAGE,tblThreatControls[[#This Row],[Source row]])&amp;"",IF(tblThreatControls[[#This Row],[Control source]]="Custom",INDEX(CC_COVERAGE,tblThreatControls[[#This Row],[Source row]])&amp;"",""))</f>
        <v/>
      </c>
      <c r="O45" s="71">
        <f>IF(tblThreatControls[[#This Row],[Control source]]="Baseline",INDEX(BL_LEVEL,tblThreatControls[[#This Row],[Source row]]),IF(tblThreatControls[[#This Row],[Control source]]="Custom",INDEX(CC_LEVEL,tblThreatControls[[#This Row],[Source row]]),0))</f>
        <v/>
      </c>
      <c r="P45" s="71">
        <f>IF(tblThreatControls[[#This Row],[Control source]]="Baseline",INDEX(BL_OWNER,tblThreatControls[[#This Row],[Source row]])&amp;"",IF(tblThreatControls[[#This Row],[Control source]]="Custom",INDEX(CC_OWNER,tblThreatControls[[#This Row],[Source row]])&amp;"",""))</f>
        <v/>
      </c>
    </row>
    <row r="46" ht="36" customHeight="1" s="19">
      <c r="A46" s="70" t="inlineStr">
        <is>
          <t>TM-E-003</t>
        </is>
      </c>
      <c r="B46" s="70" t="inlineStr">
        <is>
          <t>TMX-WAF-001</t>
        </is>
      </c>
      <c r="C46" s="70" t="inlineStr">
        <is>
          <t>Compensating</t>
        </is>
      </c>
      <c r="D46" s="70" t="inlineStr">
        <is>
          <t>Virtual patching at the WAF while unsupported</t>
        </is>
      </c>
      <c r="E46" s="71">
        <f>IF(ISNUMBER(MATCH(tblThreatControls[[#This Row],[Control ID]],BL_IDS,0)),"Baseline",IF(ISNUMBER(MATCH(tblThreatControls[[#This Row],[Control ID]],CC_IDS,0)),"Custom","NOT FOUND"))</f>
        <v/>
      </c>
      <c r="F46" s="71">
        <f>IF(tblThreatControls[[#This Row],[Control source]]="Baseline",INDEX(BL_APPLICABLE,tblThreatControls[[#This Row],[Source row]])&amp;"",IF(tblThreatControls[[#This Row],[Control source]]="Custom",INDEX(CC_APPLICABLE,tblThreatControls[[#This Row],[Source row]])&amp;"","NOT FOUND"))</f>
        <v/>
      </c>
      <c r="G46" s="71">
        <f>IF(tblThreatControls[[#This Row],[Control applicable]]&lt;&gt;"Applicable","N/A",IF(tblThreatControls[[#This Row],[Raw coverage]]="","Not assessed",tblThreatControls[[#This Row],[Raw coverage]]))</f>
        <v/>
      </c>
      <c r="H46" s="71">
        <f>IF(tblThreatControls[[#This Row],[Raw owner]]="",tblThreatControls[[#This Row],[Default owner]],tblThreatControls[[#This Row],[Raw owner]])</f>
        <v/>
      </c>
      <c r="I46" s="71">
        <f>IFERROR(INDEX(tblThreats[Applies],MATCH(tblThreatControls[[#This Row],[Threat ID]],tblThreats[Threat ID],0)),"NOT FOUND")</f>
        <v/>
      </c>
      <c r="J46" s="71">
        <f>IFERROR(INDEX(tblThreats[Risk],MATCH(tblThreatControls[[#This Row],[Threat ID]],tblThreats[Threat ID],0)),"")</f>
        <v/>
      </c>
      <c r="K46" s="71">
        <f>IF(tblThreatControls[[#This Row],[Threat applies]]="Applies",IFERROR(INDEX(tblThreats[Risk score],MATCH(tblThreatControls[[#This Row],[Threat ID]],tblThreats[Threat ID],0)),0),0)</f>
        <v/>
      </c>
      <c r="L4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6" s="71">
        <f>IF(tblThreatControls[[#This Row],[Control source]]="Baseline",MATCH(tblThreatControls[[#This Row],[Control ID]],BL_IDS,0),IF(tblThreatControls[[#This Row],[Control source]]="Custom",MATCH(tblThreatControls[[#This Row],[Control ID]],CC_IDS,0),0))</f>
        <v/>
      </c>
      <c r="N46" s="71">
        <f>IF(tblThreatControls[[#This Row],[Control source]]="Baseline",INDEX(BL_COVERAGE,tblThreatControls[[#This Row],[Source row]])&amp;"",IF(tblThreatControls[[#This Row],[Control source]]="Custom",INDEX(CC_COVERAGE,tblThreatControls[[#This Row],[Source row]])&amp;"",""))</f>
        <v/>
      </c>
      <c r="O46" s="71">
        <f>IF(tblThreatControls[[#This Row],[Control source]]="Baseline",INDEX(BL_LEVEL,tblThreatControls[[#This Row],[Source row]]),IF(tblThreatControls[[#This Row],[Control source]]="Custom",INDEX(CC_LEVEL,tblThreatControls[[#This Row],[Source row]]),0))</f>
        <v/>
      </c>
      <c r="P46" s="71">
        <f>IF(tblThreatControls[[#This Row],[Control source]]="Baseline",INDEX(BL_OWNER,tblThreatControls[[#This Row],[Source row]])&amp;"",IF(tblThreatControls[[#This Row],[Control source]]="Custom",INDEX(CC_OWNER,tblThreatControls[[#This Row],[Source row]])&amp;"",""))</f>
        <v/>
      </c>
    </row>
    <row r="47" ht="36" customHeight="1" s="19"/>
    <row r="48" ht="36" customHeight="1" s="19"/>
    <row r="49" ht="36" customHeight="1" s="19"/>
    <row r="50" ht="36" customHeight="1" s="19"/>
    <row r="51" ht="36" customHeight="1" s="19"/>
    <row r="52" ht="36" customHeight="1" s="19"/>
    <row r="53" ht="36" customHeight="1" s="19"/>
    <row r="54" ht="36" customHeight="1" s="19"/>
    <row r="55" ht="36" customHeight="1" s="19"/>
    <row r="56" ht="36" customHeight="1" s="19"/>
    <row r="57" ht="36" customHeight="1" s="19"/>
    <row r="58" ht="36" customHeight="1" s="19"/>
    <row r="100"/>
  </sheetData>
  <sheetProtection selectLockedCells="0" selectUnlockedCells="0" sheet="1" objects="0" insertRows="1" insertHyperlinks="1" autoFilter="0" scenarios="0" formatColumns="0" deleteColumns="1" insertColumns="1" pivotTables="1" deleteRows="1" formatCells="1" formatRows="0" sort="0"/>
  <mergeCells count="1">
    <mergeCell ref="A2:P2"/>
  </mergeCells>
  <conditionalFormatting sqref="L5:L500">
    <cfRule type="expression" priority="1" dxfId="11">
      <formula>$L5&lt;&gt;""</formula>
    </cfRule>
  </conditionalFormatting>
  <dataValidations count="1">
    <dataValidation sqref="C5:C500" showDropDown="0" showInputMessage="0" showErrorMessage="1" allowBlank="1" error="Choose one of the listed options." type="list">
      <formula1>LIST_REMEDIATION_OWNER</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FF7030A0"/>
    <outlinePr summaryBelow="1" summaryRight="1"/>
    <pageSetUpPr/>
  </sheetPr>
  <dimension ref="A1:N500"/>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style="19" min="1" max="1"/>
    <col width="30" customWidth="1" style="19" min="2" max="2"/>
    <col width="42" customWidth="1" style="19" min="3" max="3"/>
    <col width="34" customWidth="1" style="19" min="4" max="4"/>
    <col width="24" customWidth="1" style="19" min="5" max="5"/>
    <col width="22" customWidth="1" style="19" min="6" max="6"/>
    <col width="22" customWidth="1" style="19" min="7" max="7"/>
    <col width="9" customWidth="1" style="19" min="8" max="8"/>
    <col width="11" customWidth="1" style="19" min="9" max="9"/>
    <col width="8" customWidth="1" style="19" min="10" max="10"/>
    <col width="16" customWidth="1" style="19" min="11" max="11"/>
    <col width="10" customWidth="1" style="19" min="12" max="12"/>
    <col width="10" customWidth="1" style="19" min="13" max="13"/>
    <col width="30" customWidth="1" style="19" min="14" max="14"/>
  </cols>
  <sheetData>
    <row r="1" ht="25.5" customHeight="1" s="19">
      <c r="A1" s="63" t="inlineStr">
        <is>
          <t>Detections (catalog — maintained centrally; Deployment status per application)</t>
        </is>
      </c>
      <c r="B1" s="64" t="n"/>
      <c r="C1" s="64" t="n"/>
      <c r="D1" s="64" t="n"/>
      <c r="E1" s="64" t="n"/>
      <c r="F1" s="64" t="n"/>
      <c r="G1" s="64" t="n"/>
      <c r="H1" s="64" t="n"/>
      <c r="I1" s="64" t="n"/>
      <c r="J1" s="64" t="n"/>
      <c r="K1" s="64" t="n"/>
      <c r="L1" s="64" t="n"/>
      <c r="M1" s="64" t="n"/>
      <c r="N1" s="64" t="n"/>
    </row>
    <row r="2" ht="55" customHeight="1" s="19">
      <c r="A2" s="65" t="inlineStr">
        <is>
          <t>One row per detection, each with a SIEM-agnostic Sigma rule in detections/sigma/. Maintained by Security in the master template. EXCEPTION: the 'Deployment status' column is edited per application (by the app team / SOC) and stays editable while the sheet is protected. It lives here, on the detection's own row, so it can never get misaligned when the 'Detection Plan' view re-sorts.</t>
        </is>
      </c>
    </row>
    <row r="3"/>
    <row r="4">
      <c r="A4" s="68" t="inlineStr">
        <is>
          <t>Detection ID</t>
        </is>
      </c>
      <c r="B4" s="68" t="inlineStr">
        <is>
          <t>Title</t>
        </is>
      </c>
      <c r="C4" s="68" t="inlineStr">
        <is>
          <t>What it detects</t>
        </is>
      </c>
      <c r="D4" s="68" t="inlineStr">
        <is>
          <t>Sigma rule</t>
        </is>
      </c>
      <c r="E4" s="68" t="inlineStr">
        <is>
          <t>Required log sources</t>
        </is>
      </c>
      <c r="F4" s="68" t="inlineStr">
        <is>
          <t>Missing log sources</t>
        </is>
      </c>
      <c r="G4" s="68" t="inlineStr">
        <is>
          <t>Linked threats</t>
        </is>
      </c>
      <c r="H4" s="68" t="inlineStr">
        <is>
          <t>Relevant</t>
        </is>
      </c>
      <c r="I4" s="68" t="inlineStr">
        <is>
          <t>Highest threat risk</t>
        </is>
      </c>
      <c r="J4" s="68" t="inlineStr">
        <is>
          <t>Risk score</t>
        </is>
      </c>
      <c r="K4" s="68" t="inlineStr">
        <is>
          <t>Deployment status</t>
        </is>
      </c>
      <c r="L4" s="68" t="inlineStr">
        <is>
          <t>Log sources known</t>
        </is>
      </c>
      <c r="M4" s="68" t="inlineStr">
        <is>
          <t>Review status</t>
        </is>
      </c>
      <c r="N4" s="68" t="inlineStr">
        <is>
          <t>Notes</t>
        </is>
      </c>
    </row>
    <row r="5" ht="36" customHeight="1" s="19">
      <c r="A5" s="70" t="inlineStr">
        <is>
          <t>DET-AUTH-001</t>
        </is>
      </c>
      <c r="B5" s="70" t="inlineStr">
        <is>
          <t>Login failure spike</t>
        </is>
      </c>
      <c r="C5" s="70" t="inlineStr">
        <is>
          <t>Many failed logins for many accounts from one source, or for one account from many sources.</t>
        </is>
      </c>
      <c r="D5" s="72" t="inlineStr">
        <is>
          <t>detections/sigma/det-auth-001-login-failure-spike.yml</t>
        </is>
      </c>
      <c r="E5" s="70" t="inlineStr">
        <is>
          <t>LOG-APP-AUTH</t>
        </is>
      </c>
      <c r="F5" s="71">
        <f>_xlfn.TEXTJOIN("; ",TRUE,_xlfn._xlws.FILTER(tblLogSources[Log source ID],ISNUMBER(SEARCH(";"&amp;tblLogSources[Log source ID]&amp;";",";"&amp;SUBSTITUTE(tblDetections[[#This Row],[Required log sources]]," ","")&amp;";"))*(tblLogSources[Available]&lt;&gt;"Yes"),""))</f>
        <v/>
      </c>
      <c r="G5" s="71">
        <f>_xlfn.TEXTJOIN("; ",TRUE,_xlfn._xlws.FILTER(tblThreatDetections[Threat ID],(tblThreatDetections[Detection ID]=tblDetections[[#This Row],[Detection ID]])*(tblThreatDetections[Threat applies]="Applies"),""))</f>
        <v/>
      </c>
      <c r="H5" s="71">
        <f>IF(COUNTIFS(tblThreatDetections[Detection ID],tblDetections[[#This Row],[Detection ID]],tblThreatDetections[Threat applies],"Applies",tblThreatDetections[Threat mitigation],"&lt;&gt;Mitigated")&gt;0,"Yes","No")</f>
        <v/>
      </c>
      <c r="I5" s="71">
        <f>IF(tblDetections[[#This Row],[Risk score]]=0,"",INDEX(RISK_SCALE_NAMES,tblDetections[[#This Row],[Risk score]]))</f>
        <v/>
      </c>
      <c r="J5" s="71">
        <f>_xlfn.MAXIFS(tblThreatDetections[Threat risk score],tblThreatDetections[Detection ID],tblDetections[[#This Row],[Detection ID]])</f>
        <v/>
      </c>
      <c r="K5" s="73" t="inlineStr">
        <is>
          <t>Not requested</t>
        </is>
      </c>
      <c r="L5" s="71">
        <f>IF(SUMPRODUCT(--ISNUMBER(SEARCH(";"&amp;tblLogSources[Log source ID]&amp;";",";"&amp;SUBSTITUTE(tblDetections[[#This Row],[Required log sources]]," ","")&amp;";")))=LEN(SUBSTITUTE(tblDetections[[#This Row],[Required log sources]]," ",""))-LEN(SUBSTITUTE(SUBSTITUTE(tblDetections[[#This Row],[Required log sources]]," ",""),";",""))+1,"Yes","No")</f>
        <v/>
      </c>
      <c r="M5" s="70" t="inlineStr">
        <is>
          <t>Draft</t>
        </is>
      </c>
      <c r="N5" s="70" t="n"/>
    </row>
    <row r="6" ht="36" customHeight="1" s="19">
      <c r="A6" s="70" t="inlineStr">
        <is>
          <t>DET-AUTH-002</t>
        </is>
      </c>
      <c r="B6" s="70" t="inlineStr">
        <is>
          <t>Login with a default or vendor account</t>
        </is>
      </c>
      <c r="C6" s="70" t="inlineStr">
        <is>
          <t>Successful login with a known default, vendor or shared account name.</t>
        </is>
      </c>
      <c r="D6" s="72" t="inlineStr">
        <is>
          <t>detections/sigma/det-auth-002-default-account-login.yml</t>
        </is>
      </c>
      <c r="E6" s="70" t="inlineStr">
        <is>
          <t>LOG-APP-AUTH</t>
        </is>
      </c>
      <c r="F6" s="71">
        <f>_xlfn.TEXTJOIN("; ",TRUE,_xlfn._xlws.FILTER(tblLogSources[Log source ID],ISNUMBER(SEARCH(";"&amp;tblLogSources[Log source ID]&amp;";",";"&amp;SUBSTITUTE(tblDetections[[#This Row],[Required log sources]]," ","")&amp;";"))*(tblLogSources[Available]&lt;&gt;"Yes"),""))</f>
        <v/>
      </c>
      <c r="G6" s="71">
        <f>_xlfn.TEXTJOIN("; ",TRUE,_xlfn._xlws.FILTER(tblThreatDetections[Threat ID],(tblThreatDetections[Detection ID]=tblDetections[[#This Row],[Detection ID]])*(tblThreatDetections[Threat applies]="Applies"),""))</f>
        <v/>
      </c>
      <c r="H6" s="71">
        <f>IF(COUNTIFS(tblThreatDetections[Detection ID],tblDetections[[#This Row],[Detection ID]],tblThreatDetections[Threat applies],"Applies",tblThreatDetections[Threat mitigation],"&lt;&gt;Mitigated")&gt;0,"Yes","No")</f>
        <v/>
      </c>
      <c r="I6" s="71">
        <f>IF(tblDetections[[#This Row],[Risk score]]=0,"",INDEX(RISK_SCALE_NAMES,tblDetections[[#This Row],[Risk score]]))</f>
        <v/>
      </c>
      <c r="J6" s="71">
        <f>_xlfn.MAXIFS(tblThreatDetections[Threat risk score],tblThreatDetections[Detection ID],tblDetections[[#This Row],[Detection ID]])</f>
        <v/>
      </c>
      <c r="K6" s="73" t="inlineStr">
        <is>
          <t>Not requested</t>
        </is>
      </c>
      <c r="L6" s="71">
        <f>IF(SUMPRODUCT(--ISNUMBER(SEARCH(";"&amp;tblLogSources[Log source ID]&amp;";",";"&amp;SUBSTITUTE(tblDetections[[#This Row],[Required log sources]]," ","")&amp;";")))=LEN(SUBSTITUTE(tblDetections[[#This Row],[Required log sources]]," ",""))-LEN(SUBSTITUTE(SUBSTITUTE(tblDetections[[#This Row],[Required log sources]]," ",""),";",""))+1,"Yes","No")</f>
        <v/>
      </c>
      <c r="M6" s="70" t="inlineStr">
        <is>
          <t>Draft</t>
        </is>
      </c>
      <c r="N6" s="70" t="n"/>
    </row>
    <row r="7" ht="36" customHeight="1" s="19">
      <c r="A7" s="70" t="inlineStr">
        <is>
          <t>DET-ADMIN-001</t>
        </is>
      </c>
      <c r="B7" s="70" t="inlineStr">
        <is>
          <t>Admin console access from an unusual source</t>
        </is>
      </c>
      <c r="C7" s="70" t="inlineStr">
        <is>
          <t>Administrative login or access from a network outside the approved management ranges.</t>
        </is>
      </c>
      <c r="D7" s="72" t="inlineStr">
        <is>
          <t>detections/sigma/det-admin-001-admin-access-unusual-source.yml</t>
        </is>
      </c>
      <c r="E7" s="70" t="inlineStr">
        <is>
          <t>LOG-APP-ADMIN; LOG-WAF</t>
        </is>
      </c>
      <c r="F7" s="71">
        <f>_xlfn.TEXTJOIN("; ",TRUE,_xlfn._xlws.FILTER(tblLogSources[Log source ID],ISNUMBER(SEARCH(";"&amp;tblLogSources[Log source ID]&amp;";",";"&amp;SUBSTITUTE(tblDetections[[#This Row],[Required log sources]]," ","")&amp;";"))*(tblLogSources[Available]&lt;&gt;"Yes"),""))</f>
        <v/>
      </c>
      <c r="G7" s="71">
        <f>_xlfn.TEXTJOIN("; ",TRUE,_xlfn._xlws.FILTER(tblThreatDetections[Threat ID],(tblThreatDetections[Detection ID]=tblDetections[[#This Row],[Detection ID]])*(tblThreatDetections[Threat applies]="Applies"),""))</f>
        <v/>
      </c>
      <c r="H7" s="71">
        <f>IF(COUNTIFS(tblThreatDetections[Detection ID],tblDetections[[#This Row],[Detection ID]],tblThreatDetections[Threat applies],"Applies",tblThreatDetections[Threat mitigation],"&lt;&gt;Mitigated")&gt;0,"Yes","No")</f>
        <v/>
      </c>
      <c r="I7" s="71">
        <f>IF(tblDetections[[#This Row],[Risk score]]=0,"",INDEX(RISK_SCALE_NAMES,tblDetections[[#This Row],[Risk score]]))</f>
        <v/>
      </c>
      <c r="J7" s="71">
        <f>_xlfn.MAXIFS(tblThreatDetections[Threat risk score],tblThreatDetections[Detection ID],tblDetections[[#This Row],[Detection ID]])</f>
        <v/>
      </c>
      <c r="K7" s="73" t="inlineStr">
        <is>
          <t>Not requested</t>
        </is>
      </c>
      <c r="L7" s="71">
        <f>IF(SUMPRODUCT(--ISNUMBER(SEARCH(";"&amp;tblLogSources[Log source ID]&amp;";",";"&amp;SUBSTITUTE(tblDetections[[#This Row],[Required log sources]]," ","")&amp;";")))=LEN(SUBSTITUTE(tblDetections[[#This Row],[Required log sources]]," ",""))-LEN(SUBSTITUTE(SUBSTITUTE(tblDetections[[#This Row],[Required log sources]]," ",""),";",""))+1,"Yes","No")</f>
        <v/>
      </c>
      <c r="M7" s="70" t="inlineStr">
        <is>
          <t>Draft</t>
        </is>
      </c>
      <c r="N7" s="70" t="n"/>
    </row>
    <row r="8" ht="36" customHeight="1" s="19">
      <c r="A8" s="70" t="inlineStr">
        <is>
          <t>DET-ADMIN-002</t>
        </is>
      </c>
      <c r="B8" s="70" t="inlineStr">
        <is>
          <t>Configuration or permission change on the admin interface</t>
        </is>
      </c>
      <c r="C8" s="70" t="inlineStr">
        <is>
          <t>Security-relevant configuration, role or permission changes made through the admin interface.</t>
        </is>
      </c>
      <c r="D8" s="72" t="inlineStr">
        <is>
          <t>detections/sigma/det-admin-002-config-change.yml</t>
        </is>
      </c>
      <c r="E8" s="70" t="inlineStr">
        <is>
          <t>LOG-APP-ADMIN</t>
        </is>
      </c>
      <c r="F8" s="71">
        <f>_xlfn.TEXTJOIN("; ",TRUE,_xlfn._xlws.FILTER(tblLogSources[Log source ID],ISNUMBER(SEARCH(";"&amp;tblLogSources[Log source ID]&amp;";",";"&amp;SUBSTITUTE(tblDetections[[#This Row],[Required log sources]]," ","")&amp;";"))*(tblLogSources[Available]&lt;&gt;"Yes"),""))</f>
        <v/>
      </c>
      <c r="G8" s="71">
        <f>_xlfn.TEXTJOIN("; ",TRUE,_xlfn._xlws.FILTER(tblThreatDetections[Threat ID],(tblThreatDetections[Detection ID]=tblDetections[[#This Row],[Detection ID]])*(tblThreatDetections[Threat applies]="Applies"),""))</f>
        <v/>
      </c>
      <c r="H8" s="71">
        <f>IF(COUNTIFS(tblThreatDetections[Detection ID],tblDetections[[#This Row],[Detection ID]],tblThreatDetections[Threat applies],"Applies",tblThreatDetections[Threat mitigation],"&lt;&gt;Mitigated")&gt;0,"Yes","No")</f>
        <v/>
      </c>
      <c r="I8" s="71">
        <f>IF(tblDetections[[#This Row],[Risk score]]=0,"",INDEX(RISK_SCALE_NAMES,tblDetections[[#This Row],[Risk score]]))</f>
        <v/>
      </c>
      <c r="J8" s="71">
        <f>_xlfn.MAXIFS(tblThreatDetections[Threat risk score],tblThreatDetections[Detection ID],tblDetections[[#This Row],[Detection ID]])</f>
        <v/>
      </c>
      <c r="K8" s="73" t="inlineStr">
        <is>
          <t>Not requested</t>
        </is>
      </c>
      <c r="L8" s="71">
        <f>IF(SUMPRODUCT(--ISNUMBER(SEARCH(";"&amp;tblLogSources[Log source ID]&amp;";",";"&amp;SUBSTITUTE(tblDetections[[#This Row],[Required log sources]]," ","")&amp;";")))=LEN(SUBSTITUTE(tblDetections[[#This Row],[Required log sources]]," ",""))-LEN(SUBSTITUTE(SUBSTITUTE(tblDetections[[#This Row],[Required log sources]]," ",""),";",""))+1,"Yes","No")</f>
        <v/>
      </c>
      <c r="M8" s="70" t="inlineStr">
        <is>
          <t>Draft</t>
        </is>
      </c>
      <c r="N8" s="70" t="n"/>
    </row>
    <row r="9" ht="36" customHeight="1" s="19">
      <c r="A9" s="70" t="inlineStr">
        <is>
          <t>DET-VENDOR-001</t>
        </is>
      </c>
      <c r="B9" s="70" t="inlineStr">
        <is>
          <t>Vendor session outside the approved window</t>
        </is>
      </c>
      <c r="C9" s="70" t="inlineStr">
        <is>
          <t>Vendor account login or remote session outside an approved maintenance window.</t>
        </is>
      </c>
      <c r="D9" s="72" t="inlineStr">
        <is>
          <t>detections/sigma/det-vendor-001-vendor-session-outside-window.yml</t>
        </is>
      </c>
      <c r="E9" s="70" t="inlineStr">
        <is>
          <t>LOG-APP-AUTH; LOG-HOST-EDR</t>
        </is>
      </c>
      <c r="F9" s="71">
        <f>_xlfn.TEXTJOIN("; ",TRUE,_xlfn._xlws.FILTER(tblLogSources[Log source ID],ISNUMBER(SEARCH(";"&amp;tblLogSources[Log source ID]&amp;";",";"&amp;SUBSTITUTE(tblDetections[[#This Row],[Required log sources]]," ","")&amp;";"))*(tblLogSources[Available]&lt;&gt;"Yes"),""))</f>
        <v/>
      </c>
      <c r="G9" s="71">
        <f>_xlfn.TEXTJOIN("; ",TRUE,_xlfn._xlws.FILTER(tblThreatDetections[Threat ID],(tblThreatDetections[Detection ID]=tblDetections[[#This Row],[Detection ID]])*(tblThreatDetections[Threat applies]="Applies"),""))</f>
        <v/>
      </c>
      <c r="H9" s="71">
        <f>IF(COUNTIFS(tblThreatDetections[Detection ID],tblDetections[[#This Row],[Detection ID]],tblThreatDetections[Threat applies],"Applies",tblThreatDetections[Threat mitigation],"&lt;&gt;Mitigated")&gt;0,"Yes","No")</f>
        <v/>
      </c>
      <c r="I9" s="71">
        <f>IF(tblDetections[[#This Row],[Risk score]]=0,"",INDEX(RISK_SCALE_NAMES,tblDetections[[#This Row],[Risk score]]))</f>
        <v/>
      </c>
      <c r="J9" s="71">
        <f>_xlfn.MAXIFS(tblThreatDetections[Threat risk score],tblThreatDetections[Detection ID],tblDetections[[#This Row],[Detection ID]])</f>
        <v/>
      </c>
      <c r="K9" s="73" t="inlineStr">
        <is>
          <t>Not requested</t>
        </is>
      </c>
      <c r="L9" s="71">
        <f>IF(SUMPRODUCT(--ISNUMBER(SEARCH(";"&amp;tblLogSources[Log source ID]&amp;";",";"&amp;SUBSTITUTE(tblDetections[[#This Row],[Required log sources]]," ","")&amp;";")))=LEN(SUBSTITUTE(tblDetections[[#This Row],[Required log sources]]," ",""))-LEN(SUBSTITUTE(SUBSTITUTE(tblDetections[[#This Row],[Required log sources]]," ",""),";",""))+1,"Yes","No")</f>
        <v/>
      </c>
      <c r="M9" s="70" t="inlineStr">
        <is>
          <t>Draft</t>
        </is>
      </c>
      <c r="N9" s="70" t="n"/>
    </row>
    <row r="10" ht="36" customHeight="1" s="19">
      <c r="A10" s="70" t="inlineStr">
        <is>
          <t>DET-NET-001</t>
        </is>
      </c>
      <c r="B10" s="70" t="inlineStr">
        <is>
          <t>Unexpected outbound connection from the application host</t>
        </is>
      </c>
      <c r="C10" s="70" t="inlineStr">
        <is>
          <t>Application host connecting to a destination not on the approved list.</t>
        </is>
      </c>
      <c r="D10" s="72" t="inlineStr">
        <is>
          <t>detections/sigma/det-net-001-unexpected-outbound.yml</t>
        </is>
      </c>
      <c r="E10" s="70" t="inlineStr">
        <is>
          <t>LOG-EGRESS-PROXY; LOG-HOST-EDR</t>
        </is>
      </c>
      <c r="F10" s="71">
        <f>_xlfn.TEXTJOIN("; ",TRUE,_xlfn._xlws.FILTER(tblLogSources[Log source ID],ISNUMBER(SEARCH(";"&amp;tblLogSources[Log source ID]&amp;";",";"&amp;SUBSTITUTE(tblDetections[[#This Row],[Required log sources]]," ","")&amp;";"))*(tblLogSources[Available]&lt;&gt;"Yes"),""))</f>
        <v/>
      </c>
      <c r="G10" s="71">
        <f>_xlfn.TEXTJOIN("; ",TRUE,_xlfn._xlws.FILTER(tblThreatDetections[Threat ID],(tblThreatDetections[Detection ID]=tblDetections[[#This Row],[Detection ID]])*(tblThreatDetections[Threat applies]="Applies"),""))</f>
        <v/>
      </c>
      <c r="H10" s="71">
        <f>IF(COUNTIFS(tblThreatDetections[Detection ID],tblDetections[[#This Row],[Detection ID]],tblThreatDetections[Threat applies],"Applies",tblThreatDetections[Threat mitigation],"&lt;&gt;Mitigated")&gt;0,"Yes","No")</f>
        <v/>
      </c>
      <c r="I10" s="71">
        <f>IF(tblDetections[[#This Row],[Risk score]]=0,"",INDEX(RISK_SCALE_NAMES,tblDetections[[#This Row],[Risk score]]))</f>
        <v/>
      </c>
      <c r="J10" s="71">
        <f>_xlfn.MAXIFS(tblThreatDetections[Threat risk score],tblThreatDetections[Detection ID],tblDetections[[#This Row],[Detection ID]])</f>
        <v/>
      </c>
      <c r="K10" s="73" t="inlineStr">
        <is>
          <t>Not requested</t>
        </is>
      </c>
      <c r="L10" s="71">
        <f>IF(SUMPRODUCT(--ISNUMBER(SEARCH(";"&amp;tblLogSources[Log source ID]&amp;";",";"&amp;SUBSTITUTE(tblDetections[[#This Row],[Required log sources]]," ","")&amp;";")))=LEN(SUBSTITUTE(tblDetections[[#This Row],[Required log sources]]," ",""))-LEN(SUBSTITUTE(SUBSTITUTE(tblDetections[[#This Row],[Required log sources]]," ",""),";",""))+1,"Yes","No")</f>
        <v/>
      </c>
      <c r="M10" s="70" t="inlineStr">
        <is>
          <t>Draft</t>
        </is>
      </c>
      <c r="N10" s="70" t="n"/>
    </row>
    <row r="11" ht="36" customHeight="1" s="19">
      <c r="A11" s="70" t="inlineStr">
        <is>
          <t>DET-HOST-001</t>
        </is>
      </c>
      <c r="B11" s="70" t="inlineStr">
        <is>
          <t>New process on the application host</t>
        </is>
      </c>
      <c r="C11" s="70" t="inlineStr">
        <is>
          <t>Shell, scripting or remote-access process started by the application's service account.</t>
        </is>
      </c>
      <c r="D11" s="72" t="inlineStr">
        <is>
          <t>detections/sigma/det-host-001-new-process.yml</t>
        </is>
      </c>
      <c r="E11" s="70" t="inlineStr">
        <is>
          <t>LOG-HOST-EDR</t>
        </is>
      </c>
      <c r="F11" s="71">
        <f>_xlfn.TEXTJOIN("; ",TRUE,_xlfn._xlws.FILTER(tblLogSources[Log source ID],ISNUMBER(SEARCH(";"&amp;tblLogSources[Log source ID]&amp;";",";"&amp;SUBSTITUTE(tblDetections[[#This Row],[Required log sources]]," ","")&amp;";"))*(tblLogSources[Available]&lt;&gt;"Yes"),""))</f>
        <v/>
      </c>
      <c r="G11" s="71">
        <f>_xlfn.TEXTJOIN("; ",TRUE,_xlfn._xlws.FILTER(tblThreatDetections[Threat ID],(tblThreatDetections[Detection ID]=tblDetections[[#This Row],[Detection ID]])*(tblThreatDetections[Threat applies]="Applies"),""))</f>
        <v/>
      </c>
      <c r="H11" s="71">
        <f>IF(COUNTIFS(tblThreatDetections[Detection ID],tblDetections[[#This Row],[Detection ID]],tblThreatDetections[Threat applies],"Applies",tblThreatDetections[Threat mitigation],"&lt;&gt;Mitigated")&gt;0,"Yes","No")</f>
        <v/>
      </c>
      <c r="I11" s="71">
        <f>IF(tblDetections[[#This Row],[Risk score]]=0,"",INDEX(RISK_SCALE_NAMES,tblDetections[[#This Row],[Risk score]]))</f>
        <v/>
      </c>
      <c r="J11" s="71">
        <f>_xlfn.MAXIFS(tblThreatDetections[Threat risk score],tblThreatDetections[Detection ID],tblDetections[[#This Row],[Detection ID]])</f>
        <v/>
      </c>
      <c r="K11" s="73" t="inlineStr">
        <is>
          <t>Not requested</t>
        </is>
      </c>
      <c r="L11" s="71">
        <f>IF(SUMPRODUCT(--ISNUMBER(SEARCH(";"&amp;tblLogSources[Log source ID]&amp;";",";"&amp;SUBSTITUTE(tblDetections[[#This Row],[Required log sources]]," ","")&amp;";")))=LEN(SUBSTITUTE(tblDetections[[#This Row],[Required log sources]]," ",""))-LEN(SUBSTITUTE(SUBSTITUTE(tblDetections[[#This Row],[Required log sources]]," ",""),";",""))+1,"Yes","No")</f>
        <v/>
      </c>
      <c r="M11" s="70" t="inlineStr">
        <is>
          <t>Draft</t>
        </is>
      </c>
      <c r="N11" s="70" t="n"/>
    </row>
    <row r="12" ht="36" customHeight="1" s="19">
      <c r="A12" s="70" t="inlineStr">
        <is>
          <t>DET-HOST-002</t>
        </is>
      </c>
      <c r="B12" s="70" t="inlineStr">
        <is>
          <t>Integrity change of application binaries</t>
        </is>
      </c>
      <c r="C12" s="70" t="inlineStr">
        <is>
          <t>Application binaries, libraries or plugins changed outside a change window.</t>
        </is>
      </c>
      <c r="D12" s="72" t="inlineStr">
        <is>
          <t>detections/sigma/det-host-002-binary-integrity-change.yml</t>
        </is>
      </c>
      <c r="E12" s="70" t="inlineStr">
        <is>
          <t>LOG-HOST-FIM</t>
        </is>
      </c>
      <c r="F12" s="71">
        <f>_xlfn.TEXTJOIN("; ",TRUE,_xlfn._xlws.FILTER(tblLogSources[Log source ID],ISNUMBER(SEARCH(";"&amp;tblLogSources[Log source ID]&amp;";",";"&amp;SUBSTITUTE(tblDetections[[#This Row],[Required log sources]]," ","")&amp;";"))*(tblLogSources[Available]&lt;&gt;"Yes"),""))</f>
        <v/>
      </c>
      <c r="G12" s="71">
        <f>_xlfn.TEXTJOIN("; ",TRUE,_xlfn._xlws.FILTER(tblThreatDetections[Threat ID],(tblThreatDetections[Detection ID]=tblDetections[[#This Row],[Detection ID]])*(tblThreatDetections[Threat applies]="Applies"),""))</f>
        <v/>
      </c>
      <c r="H12" s="71">
        <f>IF(COUNTIFS(tblThreatDetections[Detection ID],tblDetections[[#This Row],[Detection ID]],tblThreatDetections[Threat applies],"Applies",tblThreatDetections[Threat mitigation],"&lt;&gt;Mitigated")&gt;0,"Yes","No")</f>
        <v/>
      </c>
      <c r="I12" s="71">
        <f>IF(tblDetections[[#This Row],[Risk score]]=0,"",INDEX(RISK_SCALE_NAMES,tblDetections[[#This Row],[Risk score]]))</f>
        <v/>
      </c>
      <c r="J12" s="71">
        <f>_xlfn.MAXIFS(tblThreatDetections[Threat risk score],tblThreatDetections[Detection ID],tblDetections[[#This Row],[Detection ID]])</f>
        <v/>
      </c>
      <c r="K12" s="73" t="inlineStr">
        <is>
          <t>Not requested</t>
        </is>
      </c>
      <c r="L12" s="71">
        <f>IF(SUMPRODUCT(--ISNUMBER(SEARCH(";"&amp;tblLogSources[Log source ID]&amp;";",";"&amp;SUBSTITUTE(tblDetections[[#This Row],[Required log sources]]," ","")&amp;";")))=LEN(SUBSTITUTE(tblDetections[[#This Row],[Required log sources]]," ",""))-LEN(SUBSTITUTE(SUBSTITUTE(tblDetections[[#This Row],[Required log sources]]," ",""),";",""))+1,"Yes","No")</f>
        <v/>
      </c>
      <c r="M12" s="70" t="inlineStr">
        <is>
          <t>Draft</t>
        </is>
      </c>
      <c r="N12" s="70" t="n"/>
    </row>
    <row r="13" ht="36" customHeight="1" s="19">
      <c r="A13" s="70" t="inlineStr">
        <is>
          <t>DET-WAF-001</t>
        </is>
      </c>
      <c r="B13" s="70" t="inlineStr">
        <is>
          <t>Spike of 4xx/5xx at the WAF</t>
        </is>
      </c>
      <c r="C13" s="70" t="inlineStr">
        <is>
          <t>Sudden increase of client or server errors for the application at the WAF or gateway.</t>
        </is>
      </c>
      <c r="D13" s="72" t="inlineStr">
        <is>
          <t>detections/sigma/det-waf-001-error-spike.yml</t>
        </is>
      </c>
      <c r="E13" s="70" t="inlineStr">
        <is>
          <t>LOG-WAF</t>
        </is>
      </c>
      <c r="F13" s="71">
        <f>_xlfn.TEXTJOIN("; ",TRUE,_xlfn._xlws.FILTER(tblLogSources[Log source ID],ISNUMBER(SEARCH(";"&amp;tblLogSources[Log source ID]&amp;";",";"&amp;SUBSTITUTE(tblDetections[[#This Row],[Required log sources]]," ","")&amp;";"))*(tblLogSources[Available]&lt;&gt;"Yes"),""))</f>
        <v/>
      </c>
      <c r="G13" s="71">
        <f>_xlfn.TEXTJOIN("; ",TRUE,_xlfn._xlws.FILTER(tblThreatDetections[Threat ID],(tblThreatDetections[Detection ID]=tblDetections[[#This Row],[Detection ID]])*(tblThreatDetections[Threat applies]="Applies"),""))</f>
        <v/>
      </c>
      <c r="H13" s="71">
        <f>IF(COUNTIFS(tblThreatDetections[Detection ID],tblDetections[[#This Row],[Detection ID]],tblThreatDetections[Threat applies],"Applies",tblThreatDetections[Threat mitigation],"&lt;&gt;Mitigated")&gt;0,"Yes","No")</f>
        <v/>
      </c>
      <c r="I13" s="71">
        <f>IF(tblDetections[[#This Row],[Risk score]]=0,"",INDEX(RISK_SCALE_NAMES,tblDetections[[#This Row],[Risk score]]))</f>
        <v/>
      </c>
      <c r="J13" s="71">
        <f>_xlfn.MAXIFS(tblThreatDetections[Threat risk score],tblThreatDetections[Detection ID],tblDetections[[#This Row],[Detection ID]])</f>
        <v/>
      </c>
      <c r="K13" s="73" t="inlineStr">
        <is>
          <t>Not requested</t>
        </is>
      </c>
      <c r="L13" s="71">
        <f>IF(SUMPRODUCT(--ISNUMBER(SEARCH(";"&amp;tblLogSources[Log source ID]&amp;";",";"&amp;SUBSTITUTE(tblDetections[[#This Row],[Required log sources]]," ","")&amp;";")))=LEN(SUBSTITUTE(tblDetections[[#This Row],[Required log sources]]," ",""))-LEN(SUBSTITUTE(SUBSTITUTE(tblDetections[[#This Row],[Required log sources]]," ",""),";",""))+1,"Yes","No")</f>
        <v/>
      </c>
      <c r="M13" s="70" t="inlineStr">
        <is>
          <t>Draft</t>
        </is>
      </c>
      <c r="N13" s="70" t="n"/>
    </row>
    <row r="14" ht="36" customHeight="1" s="19">
      <c r="A14" s="70" t="inlineStr">
        <is>
          <t>DET-APP-001</t>
        </is>
      </c>
      <c r="B14" s="70" t="inlineStr">
        <is>
          <t>Mass object access by a single user</t>
        </is>
      </c>
      <c r="C14" s="70" t="inlineStr">
        <is>
          <t>One user or client reading an unusually high number of distinct records in a short time.</t>
        </is>
      </c>
      <c r="D14" s="72" t="inlineStr">
        <is>
          <t>detections/sigma/det-app-001-mass-object-access.yml</t>
        </is>
      </c>
      <c r="E14" s="70" t="inlineStr">
        <is>
          <t>LOG-WAF</t>
        </is>
      </c>
      <c r="F14" s="71">
        <f>_xlfn.TEXTJOIN("; ",TRUE,_xlfn._xlws.FILTER(tblLogSources[Log source ID],ISNUMBER(SEARCH(";"&amp;tblLogSources[Log source ID]&amp;";",";"&amp;SUBSTITUTE(tblDetections[[#This Row],[Required log sources]]," ","")&amp;";"))*(tblLogSources[Available]&lt;&gt;"Yes"),""))</f>
        <v/>
      </c>
      <c r="G14" s="71">
        <f>_xlfn.TEXTJOIN("; ",TRUE,_xlfn._xlws.FILTER(tblThreatDetections[Threat ID],(tblThreatDetections[Detection ID]=tblDetections[[#This Row],[Detection ID]])*(tblThreatDetections[Threat applies]="Applies"),""))</f>
        <v/>
      </c>
      <c r="H14" s="71">
        <f>IF(COUNTIFS(tblThreatDetections[Detection ID],tblDetections[[#This Row],[Detection ID]],tblThreatDetections[Threat applies],"Applies",tblThreatDetections[Threat mitigation],"&lt;&gt;Mitigated")&gt;0,"Yes","No")</f>
        <v/>
      </c>
      <c r="I14" s="71">
        <f>IF(tblDetections[[#This Row],[Risk score]]=0,"",INDEX(RISK_SCALE_NAMES,tblDetections[[#This Row],[Risk score]]))</f>
        <v/>
      </c>
      <c r="J14" s="71">
        <f>_xlfn.MAXIFS(tblThreatDetections[Threat risk score],tblThreatDetections[Detection ID],tblDetections[[#This Row],[Detection ID]])</f>
        <v/>
      </c>
      <c r="K14" s="73" t="inlineStr">
        <is>
          <t>Not requested</t>
        </is>
      </c>
      <c r="L14" s="71">
        <f>IF(SUMPRODUCT(--ISNUMBER(SEARCH(";"&amp;tblLogSources[Log source ID]&amp;";",";"&amp;SUBSTITUTE(tblDetections[[#This Row],[Required log sources]]," ","")&amp;";")))=LEN(SUBSTITUTE(tblDetections[[#This Row],[Required log sources]]," ",""))-LEN(SUBSTITUTE(SUBSTITUTE(tblDetections[[#This Row],[Required log sources]]," ",""),";",""))+1,"Yes","No")</f>
        <v/>
      </c>
      <c r="M14" s="70" t="inlineStr">
        <is>
          <t>Draft</t>
        </is>
      </c>
      <c r="N14" s="70" t="n"/>
    </row>
    <row r="15">
      <c r="K15" s="74" t="n"/>
    </row>
    <row r="16">
      <c r="K16" s="74" t="n"/>
    </row>
    <row r="17">
      <c r="K17" s="74" t="n"/>
    </row>
    <row r="18">
      <c r="K18" s="74" t="n"/>
    </row>
    <row r="19">
      <c r="K19" s="74" t="n"/>
    </row>
    <row r="20">
      <c r="K20" s="74" t="n"/>
    </row>
    <row r="21">
      <c r="K21" s="74" t="n"/>
    </row>
    <row r="22">
      <c r="K22" s="74" t="n"/>
    </row>
    <row r="23">
      <c r="K23" s="74" t="n"/>
    </row>
    <row r="24">
      <c r="K24" s="74" t="n"/>
    </row>
    <row r="25">
      <c r="K25" s="74" t="n"/>
    </row>
    <row r="26">
      <c r="K26" s="74" t="n"/>
    </row>
    <row r="27">
      <c r="K27" s="74" t="n"/>
    </row>
    <row r="28">
      <c r="K28" s="74" t="n"/>
    </row>
    <row r="29">
      <c r="K29" s="74" t="n"/>
    </row>
    <row r="30">
      <c r="K30" s="74" t="n"/>
    </row>
    <row r="31">
      <c r="K31" s="74" t="n"/>
    </row>
    <row r="32">
      <c r="K32" s="74" t="n"/>
    </row>
    <row r="33">
      <c r="K33" s="74" t="n"/>
    </row>
    <row r="34">
      <c r="K34" s="74" t="n"/>
    </row>
    <row r="35">
      <c r="K35" s="74" t="n"/>
    </row>
    <row r="36">
      <c r="K36" s="74" t="n"/>
    </row>
    <row r="37">
      <c r="K37" s="74" t="n"/>
    </row>
    <row r="38">
      <c r="K38" s="74" t="n"/>
    </row>
    <row r="39">
      <c r="K39" s="74" t="n"/>
    </row>
    <row r="40">
      <c r="K40" s="74" t="n"/>
    </row>
    <row r="41">
      <c r="K41" s="74" t="n"/>
    </row>
    <row r="42">
      <c r="K42" s="74" t="n"/>
    </row>
    <row r="43">
      <c r="K43" s="74" t="n"/>
    </row>
    <row r="44">
      <c r="K44" s="74" t="n"/>
    </row>
    <row r="45">
      <c r="K45" s="74" t="n"/>
    </row>
    <row r="46">
      <c r="K46" s="74" t="n"/>
    </row>
    <row r="47">
      <c r="K47" s="74" t="n"/>
    </row>
    <row r="48">
      <c r="K48" s="74" t="n"/>
    </row>
    <row r="49">
      <c r="K49" s="74" t="n"/>
    </row>
    <row r="50">
      <c r="K50" s="74" t="n"/>
    </row>
    <row r="51">
      <c r="K51" s="74" t="n"/>
    </row>
    <row r="52">
      <c r="K52" s="74" t="n"/>
    </row>
    <row r="53">
      <c r="K53" s="74" t="n"/>
    </row>
    <row r="54">
      <c r="K54" s="74" t="n"/>
    </row>
    <row r="55">
      <c r="K55" s="74" t="n"/>
    </row>
    <row r="56">
      <c r="K56" s="74" t="n"/>
    </row>
    <row r="57">
      <c r="K57" s="74" t="n"/>
    </row>
    <row r="58">
      <c r="K58" s="74" t="n"/>
    </row>
    <row r="59">
      <c r="K59" s="74" t="n"/>
    </row>
    <row r="60">
      <c r="K60" s="74" t="n"/>
    </row>
    <row r="61">
      <c r="K61" s="74" t="n"/>
    </row>
    <row r="62">
      <c r="K62" s="74" t="n"/>
    </row>
    <row r="63">
      <c r="K63" s="74" t="n"/>
    </row>
    <row r="64">
      <c r="K64" s="74" t="n"/>
    </row>
    <row r="65">
      <c r="K65" s="74" t="n"/>
    </row>
    <row r="66">
      <c r="K66" s="74" t="n"/>
    </row>
    <row r="67">
      <c r="K67" s="74" t="n"/>
    </row>
    <row r="68">
      <c r="K68" s="74" t="n"/>
    </row>
    <row r="69">
      <c r="K69" s="74" t="n"/>
    </row>
    <row r="70">
      <c r="K70" s="74" t="n"/>
    </row>
    <row r="71">
      <c r="K71" s="74" t="n"/>
    </row>
    <row r="72">
      <c r="K72" s="74" t="n"/>
    </row>
    <row r="73">
      <c r="K73" s="74" t="n"/>
    </row>
    <row r="74">
      <c r="K74" s="74" t="n"/>
    </row>
    <row r="75">
      <c r="K75" s="74" t="n"/>
    </row>
    <row r="76">
      <c r="K76" s="74" t="n"/>
    </row>
    <row r="77">
      <c r="K77" s="74" t="n"/>
    </row>
    <row r="78">
      <c r="K78" s="74" t="n"/>
    </row>
    <row r="79">
      <c r="K79" s="74" t="n"/>
    </row>
    <row r="80">
      <c r="K80" s="74" t="n"/>
    </row>
    <row r="81">
      <c r="K81" s="74" t="n"/>
    </row>
    <row r="82">
      <c r="K82" s="74" t="n"/>
    </row>
    <row r="83">
      <c r="K83" s="74" t="n"/>
    </row>
    <row r="84">
      <c r="K84" s="74" t="n"/>
    </row>
    <row r="85">
      <c r="K85" s="74" t="n"/>
    </row>
    <row r="86">
      <c r="K86" s="74" t="n"/>
    </row>
    <row r="87">
      <c r="K87" s="74" t="n"/>
    </row>
    <row r="88">
      <c r="K88" s="74" t="n"/>
    </row>
    <row r="89">
      <c r="K89" s="74" t="n"/>
    </row>
    <row r="90">
      <c r="K90" s="74" t="n"/>
    </row>
    <row r="91">
      <c r="K91" s="74" t="n"/>
    </row>
    <row r="92">
      <c r="K92" s="74" t="n"/>
    </row>
    <row r="93">
      <c r="K93" s="74" t="n"/>
    </row>
    <row r="94">
      <c r="K94" s="74" t="n"/>
    </row>
    <row r="95">
      <c r="K95" s="74" t="n"/>
    </row>
    <row r="96">
      <c r="K96" s="74" t="n"/>
    </row>
    <row r="97">
      <c r="K97" s="74" t="n"/>
    </row>
    <row r="98">
      <c r="K98" s="74" t="n"/>
    </row>
    <row r="99">
      <c r="K99" s="74" t="n"/>
    </row>
    <row r="100">
      <c r="K100" s="74" t="n"/>
    </row>
    <row r="101">
      <c r="K101" s="74" t="n"/>
    </row>
    <row r="102">
      <c r="K102" s="74" t="n"/>
    </row>
    <row r="103">
      <c r="K103" s="74" t="n"/>
    </row>
    <row r="104">
      <c r="K104" s="74" t="n"/>
    </row>
    <row r="105">
      <c r="K105" s="74" t="n"/>
    </row>
    <row r="106">
      <c r="K106" s="74" t="n"/>
    </row>
    <row r="107">
      <c r="K107" s="74" t="n"/>
    </row>
    <row r="108">
      <c r="K108" s="74" t="n"/>
    </row>
    <row r="109">
      <c r="K109" s="74" t="n"/>
    </row>
    <row r="110">
      <c r="K110" s="74" t="n"/>
    </row>
    <row r="111">
      <c r="K111" s="74" t="n"/>
    </row>
    <row r="112">
      <c r="K112" s="74" t="n"/>
    </row>
    <row r="113">
      <c r="K113" s="74" t="n"/>
    </row>
    <row r="114">
      <c r="K114" s="74" t="n"/>
    </row>
    <row r="115">
      <c r="K115" s="74" t="n"/>
    </row>
    <row r="116">
      <c r="K116" s="74" t="n"/>
    </row>
    <row r="117">
      <c r="K117" s="74" t="n"/>
    </row>
    <row r="118">
      <c r="K118" s="74" t="n"/>
    </row>
    <row r="119">
      <c r="K119" s="74" t="n"/>
    </row>
    <row r="120">
      <c r="K120" s="74" t="n"/>
    </row>
    <row r="121">
      <c r="K121" s="74" t="n"/>
    </row>
    <row r="122">
      <c r="K122" s="74" t="n"/>
    </row>
    <row r="123">
      <c r="K123" s="74" t="n"/>
    </row>
    <row r="124">
      <c r="K124" s="74" t="n"/>
    </row>
    <row r="125">
      <c r="K125" s="74" t="n"/>
    </row>
    <row r="126">
      <c r="K126" s="74" t="n"/>
    </row>
    <row r="127">
      <c r="K127" s="74" t="n"/>
    </row>
    <row r="128">
      <c r="K128" s="74" t="n"/>
    </row>
    <row r="129">
      <c r="K129" s="74" t="n"/>
    </row>
    <row r="130">
      <c r="K130" s="74" t="n"/>
    </row>
    <row r="131">
      <c r="K131" s="74" t="n"/>
    </row>
    <row r="132">
      <c r="K132" s="74" t="n"/>
    </row>
    <row r="133">
      <c r="K133" s="74" t="n"/>
    </row>
    <row r="134">
      <c r="K134" s="74" t="n"/>
    </row>
    <row r="135">
      <c r="K135" s="74" t="n"/>
    </row>
    <row r="136">
      <c r="K136" s="74" t="n"/>
    </row>
    <row r="137">
      <c r="K137" s="74" t="n"/>
    </row>
    <row r="138">
      <c r="K138" s="74" t="n"/>
    </row>
    <row r="139">
      <c r="K139" s="74" t="n"/>
    </row>
    <row r="140">
      <c r="K140" s="74" t="n"/>
    </row>
    <row r="141">
      <c r="K141" s="74" t="n"/>
    </row>
    <row r="142">
      <c r="K142" s="74" t="n"/>
    </row>
    <row r="143">
      <c r="K143" s="74" t="n"/>
    </row>
    <row r="144">
      <c r="K144" s="74" t="n"/>
    </row>
    <row r="145">
      <c r="K145" s="74" t="n"/>
    </row>
    <row r="146">
      <c r="K146" s="74" t="n"/>
    </row>
    <row r="147">
      <c r="K147" s="74" t="n"/>
    </row>
    <row r="148">
      <c r="K148" s="74" t="n"/>
    </row>
    <row r="149">
      <c r="K149" s="74" t="n"/>
    </row>
    <row r="150">
      <c r="K150" s="74" t="n"/>
    </row>
    <row r="151">
      <c r="K151" s="74" t="n"/>
    </row>
    <row r="152">
      <c r="K152" s="74" t="n"/>
    </row>
    <row r="153">
      <c r="K153" s="74" t="n"/>
    </row>
    <row r="154">
      <c r="K154" s="74" t="n"/>
    </row>
    <row r="155">
      <c r="K155" s="74" t="n"/>
    </row>
    <row r="156">
      <c r="K156" s="74" t="n"/>
    </row>
    <row r="157">
      <c r="K157" s="74" t="n"/>
    </row>
    <row r="158">
      <c r="K158" s="74" t="n"/>
    </row>
    <row r="159">
      <c r="K159" s="74" t="n"/>
    </row>
    <row r="160">
      <c r="K160" s="74" t="n"/>
    </row>
    <row r="161">
      <c r="K161" s="74" t="n"/>
    </row>
    <row r="162">
      <c r="K162" s="74" t="n"/>
    </row>
    <row r="163">
      <c r="K163" s="74" t="n"/>
    </row>
    <row r="164">
      <c r="K164" s="74" t="n"/>
    </row>
    <row r="165">
      <c r="K165" s="74" t="n"/>
    </row>
    <row r="166">
      <c r="K166" s="74" t="n"/>
    </row>
    <row r="167">
      <c r="K167" s="74" t="n"/>
    </row>
    <row r="168">
      <c r="K168" s="74" t="n"/>
    </row>
    <row r="169">
      <c r="K169" s="74" t="n"/>
    </row>
    <row r="170">
      <c r="K170" s="74" t="n"/>
    </row>
    <row r="171">
      <c r="K171" s="74" t="n"/>
    </row>
    <row r="172">
      <c r="K172" s="74" t="n"/>
    </row>
    <row r="173">
      <c r="K173" s="74" t="n"/>
    </row>
    <row r="174">
      <c r="K174" s="74" t="n"/>
    </row>
    <row r="175">
      <c r="K175" s="74" t="n"/>
    </row>
    <row r="176">
      <c r="K176" s="74" t="n"/>
    </row>
    <row r="177">
      <c r="K177" s="74" t="n"/>
    </row>
    <row r="178">
      <c r="K178" s="74" t="n"/>
    </row>
    <row r="179">
      <c r="K179" s="74" t="n"/>
    </row>
    <row r="180">
      <c r="K180" s="74" t="n"/>
    </row>
    <row r="181">
      <c r="K181" s="74" t="n"/>
    </row>
    <row r="182">
      <c r="K182" s="74" t="n"/>
    </row>
    <row r="183">
      <c r="K183" s="74" t="n"/>
    </row>
    <row r="184">
      <c r="K184" s="74" t="n"/>
    </row>
    <row r="185">
      <c r="K185" s="74" t="n"/>
    </row>
    <row r="186">
      <c r="K186" s="74" t="n"/>
    </row>
    <row r="187">
      <c r="K187" s="74" t="n"/>
    </row>
    <row r="188">
      <c r="K188" s="74" t="n"/>
    </row>
    <row r="189">
      <c r="K189" s="74" t="n"/>
    </row>
    <row r="190">
      <c r="K190" s="74" t="n"/>
    </row>
    <row r="191">
      <c r="K191" s="74" t="n"/>
    </row>
    <row r="192">
      <c r="K192" s="74" t="n"/>
    </row>
    <row r="193">
      <c r="K193" s="74" t="n"/>
    </row>
    <row r="194">
      <c r="K194" s="74" t="n"/>
    </row>
    <row r="195">
      <c r="K195" s="74" t="n"/>
    </row>
    <row r="196">
      <c r="K196" s="74" t="n"/>
    </row>
    <row r="197">
      <c r="K197" s="74" t="n"/>
    </row>
    <row r="198">
      <c r="K198" s="74" t="n"/>
    </row>
    <row r="199">
      <c r="K199" s="74" t="n"/>
    </row>
    <row r="200">
      <c r="K200" s="74" t="n"/>
    </row>
    <row r="201">
      <c r="K201" s="74" t="n"/>
    </row>
    <row r="202">
      <c r="K202" s="74" t="n"/>
    </row>
    <row r="203">
      <c r="K203" s="74" t="n"/>
    </row>
    <row r="204">
      <c r="K204" s="74" t="n"/>
    </row>
    <row r="205">
      <c r="K205" s="74" t="n"/>
    </row>
    <row r="206">
      <c r="K206" s="74" t="n"/>
    </row>
    <row r="207">
      <c r="K207" s="74" t="n"/>
    </row>
    <row r="208">
      <c r="K208" s="74" t="n"/>
    </row>
    <row r="209">
      <c r="K209" s="74" t="n"/>
    </row>
    <row r="210">
      <c r="K210" s="74" t="n"/>
    </row>
    <row r="211">
      <c r="K211" s="74" t="n"/>
    </row>
    <row r="212">
      <c r="K212" s="74" t="n"/>
    </row>
    <row r="213">
      <c r="K213" s="74" t="n"/>
    </row>
    <row r="214">
      <c r="K214" s="74" t="n"/>
    </row>
    <row r="215">
      <c r="K215" s="74" t="n"/>
    </row>
    <row r="216">
      <c r="K216" s="74" t="n"/>
    </row>
    <row r="217">
      <c r="K217" s="74" t="n"/>
    </row>
    <row r="218">
      <c r="K218" s="74" t="n"/>
    </row>
    <row r="219">
      <c r="K219" s="74" t="n"/>
    </row>
    <row r="220">
      <c r="K220" s="74" t="n"/>
    </row>
    <row r="221">
      <c r="K221" s="74" t="n"/>
    </row>
    <row r="222">
      <c r="K222" s="74" t="n"/>
    </row>
    <row r="223">
      <c r="K223" s="74" t="n"/>
    </row>
    <row r="224">
      <c r="K224" s="74" t="n"/>
    </row>
    <row r="225">
      <c r="K225" s="74" t="n"/>
    </row>
    <row r="226">
      <c r="K226" s="74" t="n"/>
    </row>
    <row r="227">
      <c r="K227" s="74" t="n"/>
    </row>
    <row r="228">
      <c r="K228" s="74" t="n"/>
    </row>
    <row r="229">
      <c r="K229" s="74" t="n"/>
    </row>
    <row r="230">
      <c r="K230" s="74" t="n"/>
    </row>
    <row r="231">
      <c r="K231" s="74" t="n"/>
    </row>
    <row r="232">
      <c r="K232" s="74" t="n"/>
    </row>
    <row r="233">
      <c r="K233" s="74" t="n"/>
    </row>
    <row r="234">
      <c r="K234" s="74" t="n"/>
    </row>
    <row r="235">
      <c r="K235" s="74" t="n"/>
    </row>
    <row r="236">
      <c r="K236" s="74" t="n"/>
    </row>
    <row r="237">
      <c r="K237" s="74" t="n"/>
    </row>
    <row r="238">
      <c r="K238" s="74" t="n"/>
    </row>
    <row r="239">
      <c r="K239" s="74" t="n"/>
    </row>
    <row r="240">
      <c r="K240" s="74" t="n"/>
    </row>
    <row r="241">
      <c r="K241" s="74" t="n"/>
    </row>
    <row r="242">
      <c r="K242" s="74" t="n"/>
    </row>
    <row r="243">
      <c r="K243" s="74" t="n"/>
    </row>
    <row r="244">
      <c r="K244" s="74" t="n"/>
    </row>
    <row r="245">
      <c r="K245" s="74" t="n"/>
    </row>
    <row r="246">
      <c r="K246" s="74" t="n"/>
    </row>
    <row r="247">
      <c r="K247" s="74" t="n"/>
    </row>
    <row r="248">
      <c r="K248" s="74" t="n"/>
    </row>
    <row r="249">
      <c r="K249" s="74" t="n"/>
    </row>
    <row r="250">
      <c r="K250" s="74" t="n"/>
    </row>
    <row r="251">
      <c r="K251" s="74" t="n"/>
    </row>
    <row r="252">
      <c r="K252" s="74" t="n"/>
    </row>
    <row r="253">
      <c r="K253" s="74" t="n"/>
    </row>
    <row r="254">
      <c r="K254" s="74" t="n"/>
    </row>
    <row r="255">
      <c r="K255" s="74" t="n"/>
    </row>
    <row r="256">
      <c r="K256" s="74" t="n"/>
    </row>
    <row r="257">
      <c r="K257" s="74" t="n"/>
    </row>
    <row r="258">
      <c r="K258" s="74" t="n"/>
    </row>
    <row r="259">
      <c r="K259" s="74" t="n"/>
    </row>
    <row r="260">
      <c r="K260" s="74" t="n"/>
    </row>
    <row r="261">
      <c r="K261" s="74" t="n"/>
    </row>
    <row r="262">
      <c r="K262" s="74" t="n"/>
    </row>
    <row r="263">
      <c r="K263" s="74" t="n"/>
    </row>
    <row r="264">
      <c r="K264" s="74" t="n"/>
    </row>
    <row r="265">
      <c r="K265" s="74" t="n"/>
    </row>
    <row r="266">
      <c r="K266" s="74" t="n"/>
    </row>
    <row r="267">
      <c r="K267" s="74" t="n"/>
    </row>
    <row r="268">
      <c r="K268" s="74" t="n"/>
    </row>
    <row r="269">
      <c r="K269" s="74" t="n"/>
    </row>
    <row r="270">
      <c r="K270" s="74" t="n"/>
    </row>
    <row r="271">
      <c r="K271" s="74" t="n"/>
    </row>
    <row r="272">
      <c r="K272" s="74" t="n"/>
    </row>
    <row r="273">
      <c r="K273" s="74" t="n"/>
    </row>
    <row r="274">
      <c r="K274" s="74" t="n"/>
    </row>
    <row r="275">
      <c r="K275" s="74" t="n"/>
    </row>
    <row r="276">
      <c r="K276" s="74" t="n"/>
    </row>
    <row r="277">
      <c r="K277" s="74" t="n"/>
    </row>
    <row r="278">
      <c r="K278" s="74" t="n"/>
    </row>
    <row r="279">
      <c r="K279" s="74" t="n"/>
    </row>
    <row r="280">
      <c r="K280" s="74" t="n"/>
    </row>
    <row r="281">
      <c r="K281" s="74" t="n"/>
    </row>
    <row r="282">
      <c r="K282" s="74" t="n"/>
    </row>
    <row r="283">
      <c r="K283" s="74" t="n"/>
    </row>
    <row r="284">
      <c r="K284" s="74" t="n"/>
    </row>
    <row r="285">
      <c r="K285" s="74" t="n"/>
    </row>
    <row r="286">
      <c r="K286" s="74" t="n"/>
    </row>
    <row r="287">
      <c r="K287" s="74" t="n"/>
    </row>
    <row r="288">
      <c r="K288" s="74" t="n"/>
    </row>
    <row r="289">
      <c r="K289" s="74" t="n"/>
    </row>
    <row r="290">
      <c r="K290" s="74" t="n"/>
    </row>
    <row r="291">
      <c r="K291" s="74" t="n"/>
    </row>
    <row r="292">
      <c r="K292" s="74" t="n"/>
    </row>
    <row r="293">
      <c r="K293" s="74" t="n"/>
    </row>
    <row r="294">
      <c r="K294" s="74" t="n"/>
    </row>
    <row r="295">
      <c r="K295" s="74" t="n"/>
    </row>
    <row r="296">
      <c r="K296" s="74" t="n"/>
    </row>
    <row r="297">
      <c r="K297" s="74" t="n"/>
    </row>
    <row r="298">
      <c r="K298" s="74" t="n"/>
    </row>
    <row r="299">
      <c r="K299" s="74" t="n"/>
    </row>
    <row r="300">
      <c r="K300" s="74" t="n"/>
    </row>
    <row r="301">
      <c r="K301" s="74" t="n"/>
    </row>
    <row r="302">
      <c r="K302" s="74" t="n"/>
    </row>
    <row r="303">
      <c r="K303" s="74" t="n"/>
    </row>
    <row r="304">
      <c r="K304" s="74" t="n"/>
    </row>
    <row r="305">
      <c r="K305" s="74" t="n"/>
    </row>
    <row r="306">
      <c r="K306" s="74" t="n"/>
    </row>
    <row r="307">
      <c r="K307" s="74" t="n"/>
    </row>
    <row r="308">
      <c r="K308" s="74" t="n"/>
    </row>
    <row r="309">
      <c r="K309" s="74" t="n"/>
    </row>
    <row r="310">
      <c r="K310" s="74" t="n"/>
    </row>
    <row r="311">
      <c r="K311" s="74" t="n"/>
    </row>
    <row r="312">
      <c r="K312" s="74" t="n"/>
    </row>
    <row r="313">
      <c r="K313" s="74" t="n"/>
    </row>
    <row r="314">
      <c r="K314" s="74" t="n"/>
    </row>
    <row r="315">
      <c r="K315" s="74" t="n"/>
    </row>
    <row r="316">
      <c r="K316" s="74" t="n"/>
    </row>
    <row r="317">
      <c r="K317" s="74" t="n"/>
    </row>
    <row r="318">
      <c r="K318" s="74" t="n"/>
    </row>
    <row r="319">
      <c r="K319" s="74" t="n"/>
    </row>
    <row r="320">
      <c r="K320" s="74" t="n"/>
    </row>
    <row r="321">
      <c r="K321" s="74" t="n"/>
    </row>
    <row r="322">
      <c r="K322" s="74" t="n"/>
    </row>
    <row r="323">
      <c r="K323" s="74" t="n"/>
    </row>
    <row r="324">
      <c r="K324" s="74" t="n"/>
    </row>
    <row r="325">
      <c r="K325" s="74" t="n"/>
    </row>
    <row r="326">
      <c r="K326" s="74" t="n"/>
    </row>
    <row r="327">
      <c r="K327" s="74" t="n"/>
    </row>
    <row r="328">
      <c r="K328" s="74" t="n"/>
    </row>
    <row r="329">
      <c r="K329" s="74" t="n"/>
    </row>
    <row r="330">
      <c r="K330" s="74" t="n"/>
    </row>
    <row r="331">
      <c r="K331" s="74" t="n"/>
    </row>
    <row r="332">
      <c r="K332" s="74" t="n"/>
    </row>
    <row r="333">
      <c r="K333" s="74" t="n"/>
    </row>
    <row r="334">
      <c r="K334" s="74" t="n"/>
    </row>
    <row r="335">
      <c r="K335" s="74" t="n"/>
    </row>
    <row r="336">
      <c r="K336" s="74" t="n"/>
    </row>
    <row r="337">
      <c r="K337" s="74" t="n"/>
    </row>
    <row r="338">
      <c r="K338" s="74" t="n"/>
    </row>
    <row r="339">
      <c r="K339" s="74" t="n"/>
    </row>
    <row r="340">
      <c r="K340" s="74" t="n"/>
    </row>
    <row r="341">
      <c r="K341" s="74" t="n"/>
    </row>
    <row r="342">
      <c r="K342" s="74" t="n"/>
    </row>
    <row r="343">
      <c r="K343" s="74" t="n"/>
    </row>
    <row r="344">
      <c r="K344" s="74" t="n"/>
    </row>
    <row r="345">
      <c r="K345" s="74" t="n"/>
    </row>
    <row r="346">
      <c r="K346" s="74" t="n"/>
    </row>
    <row r="347">
      <c r="K347" s="74" t="n"/>
    </row>
    <row r="348">
      <c r="K348" s="74" t="n"/>
    </row>
    <row r="349">
      <c r="K349" s="74" t="n"/>
    </row>
    <row r="350">
      <c r="K350" s="74" t="n"/>
    </row>
    <row r="351">
      <c r="K351" s="74" t="n"/>
    </row>
    <row r="352">
      <c r="K352" s="74" t="n"/>
    </row>
    <row r="353">
      <c r="K353" s="74" t="n"/>
    </row>
    <row r="354">
      <c r="K354" s="74" t="n"/>
    </row>
    <row r="355">
      <c r="K355" s="74" t="n"/>
    </row>
    <row r="356">
      <c r="K356" s="74" t="n"/>
    </row>
    <row r="357">
      <c r="K357" s="74" t="n"/>
    </row>
    <row r="358">
      <c r="K358" s="74" t="n"/>
    </row>
    <row r="359">
      <c r="K359" s="74" t="n"/>
    </row>
    <row r="360">
      <c r="K360" s="74" t="n"/>
    </row>
    <row r="361">
      <c r="K361" s="74" t="n"/>
    </row>
    <row r="362">
      <c r="K362" s="74" t="n"/>
    </row>
    <row r="363">
      <c r="K363" s="74" t="n"/>
    </row>
    <row r="364">
      <c r="K364" s="74" t="n"/>
    </row>
    <row r="365">
      <c r="K365" s="74" t="n"/>
    </row>
    <row r="366">
      <c r="K366" s="74" t="n"/>
    </row>
    <row r="367">
      <c r="K367" s="74" t="n"/>
    </row>
    <row r="368">
      <c r="K368" s="74" t="n"/>
    </row>
    <row r="369">
      <c r="K369" s="74" t="n"/>
    </row>
    <row r="370">
      <c r="K370" s="74" t="n"/>
    </row>
    <row r="371">
      <c r="K371" s="74" t="n"/>
    </row>
    <row r="372">
      <c r="K372" s="74" t="n"/>
    </row>
    <row r="373">
      <c r="K373" s="74" t="n"/>
    </row>
    <row r="374">
      <c r="K374" s="74" t="n"/>
    </row>
    <row r="375">
      <c r="K375" s="74" t="n"/>
    </row>
    <row r="376">
      <c r="K376" s="74" t="n"/>
    </row>
    <row r="377">
      <c r="K377" s="74" t="n"/>
    </row>
    <row r="378">
      <c r="K378" s="74" t="n"/>
    </row>
    <row r="379">
      <c r="K379" s="74" t="n"/>
    </row>
    <row r="380">
      <c r="K380" s="74" t="n"/>
    </row>
    <row r="381">
      <c r="K381" s="74" t="n"/>
    </row>
    <row r="382">
      <c r="K382" s="74" t="n"/>
    </row>
    <row r="383">
      <c r="K383" s="74" t="n"/>
    </row>
    <row r="384">
      <c r="K384" s="74" t="n"/>
    </row>
    <row r="385">
      <c r="K385" s="74" t="n"/>
    </row>
    <row r="386">
      <c r="K386" s="74" t="n"/>
    </row>
    <row r="387">
      <c r="K387" s="74" t="n"/>
    </row>
    <row r="388">
      <c r="K388" s="74" t="n"/>
    </row>
    <row r="389">
      <c r="K389" s="74" t="n"/>
    </row>
    <row r="390">
      <c r="K390" s="74" t="n"/>
    </row>
    <row r="391">
      <c r="K391" s="74" t="n"/>
    </row>
    <row r="392">
      <c r="K392" s="74" t="n"/>
    </row>
    <row r="393">
      <c r="K393" s="74" t="n"/>
    </row>
    <row r="394">
      <c r="K394" s="74" t="n"/>
    </row>
    <row r="395">
      <c r="K395" s="74" t="n"/>
    </row>
    <row r="396">
      <c r="K396" s="74" t="n"/>
    </row>
    <row r="397">
      <c r="K397" s="74" t="n"/>
    </row>
    <row r="398">
      <c r="K398" s="74" t="n"/>
    </row>
    <row r="399">
      <c r="K399" s="74" t="n"/>
    </row>
    <row r="400">
      <c r="K400" s="74" t="n"/>
    </row>
    <row r="401">
      <c r="K401" s="74" t="n"/>
    </row>
    <row r="402">
      <c r="K402" s="74" t="n"/>
    </row>
    <row r="403">
      <c r="K403" s="74" t="n"/>
    </row>
    <row r="404">
      <c r="K404" s="74" t="n"/>
    </row>
    <row r="405">
      <c r="K405" s="74" t="n"/>
    </row>
    <row r="406">
      <c r="K406" s="74" t="n"/>
    </row>
    <row r="407">
      <c r="K407" s="74" t="n"/>
    </row>
    <row r="408">
      <c r="K408" s="74" t="n"/>
    </row>
    <row r="409">
      <c r="K409" s="74" t="n"/>
    </row>
    <row r="410">
      <c r="K410" s="74" t="n"/>
    </row>
    <row r="411">
      <c r="K411" s="74" t="n"/>
    </row>
    <row r="412">
      <c r="K412" s="74" t="n"/>
    </row>
    <row r="413">
      <c r="K413" s="74" t="n"/>
    </row>
    <row r="414">
      <c r="K414" s="74" t="n"/>
    </row>
    <row r="415">
      <c r="K415" s="74" t="n"/>
    </row>
    <row r="416">
      <c r="K416" s="74" t="n"/>
    </row>
    <row r="417">
      <c r="K417" s="74" t="n"/>
    </row>
    <row r="418">
      <c r="K418" s="74" t="n"/>
    </row>
    <row r="419">
      <c r="K419" s="74" t="n"/>
    </row>
    <row r="420">
      <c r="K420" s="74" t="n"/>
    </row>
    <row r="421">
      <c r="K421" s="74" t="n"/>
    </row>
    <row r="422">
      <c r="K422" s="74" t="n"/>
    </row>
    <row r="423">
      <c r="K423" s="74" t="n"/>
    </row>
    <row r="424">
      <c r="K424" s="74" t="n"/>
    </row>
    <row r="425">
      <c r="K425" s="74" t="n"/>
    </row>
    <row r="426">
      <c r="K426" s="74" t="n"/>
    </row>
    <row r="427">
      <c r="K427" s="74" t="n"/>
    </row>
    <row r="428">
      <c r="K428" s="74" t="n"/>
    </row>
    <row r="429">
      <c r="K429" s="74" t="n"/>
    </row>
    <row r="430">
      <c r="K430" s="74" t="n"/>
    </row>
    <row r="431">
      <c r="K431" s="74" t="n"/>
    </row>
    <row r="432">
      <c r="K432" s="74" t="n"/>
    </row>
    <row r="433">
      <c r="K433" s="74" t="n"/>
    </row>
    <row r="434">
      <c r="K434" s="74" t="n"/>
    </row>
    <row r="435">
      <c r="K435" s="74" t="n"/>
    </row>
    <row r="436">
      <c r="K436" s="74" t="n"/>
    </row>
    <row r="437">
      <c r="K437" s="74" t="n"/>
    </row>
    <row r="438">
      <c r="K438" s="74" t="n"/>
    </row>
    <row r="439">
      <c r="K439" s="74" t="n"/>
    </row>
    <row r="440">
      <c r="K440" s="74" t="n"/>
    </row>
    <row r="441">
      <c r="K441" s="74" t="n"/>
    </row>
    <row r="442">
      <c r="K442" s="74" t="n"/>
    </row>
    <row r="443">
      <c r="K443" s="74" t="n"/>
    </row>
    <row r="444">
      <c r="K444" s="74" t="n"/>
    </row>
    <row r="445">
      <c r="K445" s="74" t="n"/>
    </row>
    <row r="446">
      <c r="K446" s="74" t="n"/>
    </row>
    <row r="447">
      <c r="K447" s="74" t="n"/>
    </row>
    <row r="448">
      <c r="K448" s="74" t="n"/>
    </row>
    <row r="449">
      <c r="K449" s="74" t="n"/>
    </row>
    <row r="450">
      <c r="K450" s="74" t="n"/>
    </row>
    <row r="451">
      <c r="K451" s="74" t="n"/>
    </row>
    <row r="452">
      <c r="K452" s="74" t="n"/>
    </row>
    <row r="453">
      <c r="K453" s="74" t="n"/>
    </row>
    <row r="454">
      <c r="K454" s="74" t="n"/>
    </row>
    <row r="455">
      <c r="K455" s="74" t="n"/>
    </row>
    <row r="456">
      <c r="K456" s="74" t="n"/>
    </row>
    <row r="457">
      <c r="K457" s="74" t="n"/>
    </row>
    <row r="458">
      <c r="K458" s="74" t="n"/>
    </row>
    <row r="459">
      <c r="K459" s="74" t="n"/>
    </row>
    <row r="460">
      <c r="K460" s="74" t="n"/>
    </row>
    <row r="461">
      <c r="K461" s="74" t="n"/>
    </row>
    <row r="462">
      <c r="K462" s="74" t="n"/>
    </row>
    <row r="463">
      <c r="K463" s="74" t="n"/>
    </row>
    <row r="464">
      <c r="K464" s="74" t="n"/>
    </row>
    <row r="465">
      <c r="K465" s="74" t="n"/>
    </row>
    <row r="466">
      <c r="K466" s="74" t="n"/>
    </row>
    <row r="467">
      <c r="K467" s="74" t="n"/>
    </row>
    <row r="468">
      <c r="K468" s="74" t="n"/>
    </row>
    <row r="469">
      <c r="K469" s="74" t="n"/>
    </row>
    <row r="470">
      <c r="K470" s="74" t="n"/>
    </row>
    <row r="471">
      <c r="K471" s="74" t="n"/>
    </row>
    <row r="472">
      <c r="K472" s="74" t="n"/>
    </row>
    <row r="473">
      <c r="K473" s="74" t="n"/>
    </row>
    <row r="474">
      <c r="K474" s="74" t="n"/>
    </row>
    <row r="475">
      <c r="K475" s="74" t="n"/>
    </row>
    <row r="476">
      <c r="K476" s="74" t="n"/>
    </row>
    <row r="477">
      <c r="K477" s="74" t="n"/>
    </row>
    <row r="478">
      <c r="K478" s="74" t="n"/>
    </row>
    <row r="479">
      <c r="K479" s="74" t="n"/>
    </row>
    <row r="480">
      <c r="K480" s="74" t="n"/>
    </row>
    <row r="481">
      <c r="K481" s="74" t="n"/>
    </row>
    <row r="482">
      <c r="K482" s="74" t="n"/>
    </row>
    <row r="483">
      <c r="K483" s="74" t="n"/>
    </row>
    <row r="484">
      <c r="K484" s="74" t="n"/>
    </row>
    <row r="485">
      <c r="K485" s="74" t="n"/>
    </row>
    <row r="486">
      <c r="K486" s="74" t="n"/>
    </row>
    <row r="487">
      <c r="K487" s="74" t="n"/>
    </row>
    <row r="488">
      <c r="K488" s="74" t="n"/>
    </row>
    <row r="489">
      <c r="K489" s="74" t="n"/>
    </row>
    <row r="490">
      <c r="K490" s="74" t="n"/>
    </row>
    <row r="491">
      <c r="K491" s="74" t="n"/>
    </row>
    <row r="492">
      <c r="K492" s="74" t="n"/>
    </row>
    <row r="493">
      <c r="K493" s="74" t="n"/>
    </row>
    <row r="494">
      <c r="K494" s="74" t="n"/>
    </row>
    <row r="495">
      <c r="K495" s="74" t="n"/>
    </row>
    <row r="496">
      <c r="K496" s="74" t="n"/>
    </row>
    <row r="497">
      <c r="K497" s="74" t="n"/>
    </row>
    <row r="498">
      <c r="K498" s="74" t="n"/>
    </row>
    <row r="499">
      <c r="K499" s="74" t="n"/>
    </row>
    <row r="500">
      <c r="K500" s="74" t="n"/>
    </row>
  </sheetData>
  <sheetProtection selectLockedCells="0" selectUnlockedCells="0" sheet="1" objects="0" insertRows="1" insertHyperlinks="1" autoFilter="0" scenarios="0" formatColumns="0" deleteColumns="1" insertColumns="1" pivotTables="1" deleteRows="1" formatCells="1" formatRows="0" sort="0"/>
  <mergeCells count="1">
    <mergeCell ref="A2:N2"/>
  </mergeCells>
  <dataValidations count="2">
    <dataValidation sqref="K5:K500" showDropDown="0" showInputMessage="0" showErrorMessage="1" allowBlank="1" error="Choose one of the listed options." type="list">
      <formula1>LIST_DEPLOYMENT_STATUS</formula1>
    </dataValidation>
    <dataValidation sqref="M5:M500" showDropDown="0" showInputMessage="0" showErrorMessage="1" allowBlank="1" error="Choose one of the listed options." type="list">
      <formula1>LIST_REVIEW_STATUS</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s>
  <pageMargins left="0.75" right="0.75" top="1" bottom="1" header="0.5" footer="0.5"/>
  <tableParts count="1">
    <tablePart xmlns:r="http://schemas.openxmlformats.org/officeDocument/2006/relationships" r:id="rId11"/>
  </tableParts>
</worksheet>
</file>

<file path=xl/worksheets/sheet14.xml><?xml version="1.0" encoding="utf-8"?>
<worksheet xmlns="http://schemas.openxmlformats.org/spreadsheetml/2006/main">
  <sheetPr>
    <tabColor rgb="FF7030A0"/>
    <outlinePr summaryBelow="1" summaryRight="1"/>
    <pageSetUpPr/>
  </sheetPr>
  <dimension ref="A1:G22"/>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style="19" min="1" max="1"/>
    <col width="15" customWidth="1" style="19" min="2" max="2"/>
    <col width="11" customWidth="1" style="19" min="3" max="3"/>
    <col width="10" customWidth="1" style="19" min="4" max="4"/>
    <col width="9" customWidth="1" style="19" min="5" max="5"/>
    <col width="16" customWidth="1" style="19" min="6" max="6"/>
    <col width="10" customWidth="1" style="19" min="7" max="7"/>
  </cols>
  <sheetData>
    <row r="1" ht="25.5" customHeight="1" s="19">
      <c r="A1" s="63" t="inlineStr">
        <is>
          <t>Threat-Detection Map (catalog — maintained centrally)</t>
        </is>
      </c>
      <c r="B1" s="64" t="n"/>
      <c r="C1" s="64" t="n"/>
      <c r="D1" s="64" t="n"/>
      <c r="E1" s="64" t="n"/>
      <c r="F1" s="64" t="n"/>
      <c r="G1" s="64" t="n"/>
    </row>
    <row r="2" ht="45" customHeight="1" s="19">
      <c r="A2" s="65" t="inlineStr">
        <is>
          <t>One row per link between a threat and a detection that spots it. Grey columns are calculated.</t>
        </is>
      </c>
    </row>
    <row r="3"/>
    <row r="4">
      <c r="A4" s="68" t="inlineStr">
        <is>
          <t>Threat ID</t>
        </is>
      </c>
      <c r="B4" s="68" t="inlineStr">
        <is>
          <t>Detection ID</t>
        </is>
      </c>
      <c r="C4" s="68" t="inlineStr">
        <is>
          <t>Threat applies</t>
        </is>
      </c>
      <c r="D4" s="68" t="inlineStr">
        <is>
          <t>Threat risk</t>
        </is>
      </c>
      <c r="E4" s="68" t="inlineStr">
        <is>
          <t>Threat risk score</t>
        </is>
      </c>
      <c r="F4" s="68" t="inlineStr">
        <is>
          <t>Threat mitigation</t>
        </is>
      </c>
      <c r="G4" s="68" t="inlineStr">
        <is>
          <t>Detection found</t>
        </is>
      </c>
    </row>
    <row r="5" ht="36" customHeight="1" s="19">
      <c r="A5" s="70" t="inlineStr">
        <is>
          <t>TM-S-001</t>
        </is>
      </c>
      <c r="B5" s="70" t="inlineStr">
        <is>
          <t>DET-AUTH-001</t>
        </is>
      </c>
      <c r="C5" s="71">
        <f>IFERROR(INDEX(tblThreats[Applies],MATCH(tblThreatDetections[[#This Row],[Threat ID]],tblThreats[Threat ID],0)),"NOT FOUND")</f>
        <v/>
      </c>
      <c r="D5" s="71">
        <f>IFERROR(INDEX(tblThreats[Risk],MATCH(tblThreatDetections[[#This Row],[Threat ID]],tblThreats[Threat ID],0)),"")</f>
        <v/>
      </c>
      <c r="E5" s="71">
        <f>IF(tblThreatDetections[[#This Row],[Threat applies]]="Applies",IFERROR(INDEX(tblThreats[Risk score],MATCH(tblThreatDetections[[#This Row],[Threat ID]],tblThreats[Threat ID],0)),0),0)</f>
        <v/>
      </c>
      <c r="F5" s="71">
        <f>IFERROR(INDEX(tblThreats[Mitigation status],MATCH(tblThreatDetections[[#This Row],[Threat ID]],tblThreats[Threat ID],0)),"")</f>
        <v/>
      </c>
      <c r="G5" s="71">
        <f>IF(COUNTIF(tblDetections[Detection ID],tblThreatDetections[[#This Row],[Detection ID]])&gt;0,"Yes","No")</f>
        <v/>
      </c>
    </row>
    <row r="6" ht="36" customHeight="1" s="19">
      <c r="A6" s="70" t="inlineStr">
        <is>
          <t>TM-S-001</t>
        </is>
      </c>
      <c r="B6" s="70" t="inlineStr">
        <is>
          <t>DET-WAF-001</t>
        </is>
      </c>
      <c r="C6" s="71">
        <f>IFERROR(INDEX(tblThreats[Applies],MATCH(tblThreatDetections[[#This Row],[Threat ID]],tblThreats[Threat ID],0)),"NOT FOUND")</f>
        <v/>
      </c>
      <c r="D6" s="71">
        <f>IFERROR(INDEX(tblThreats[Risk],MATCH(tblThreatDetections[[#This Row],[Threat ID]],tblThreats[Threat ID],0)),"")</f>
        <v/>
      </c>
      <c r="E6" s="71">
        <f>IF(tblThreatDetections[[#This Row],[Threat applies]]="Applies",IFERROR(INDEX(tblThreats[Risk score],MATCH(tblThreatDetections[[#This Row],[Threat ID]],tblThreats[Threat ID],0)),0),0)</f>
        <v/>
      </c>
      <c r="F6" s="71">
        <f>IFERROR(INDEX(tblThreats[Mitigation status],MATCH(tblThreatDetections[[#This Row],[Threat ID]],tblThreats[Threat ID],0)),"")</f>
        <v/>
      </c>
      <c r="G6" s="71">
        <f>IF(COUNTIF(tblDetections[Detection ID],tblThreatDetections[[#This Row],[Detection ID]])&gt;0,"Yes","No")</f>
        <v/>
      </c>
    </row>
    <row r="7" ht="36" customHeight="1" s="19">
      <c r="A7" s="70" t="inlineStr">
        <is>
          <t>TM-S-002</t>
        </is>
      </c>
      <c r="B7" s="70" t="inlineStr">
        <is>
          <t>DET-ADMIN-001</t>
        </is>
      </c>
      <c r="C7" s="71">
        <f>IFERROR(INDEX(tblThreats[Applies],MATCH(tblThreatDetections[[#This Row],[Threat ID]],tblThreats[Threat ID],0)),"NOT FOUND")</f>
        <v/>
      </c>
      <c r="D7" s="71">
        <f>IFERROR(INDEX(tblThreats[Risk],MATCH(tblThreatDetections[[#This Row],[Threat ID]],tblThreats[Threat ID],0)),"")</f>
        <v/>
      </c>
      <c r="E7" s="71">
        <f>IF(tblThreatDetections[[#This Row],[Threat applies]]="Applies",IFERROR(INDEX(tblThreats[Risk score],MATCH(tblThreatDetections[[#This Row],[Threat ID]],tblThreats[Threat ID],0)),0),0)</f>
        <v/>
      </c>
      <c r="F7" s="71">
        <f>IFERROR(INDEX(tblThreats[Mitigation status],MATCH(tblThreatDetections[[#This Row],[Threat ID]],tblThreats[Threat ID],0)),"")</f>
        <v/>
      </c>
      <c r="G7" s="71">
        <f>IF(COUNTIF(tblDetections[Detection ID],tblThreatDetections[[#This Row],[Detection ID]])&gt;0,"Yes","No")</f>
        <v/>
      </c>
    </row>
    <row r="8" ht="36" customHeight="1" s="19">
      <c r="A8" s="70" t="inlineStr">
        <is>
          <t>TM-S-003</t>
        </is>
      </c>
      <c r="B8" s="70" t="inlineStr">
        <is>
          <t>DET-AUTH-002</t>
        </is>
      </c>
      <c r="C8" s="71">
        <f>IFERROR(INDEX(tblThreats[Applies],MATCH(tblThreatDetections[[#This Row],[Threat ID]],tblThreats[Threat ID],0)),"NOT FOUND")</f>
        <v/>
      </c>
      <c r="D8" s="71">
        <f>IFERROR(INDEX(tblThreats[Risk],MATCH(tblThreatDetections[[#This Row],[Threat ID]],tblThreats[Threat ID],0)),"")</f>
        <v/>
      </c>
      <c r="E8" s="71">
        <f>IF(tblThreatDetections[[#This Row],[Threat applies]]="Applies",IFERROR(INDEX(tblThreats[Risk score],MATCH(tblThreatDetections[[#This Row],[Threat ID]],tblThreats[Threat ID],0)),0),0)</f>
        <v/>
      </c>
      <c r="F8" s="71">
        <f>IFERROR(INDEX(tblThreats[Mitigation status],MATCH(tblThreatDetections[[#This Row],[Threat ID]],tblThreats[Threat ID],0)),"")</f>
        <v/>
      </c>
      <c r="G8" s="71">
        <f>IF(COUNTIF(tblDetections[Detection ID],tblThreatDetections[[#This Row],[Detection ID]])&gt;0,"Yes","No")</f>
        <v/>
      </c>
    </row>
    <row r="9" ht="36" customHeight="1" s="19">
      <c r="A9" s="70" t="inlineStr">
        <is>
          <t>TM-S-004</t>
        </is>
      </c>
      <c r="B9" s="70" t="inlineStr">
        <is>
          <t>DET-WAF-001</t>
        </is>
      </c>
      <c r="C9" s="71">
        <f>IFERROR(INDEX(tblThreats[Applies],MATCH(tblThreatDetections[[#This Row],[Threat ID]],tblThreats[Threat ID],0)),"NOT FOUND")</f>
        <v/>
      </c>
      <c r="D9" s="71">
        <f>IFERROR(INDEX(tblThreats[Risk],MATCH(tblThreatDetections[[#This Row],[Threat ID]],tblThreats[Threat ID],0)),"")</f>
        <v/>
      </c>
      <c r="E9" s="71">
        <f>IF(tblThreatDetections[[#This Row],[Threat applies]]="Applies",IFERROR(INDEX(tblThreats[Risk score],MATCH(tblThreatDetections[[#This Row],[Threat ID]],tblThreats[Threat ID],0)),0),0)</f>
        <v/>
      </c>
      <c r="F9" s="71">
        <f>IFERROR(INDEX(tblThreats[Mitigation status],MATCH(tblThreatDetections[[#This Row],[Threat ID]],tblThreats[Threat ID],0)),"")</f>
        <v/>
      </c>
      <c r="G9" s="71">
        <f>IF(COUNTIF(tblDetections[Detection ID],tblThreatDetections[[#This Row],[Detection ID]])&gt;0,"Yes","No")</f>
        <v/>
      </c>
    </row>
    <row r="10" ht="36" customHeight="1" s="19">
      <c r="A10" s="70" t="inlineStr">
        <is>
          <t>TM-S-004</t>
        </is>
      </c>
      <c r="B10" s="70" t="inlineStr">
        <is>
          <t>DET-APP-001</t>
        </is>
      </c>
      <c r="C10" s="71">
        <f>IFERROR(INDEX(tblThreats[Applies],MATCH(tblThreatDetections[[#This Row],[Threat ID]],tblThreats[Threat ID],0)),"NOT FOUND")</f>
        <v/>
      </c>
      <c r="D10" s="71">
        <f>IFERROR(INDEX(tblThreats[Risk],MATCH(tblThreatDetections[[#This Row],[Threat ID]],tblThreats[Threat ID],0)),"")</f>
        <v/>
      </c>
      <c r="E10" s="71">
        <f>IF(tblThreatDetections[[#This Row],[Threat applies]]="Applies",IFERROR(INDEX(tblThreats[Risk score],MATCH(tblThreatDetections[[#This Row],[Threat ID]],tblThreats[Threat ID],0)),0),0)</f>
        <v/>
      </c>
      <c r="F10" s="71">
        <f>IFERROR(INDEX(tblThreats[Mitigation status],MATCH(tblThreatDetections[[#This Row],[Threat ID]],tblThreats[Threat ID],0)),"")</f>
        <v/>
      </c>
      <c r="G10" s="71">
        <f>IF(COUNTIF(tblDetections[Detection ID],tblThreatDetections[[#This Row],[Detection ID]])&gt;0,"Yes","No")</f>
        <v/>
      </c>
    </row>
    <row r="11" ht="36" customHeight="1" s="19">
      <c r="A11" s="70" t="inlineStr">
        <is>
          <t>TM-T-002</t>
        </is>
      </c>
      <c r="B11" s="70" t="inlineStr">
        <is>
          <t>DET-HOST-001</t>
        </is>
      </c>
      <c r="C11" s="71">
        <f>IFERROR(INDEX(tblThreats[Applies],MATCH(tblThreatDetections[[#This Row],[Threat ID]],tblThreats[Threat ID],0)),"NOT FOUND")</f>
        <v/>
      </c>
      <c r="D11" s="71">
        <f>IFERROR(INDEX(tblThreats[Risk],MATCH(tblThreatDetections[[#This Row],[Threat ID]],tblThreats[Threat ID],0)),"")</f>
        <v/>
      </c>
      <c r="E11" s="71">
        <f>IF(tblThreatDetections[[#This Row],[Threat applies]]="Applies",IFERROR(INDEX(tblThreats[Risk score],MATCH(tblThreatDetections[[#This Row],[Threat ID]],tblThreats[Threat ID],0)),0),0)</f>
        <v/>
      </c>
      <c r="F11" s="71">
        <f>IFERROR(INDEX(tblThreats[Mitigation status],MATCH(tblThreatDetections[[#This Row],[Threat ID]],tblThreats[Threat ID],0)),"")</f>
        <v/>
      </c>
      <c r="G11" s="71">
        <f>IF(COUNTIF(tblDetections[Detection ID],tblThreatDetections[[#This Row],[Detection ID]])&gt;0,"Yes","No")</f>
        <v/>
      </c>
    </row>
    <row r="12" ht="36" customHeight="1" s="19">
      <c r="A12" s="70" t="inlineStr">
        <is>
          <t>TM-T-003</t>
        </is>
      </c>
      <c r="B12" s="70" t="inlineStr">
        <is>
          <t>DET-HOST-002</t>
        </is>
      </c>
      <c r="C12" s="71">
        <f>IFERROR(INDEX(tblThreats[Applies],MATCH(tblThreatDetections[[#This Row],[Threat ID]],tblThreats[Threat ID],0)),"NOT FOUND")</f>
        <v/>
      </c>
      <c r="D12" s="71">
        <f>IFERROR(INDEX(tblThreats[Risk],MATCH(tblThreatDetections[[#This Row],[Threat ID]],tblThreats[Threat ID],0)),"")</f>
        <v/>
      </c>
      <c r="E12" s="71">
        <f>IF(tblThreatDetections[[#This Row],[Threat applies]]="Applies",IFERROR(INDEX(tblThreats[Risk score],MATCH(tblThreatDetections[[#This Row],[Threat ID]],tblThreats[Threat ID],0)),0),0)</f>
        <v/>
      </c>
      <c r="F12" s="71">
        <f>IFERROR(INDEX(tblThreats[Mitigation status],MATCH(tblThreatDetections[[#This Row],[Threat ID]],tblThreats[Threat ID],0)),"")</f>
        <v/>
      </c>
      <c r="G12" s="71">
        <f>IF(COUNTIF(tblDetections[Detection ID],tblThreatDetections[[#This Row],[Detection ID]])&gt;0,"Yes","No")</f>
        <v/>
      </c>
    </row>
    <row r="13" ht="36" customHeight="1" s="19">
      <c r="A13" s="70" t="inlineStr">
        <is>
          <t>TM-R-001</t>
        </is>
      </c>
      <c r="B13" s="70" t="inlineStr">
        <is>
          <t>DET-ADMIN-002</t>
        </is>
      </c>
      <c r="C13" s="71">
        <f>IFERROR(INDEX(tblThreats[Applies],MATCH(tblThreatDetections[[#This Row],[Threat ID]],tblThreats[Threat ID],0)),"NOT FOUND")</f>
        <v/>
      </c>
      <c r="D13" s="71">
        <f>IFERROR(INDEX(tblThreats[Risk],MATCH(tblThreatDetections[[#This Row],[Threat ID]],tblThreats[Threat ID],0)),"")</f>
        <v/>
      </c>
      <c r="E13" s="71">
        <f>IF(tblThreatDetections[[#This Row],[Threat applies]]="Applies",IFERROR(INDEX(tblThreats[Risk score],MATCH(tblThreatDetections[[#This Row],[Threat ID]],tblThreats[Threat ID],0)),0),0)</f>
        <v/>
      </c>
      <c r="F13" s="71">
        <f>IFERROR(INDEX(tblThreats[Mitigation status],MATCH(tblThreatDetections[[#This Row],[Threat ID]],tblThreats[Threat ID],0)),"")</f>
        <v/>
      </c>
      <c r="G13" s="71">
        <f>IF(COUNTIF(tblDetections[Detection ID],tblThreatDetections[[#This Row],[Detection ID]])&gt;0,"Yes","No")</f>
        <v/>
      </c>
    </row>
    <row r="14" ht="36" customHeight="1" s="19">
      <c r="A14" s="70" t="inlineStr">
        <is>
          <t>TM-I-001</t>
        </is>
      </c>
      <c r="B14" s="70" t="inlineStr">
        <is>
          <t>DET-APP-001</t>
        </is>
      </c>
      <c r="C14" s="71">
        <f>IFERROR(INDEX(tblThreats[Applies],MATCH(tblThreatDetections[[#This Row],[Threat ID]],tblThreats[Threat ID],0)),"NOT FOUND")</f>
        <v/>
      </c>
      <c r="D14" s="71">
        <f>IFERROR(INDEX(tblThreats[Risk],MATCH(tblThreatDetections[[#This Row],[Threat ID]],tblThreats[Threat ID],0)),"")</f>
        <v/>
      </c>
      <c r="E14" s="71">
        <f>IF(tblThreatDetections[[#This Row],[Threat applies]]="Applies",IFERROR(INDEX(tblThreats[Risk score],MATCH(tblThreatDetections[[#This Row],[Threat ID]],tblThreats[Threat ID],0)),0),0)</f>
        <v/>
      </c>
      <c r="F14" s="71">
        <f>IFERROR(INDEX(tblThreats[Mitigation status],MATCH(tblThreatDetections[[#This Row],[Threat ID]],tblThreats[Threat ID],0)),"")</f>
        <v/>
      </c>
      <c r="G14" s="71">
        <f>IF(COUNTIF(tblDetections[Detection ID],tblThreatDetections[[#This Row],[Detection ID]])&gt;0,"Yes","No")</f>
        <v/>
      </c>
    </row>
    <row r="15" ht="36" customHeight="1" s="19">
      <c r="A15" s="70" t="inlineStr">
        <is>
          <t>TM-I-002</t>
        </is>
      </c>
      <c r="B15" s="70" t="inlineStr">
        <is>
          <t>DET-HOST-001</t>
        </is>
      </c>
      <c r="C15" s="71">
        <f>IFERROR(INDEX(tblThreats[Applies],MATCH(tblThreatDetections[[#This Row],[Threat ID]],tblThreats[Threat ID],0)),"NOT FOUND")</f>
        <v/>
      </c>
      <c r="D15" s="71">
        <f>IFERROR(INDEX(tblThreats[Risk],MATCH(tblThreatDetections[[#This Row],[Threat ID]],tblThreats[Threat ID],0)),"")</f>
        <v/>
      </c>
      <c r="E15" s="71">
        <f>IF(tblThreatDetections[[#This Row],[Threat applies]]="Applies",IFERROR(INDEX(tblThreats[Risk score],MATCH(tblThreatDetections[[#This Row],[Threat ID]],tblThreats[Threat ID],0)),0),0)</f>
        <v/>
      </c>
      <c r="F15" s="71">
        <f>IFERROR(INDEX(tblThreats[Mitigation status],MATCH(tblThreatDetections[[#This Row],[Threat ID]],tblThreats[Threat ID],0)),"")</f>
        <v/>
      </c>
      <c r="G15" s="71">
        <f>IF(COUNTIF(tblDetections[Detection ID],tblThreatDetections[[#This Row],[Detection ID]])&gt;0,"Yes","No")</f>
        <v/>
      </c>
    </row>
    <row r="16" ht="36" customHeight="1" s="19">
      <c r="A16" s="70" t="inlineStr">
        <is>
          <t>TM-I-003</t>
        </is>
      </c>
      <c r="B16" s="70" t="inlineStr">
        <is>
          <t>DET-NET-001</t>
        </is>
      </c>
      <c r="C16" s="71">
        <f>IFERROR(INDEX(tblThreats[Applies],MATCH(tblThreatDetections[[#This Row],[Threat ID]],tblThreats[Threat ID],0)),"NOT FOUND")</f>
        <v/>
      </c>
      <c r="D16" s="71">
        <f>IFERROR(INDEX(tblThreats[Risk],MATCH(tblThreatDetections[[#This Row],[Threat ID]],tblThreats[Threat ID],0)),"")</f>
        <v/>
      </c>
      <c r="E16" s="71">
        <f>IF(tblThreatDetections[[#This Row],[Threat applies]]="Applies",IFERROR(INDEX(tblThreats[Risk score],MATCH(tblThreatDetections[[#This Row],[Threat ID]],tblThreats[Threat ID],0)),0),0)</f>
        <v/>
      </c>
      <c r="F16" s="71">
        <f>IFERROR(INDEX(tblThreats[Mitigation status],MATCH(tblThreatDetections[[#This Row],[Threat ID]],tblThreats[Threat ID],0)),"")</f>
        <v/>
      </c>
      <c r="G16" s="71">
        <f>IF(COUNTIF(tblDetections[Detection ID],tblThreatDetections[[#This Row],[Detection ID]])&gt;0,"Yes","No")</f>
        <v/>
      </c>
    </row>
    <row r="17" ht="36" customHeight="1" s="19">
      <c r="A17" s="70" t="inlineStr">
        <is>
          <t>TM-D-001</t>
        </is>
      </c>
      <c r="B17" s="70" t="inlineStr">
        <is>
          <t>DET-WAF-001</t>
        </is>
      </c>
      <c r="C17" s="71">
        <f>IFERROR(INDEX(tblThreats[Applies],MATCH(tblThreatDetections[[#This Row],[Threat ID]],tblThreats[Threat ID],0)),"NOT FOUND")</f>
        <v/>
      </c>
      <c r="D17" s="71">
        <f>IFERROR(INDEX(tblThreats[Risk],MATCH(tblThreatDetections[[#This Row],[Threat ID]],tblThreats[Threat ID],0)),"")</f>
        <v/>
      </c>
      <c r="E17" s="71">
        <f>IF(tblThreatDetections[[#This Row],[Threat applies]]="Applies",IFERROR(INDEX(tblThreats[Risk score],MATCH(tblThreatDetections[[#This Row],[Threat ID]],tblThreats[Threat ID],0)),0),0)</f>
        <v/>
      </c>
      <c r="F17" s="71">
        <f>IFERROR(INDEX(tblThreats[Mitigation status],MATCH(tblThreatDetections[[#This Row],[Threat ID]],tblThreats[Threat ID],0)),"")</f>
        <v/>
      </c>
      <c r="G17" s="71">
        <f>IF(COUNTIF(tblDetections[Detection ID],tblThreatDetections[[#This Row],[Detection ID]])&gt;0,"Yes","No")</f>
        <v/>
      </c>
    </row>
    <row r="18" ht="36" customHeight="1" s="19">
      <c r="A18" s="70" t="inlineStr">
        <is>
          <t>TM-E-001</t>
        </is>
      </c>
      <c r="B18" s="70" t="inlineStr">
        <is>
          <t>DET-ADMIN-002</t>
        </is>
      </c>
      <c r="C18" s="71">
        <f>IFERROR(INDEX(tblThreats[Applies],MATCH(tblThreatDetections[[#This Row],[Threat ID]],tblThreats[Threat ID],0)),"NOT FOUND")</f>
        <v/>
      </c>
      <c r="D18" s="71">
        <f>IFERROR(INDEX(tblThreats[Risk],MATCH(tblThreatDetections[[#This Row],[Threat ID]],tblThreats[Threat ID],0)),"")</f>
        <v/>
      </c>
      <c r="E18" s="71">
        <f>IF(tblThreatDetections[[#This Row],[Threat applies]]="Applies",IFERROR(INDEX(tblThreats[Risk score],MATCH(tblThreatDetections[[#This Row],[Threat ID]],tblThreats[Threat ID],0)),0),0)</f>
        <v/>
      </c>
      <c r="F18" s="71">
        <f>IFERROR(INDEX(tblThreats[Mitigation status],MATCH(tblThreatDetections[[#This Row],[Threat ID]],tblThreats[Threat ID],0)),"")</f>
        <v/>
      </c>
      <c r="G18" s="71">
        <f>IF(COUNTIF(tblDetections[Detection ID],tblThreatDetections[[#This Row],[Detection ID]])&gt;0,"Yes","No")</f>
        <v/>
      </c>
    </row>
    <row r="19" ht="36" customHeight="1" s="19">
      <c r="A19" s="70" t="inlineStr">
        <is>
          <t>TM-E-002</t>
        </is>
      </c>
      <c r="B19" s="70" t="inlineStr">
        <is>
          <t>DET-VENDOR-001</t>
        </is>
      </c>
      <c r="C19" s="71">
        <f>IFERROR(INDEX(tblThreats[Applies],MATCH(tblThreatDetections[[#This Row],[Threat ID]],tblThreats[Threat ID],0)),"NOT FOUND")</f>
        <v/>
      </c>
      <c r="D19" s="71">
        <f>IFERROR(INDEX(tblThreats[Risk],MATCH(tblThreatDetections[[#This Row],[Threat ID]],tblThreats[Threat ID],0)),"")</f>
        <v/>
      </c>
      <c r="E19" s="71">
        <f>IF(tblThreatDetections[[#This Row],[Threat applies]]="Applies",IFERROR(INDEX(tblThreats[Risk score],MATCH(tblThreatDetections[[#This Row],[Threat ID]],tblThreats[Threat ID],0)),0),0)</f>
        <v/>
      </c>
      <c r="F19" s="71">
        <f>IFERROR(INDEX(tblThreats[Mitigation status],MATCH(tblThreatDetections[[#This Row],[Threat ID]],tblThreats[Threat ID],0)),"")</f>
        <v/>
      </c>
      <c r="G19" s="71">
        <f>IF(COUNTIF(tblDetections[Detection ID],tblThreatDetections[[#This Row],[Detection ID]])&gt;0,"Yes","No")</f>
        <v/>
      </c>
    </row>
    <row r="20" ht="36" customHeight="1" s="19">
      <c r="A20" s="70" t="inlineStr">
        <is>
          <t>TM-E-002</t>
        </is>
      </c>
      <c r="B20" s="70" t="inlineStr">
        <is>
          <t>DET-ADMIN-001</t>
        </is>
      </c>
      <c r="C20" s="71">
        <f>IFERROR(INDEX(tblThreats[Applies],MATCH(tblThreatDetections[[#This Row],[Threat ID]],tblThreats[Threat ID],0)),"NOT FOUND")</f>
        <v/>
      </c>
      <c r="D20" s="71">
        <f>IFERROR(INDEX(tblThreats[Risk],MATCH(tblThreatDetections[[#This Row],[Threat ID]],tblThreats[Threat ID],0)),"")</f>
        <v/>
      </c>
      <c r="E20" s="71">
        <f>IF(tblThreatDetections[[#This Row],[Threat applies]]="Applies",IFERROR(INDEX(tblThreats[Risk score],MATCH(tblThreatDetections[[#This Row],[Threat ID]],tblThreats[Threat ID],0)),0),0)</f>
        <v/>
      </c>
      <c r="F20" s="71">
        <f>IFERROR(INDEX(tblThreats[Mitigation status],MATCH(tblThreatDetections[[#This Row],[Threat ID]],tblThreats[Threat ID],0)),"")</f>
        <v/>
      </c>
      <c r="G20" s="71">
        <f>IF(COUNTIF(tblDetections[Detection ID],tblThreatDetections[[#This Row],[Detection ID]])&gt;0,"Yes","No")</f>
        <v/>
      </c>
    </row>
    <row r="21" ht="36" customHeight="1" s="19">
      <c r="A21" s="70" t="inlineStr">
        <is>
          <t>TM-E-003</t>
        </is>
      </c>
      <c r="B21" s="70" t="inlineStr">
        <is>
          <t>DET-HOST-001</t>
        </is>
      </c>
      <c r="C21" s="71">
        <f>IFERROR(INDEX(tblThreats[Applies],MATCH(tblThreatDetections[[#This Row],[Threat ID]],tblThreats[Threat ID],0)),"NOT FOUND")</f>
        <v/>
      </c>
      <c r="D21" s="71">
        <f>IFERROR(INDEX(tblThreats[Risk],MATCH(tblThreatDetections[[#This Row],[Threat ID]],tblThreats[Threat ID],0)),"")</f>
        <v/>
      </c>
      <c r="E21" s="71">
        <f>IF(tblThreatDetections[[#This Row],[Threat applies]]="Applies",IFERROR(INDEX(tblThreats[Risk score],MATCH(tblThreatDetections[[#This Row],[Threat ID]],tblThreats[Threat ID],0)),0),0)</f>
        <v/>
      </c>
      <c r="F21" s="71">
        <f>IFERROR(INDEX(tblThreats[Mitigation status],MATCH(tblThreatDetections[[#This Row],[Threat ID]],tblThreats[Threat ID],0)),"")</f>
        <v/>
      </c>
      <c r="G21" s="71">
        <f>IF(COUNTIF(tblDetections[Detection ID],tblThreatDetections[[#This Row],[Detection ID]])&gt;0,"Yes","No")</f>
        <v/>
      </c>
    </row>
    <row r="22" ht="36" customHeight="1" s="19">
      <c r="A22" s="70" t="inlineStr">
        <is>
          <t>TM-E-003</t>
        </is>
      </c>
      <c r="B22" s="70" t="inlineStr">
        <is>
          <t>DET-HOST-002</t>
        </is>
      </c>
      <c r="C22" s="71">
        <f>IFERROR(INDEX(tblThreats[Applies],MATCH(tblThreatDetections[[#This Row],[Threat ID]],tblThreats[Threat ID],0)),"NOT FOUND")</f>
        <v/>
      </c>
      <c r="D22" s="71">
        <f>IFERROR(INDEX(tblThreats[Risk],MATCH(tblThreatDetections[[#This Row],[Threat ID]],tblThreats[Threat ID],0)),"")</f>
        <v/>
      </c>
      <c r="E22" s="71">
        <f>IF(tblThreatDetections[[#This Row],[Threat applies]]="Applies",IFERROR(INDEX(tblThreats[Risk score],MATCH(tblThreatDetections[[#This Row],[Threat ID]],tblThreats[Threat ID],0)),0),0)</f>
        <v/>
      </c>
      <c r="F22" s="71">
        <f>IFERROR(INDEX(tblThreats[Mitigation status],MATCH(tblThreatDetections[[#This Row],[Threat ID]],tblThreats[Threat ID],0)),"")</f>
        <v/>
      </c>
      <c r="G22" s="71">
        <f>IF(COUNTIF(tblDetections[Detection ID],tblThreatDetections[[#This Row],[Detection ID]])&gt;0,"Yes","No")</f>
        <v/>
      </c>
    </row>
  </sheetData>
  <sheetProtection selectLockedCells="0" selectUnlockedCells="0" sheet="1" objects="0" insertRows="1" insertHyperlinks="1" autoFilter="0" scenarios="0" formatColumns="0" deleteColumns="1" insertColumns="1" pivotTables="1" deleteRows="1" formatCells="1" formatRows="0" sort="0"/>
  <mergeCells count="1">
    <mergeCell ref="A2:G2"/>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FF7030A0"/>
    <outlinePr summaryBelow="1" summaryRight="1"/>
    <pageSetUpPr/>
  </sheetPr>
  <dimension ref="A1:H10"/>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style="19" min="1" max="1"/>
    <col width="28" customWidth="1" style="19" min="2" max="2"/>
    <col width="42" customWidth="1" style="19" min="3" max="3"/>
    <col width="28" customWidth="1" style="19" min="4" max="4"/>
    <col width="11" customWidth="1" style="19" min="5" max="5"/>
    <col width="26" customWidth="1" style="19" min="6" max="6"/>
    <col width="8" customWidth="1" style="19" min="7" max="7"/>
    <col width="11" customWidth="1" style="19" min="8" max="8"/>
  </cols>
  <sheetData>
    <row r="1" ht="25.5" customHeight="1" s="19">
      <c r="A1" s="63" t="inlineStr">
        <is>
          <t>Log Sources (catalog — maintained centrally)</t>
        </is>
      </c>
      <c r="B1" s="64" t="n"/>
      <c r="C1" s="64" t="n"/>
      <c r="D1" s="64" t="n"/>
      <c r="E1" s="64" t="n"/>
      <c r="F1" s="64" t="n"/>
      <c r="G1" s="64" t="n"/>
      <c r="H1" s="64" t="n"/>
    </row>
    <row r="2" ht="45" customHeight="1" s="19">
      <c r="A2" s="65" t="inlineStr">
        <is>
          <t>One row per log source a detection may need. 'Available' is a live formula over the characterization answers (Yes / No / Unknown). Grey columns are calculated.</t>
        </is>
      </c>
    </row>
    <row r="3"/>
    <row r="4">
      <c r="A4" s="68" t="inlineStr">
        <is>
          <t>Log source ID</t>
        </is>
      </c>
      <c r="B4" s="68" t="inlineStr">
        <is>
          <t>Name</t>
        </is>
      </c>
      <c r="C4" s="68" t="inlineStr">
        <is>
          <t>Description</t>
        </is>
      </c>
      <c r="D4" s="68" t="inlineStr">
        <is>
          <t>Availability condition</t>
        </is>
      </c>
      <c r="E4" s="68" t="inlineStr">
        <is>
          <t>Available</t>
        </is>
      </c>
      <c r="F4" s="68" t="inlineStr">
        <is>
          <t>Needed by detections</t>
        </is>
      </c>
      <c r="G4" s="68" t="inlineStr">
        <is>
          <t>Risk score</t>
        </is>
      </c>
      <c r="H4" s="68" t="inlineStr">
        <is>
          <t>Highest threat risk</t>
        </is>
      </c>
    </row>
    <row r="5" ht="36" customHeight="1" s="19">
      <c r="A5" s="70" t="inlineStr">
        <is>
          <t>LOG-APP-AUTH</t>
        </is>
      </c>
      <c r="B5" s="70" t="inlineStr">
        <is>
          <t>Application authentication log</t>
        </is>
      </c>
      <c r="C5" s="70" t="inlineStr">
        <is>
          <t>Logins, failed logins and logouts of the application, in the central log platform.</t>
        </is>
      </c>
      <c r="D5" s="70" t="inlineStr">
        <is>
          <t>LOG_AUTH_EVENTS and LOGS_CENTRALIZED</t>
        </is>
      </c>
      <c r="E5" s="70">
        <f>IF(AND(LOG_AUTH_EVENTS="Yes",LOGS_CENTRALIZED="Yes"),"Yes",IF(OR(LOG_AUTH_EVENTS="No",LOGS_CENTRALIZED="No"),"No","Unknown"))</f>
        <v/>
      </c>
      <c r="F5" s="71">
        <f>_xlfn.TEXTJOIN("; ",TRUE,_xlfn._xlws.FILTER(tblDetections[Detection ID],(tblDetections[Relevant]="Yes")*ISNUMBER(SEARCH(";"&amp;tblLogSources[[#This Row],[Log source ID]]&amp;";",";"&amp;SUBSTITUTE(tblDetections[Required log sources]," ","")&amp;";")),""))</f>
        <v/>
      </c>
      <c r="G5" s="71">
        <f>MAX(_xlfn._xlws.FILTER(tblDetections[Risk score],(tblDetections[Relevant]="Yes")*ISNUMBER(SEARCH(";"&amp;tblLogSources[[#This Row],[Log source ID]]&amp;";",";"&amp;SUBSTITUTE(tblDetections[Required log sources]," ","")&amp;";")),0))</f>
        <v/>
      </c>
      <c r="H5" s="71">
        <f>IF(tblLogSources[[#This Row],[Risk score]]=0,"",INDEX(RISK_SCALE_NAMES,tblLogSources[[#This Row],[Risk score]]))</f>
        <v/>
      </c>
    </row>
    <row r="6" ht="36" customHeight="1" s="19">
      <c r="A6" s="70" t="inlineStr">
        <is>
          <t>LOG-APP-ADMIN</t>
        </is>
      </c>
      <c r="B6" s="70" t="inlineStr">
        <is>
          <t>Application admin audit log</t>
        </is>
      </c>
      <c r="C6" s="70" t="inlineStr">
        <is>
          <t>Administrative actions and configuration changes, in the central log platform.</t>
        </is>
      </c>
      <c r="D6" s="70" t="inlineStr">
        <is>
          <t>LOG_ADMIN_ACTIONS and LOGS_CENTRALIZED</t>
        </is>
      </c>
      <c r="E6" s="70">
        <f>IF(AND(LOG_ADMIN_ACTIONS="Yes",LOGS_CENTRALIZED="Yes"),"Yes",IF(OR(LOG_ADMIN_ACTIONS="No",LOGS_CENTRALIZED="No"),"No","Unknown"))</f>
        <v/>
      </c>
      <c r="F6" s="71">
        <f>_xlfn.TEXTJOIN("; ",TRUE,_xlfn._xlws.FILTER(tblDetections[Detection ID],(tblDetections[Relevant]="Yes")*ISNUMBER(SEARCH(";"&amp;tblLogSources[[#This Row],[Log source ID]]&amp;";",";"&amp;SUBSTITUTE(tblDetections[Required log sources]," ","")&amp;";")),""))</f>
        <v/>
      </c>
      <c r="G6" s="71">
        <f>MAX(_xlfn._xlws.FILTER(tblDetections[Risk score],(tblDetections[Relevant]="Yes")*ISNUMBER(SEARCH(";"&amp;tblLogSources[[#This Row],[Log source ID]]&amp;";",";"&amp;SUBSTITUTE(tblDetections[Required log sources]," ","")&amp;";")),0))</f>
        <v/>
      </c>
      <c r="H6" s="71">
        <f>IF(tblLogSources[[#This Row],[Risk score]]=0,"",INDEX(RISK_SCALE_NAMES,tblLogSources[[#This Row],[Risk score]]))</f>
        <v/>
      </c>
    </row>
    <row r="7" ht="36" customHeight="1" s="19">
      <c r="A7" s="70" t="inlineStr">
        <is>
          <t>LOG-WAF</t>
        </is>
      </c>
      <c r="B7" s="70" t="inlineStr">
        <is>
          <t>WAF / API gateway log</t>
        </is>
      </c>
      <c r="C7" s="70" t="inlineStr">
        <is>
          <t>Requests and responses seen by the WAF or API gateway in front of the application.</t>
        </is>
      </c>
      <c r="D7" s="70" t="inlineStr">
        <is>
          <t>WAF_IN_FRONT (not applicable when internal only)</t>
        </is>
      </c>
      <c r="E7" s="70">
        <f>IF(WAF_IN_FRONT="Yes","Yes",IF(OR(WAF_IN_FRONT="No",EXPOSURE="Internal only"),"No","Unknown"))</f>
        <v/>
      </c>
      <c r="F7" s="71">
        <f>_xlfn.TEXTJOIN("; ",TRUE,_xlfn._xlws.FILTER(tblDetections[Detection ID],(tblDetections[Relevant]="Yes")*ISNUMBER(SEARCH(";"&amp;tblLogSources[[#This Row],[Log source ID]]&amp;";",";"&amp;SUBSTITUTE(tblDetections[Required log sources]," ","")&amp;";")),""))</f>
        <v/>
      </c>
      <c r="G7" s="71">
        <f>MAX(_xlfn._xlws.FILTER(tblDetections[Risk score],(tblDetections[Relevant]="Yes")*ISNUMBER(SEARCH(";"&amp;tblLogSources[[#This Row],[Log source ID]]&amp;";",";"&amp;SUBSTITUTE(tblDetections[Required log sources]," ","")&amp;";")),0))</f>
        <v/>
      </c>
      <c r="H7" s="71">
        <f>IF(tblLogSources[[#This Row],[Risk score]]=0,"",INDEX(RISK_SCALE_NAMES,tblLogSources[[#This Row],[Risk score]]))</f>
        <v/>
      </c>
    </row>
    <row r="8" ht="36" customHeight="1" s="19">
      <c r="A8" s="70" t="inlineStr">
        <is>
          <t>LOG-HOST-EDR</t>
        </is>
      </c>
      <c r="B8" s="70" t="inlineStr">
        <is>
          <t>Host EDR telemetry</t>
        </is>
      </c>
      <c r="C8" s="70" t="inlineStr">
        <is>
          <t>Process, network and remote-session telemetry from the servers or containers.</t>
        </is>
      </c>
      <c r="D8" s="70" t="inlineStr">
        <is>
          <t>HOST_EDR (not applicable to SaaS)</t>
        </is>
      </c>
      <c r="E8" s="70">
        <f>IF(HOST_EDR="Yes","Yes",IF(OR(HOST_EDR="No",SOURCING_MODEL="SaaS (vendor infrastructure)"),"No","Unknown"))</f>
        <v/>
      </c>
      <c r="F8" s="71">
        <f>_xlfn.TEXTJOIN("; ",TRUE,_xlfn._xlws.FILTER(tblDetections[Detection ID],(tblDetections[Relevant]="Yes")*ISNUMBER(SEARCH(";"&amp;tblLogSources[[#This Row],[Log source ID]]&amp;";",";"&amp;SUBSTITUTE(tblDetections[Required log sources]," ","")&amp;";")),""))</f>
        <v/>
      </c>
      <c r="G8" s="71">
        <f>MAX(_xlfn._xlws.FILTER(tblDetections[Risk score],(tblDetections[Relevant]="Yes")*ISNUMBER(SEARCH(";"&amp;tblLogSources[[#This Row],[Log source ID]]&amp;";",";"&amp;SUBSTITUTE(tblDetections[Required log sources]," ","")&amp;";")),0))</f>
        <v/>
      </c>
      <c r="H8" s="71">
        <f>IF(tblLogSources[[#This Row],[Risk score]]=0,"",INDEX(RISK_SCALE_NAMES,tblLogSources[[#This Row],[Risk score]]))</f>
        <v/>
      </c>
    </row>
    <row r="9" ht="36" customHeight="1" s="19">
      <c r="A9" s="70" t="inlineStr">
        <is>
          <t>LOG-HOST-FIM</t>
        </is>
      </c>
      <c r="B9" s="70" t="inlineStr">
        <is>
          <t>File integrity monitoring</t>
        </is>
      </c>
      <c r="C9" s="70" t="inlineStr">
        <is>
          <t>Changes to application binaries and configuration files on the servers.</t>
        </is>
      </c>
      <c r="D9" s="70" t="inlineStr">
        <is>
          <t>HOST_FIM (not applicable to SaaS)</t>
        </is>
      </c>
      <c r="E9" s="70">
        <f>IF(HOST_FIM="Yes","Yes",IF(OR(HOST_FIM="No",SOURCING_MODEL="SaaS (vendor infrastructure)"),"No","Unknown"))</f>
        <v/>
      </c>
      <c r="F9" s="71">
        <f>_xlfn.TEXTJOIN("; ",TRUE,_xlfn._xlws.FILTER(tblDetections[Detection ID],(tblDetections[Relevant]="Yes")*ISNUMBER(SEARCH(";"&amp;tblLogSources[[#This Row],[Log source ID]]&amp;";",";"&amp;SUBSTITUTE(tblDetections[Required log sources]," ","")&amp;";")),""))</f>
        <v/>
      </c>
      <c r="G9" s="71">
        <f>MAX(_xlfn._xlws.FILTER(tblDetections[Risk score],(tblDetections[Relevant]="Yes")*ISNUMBER(SEARCH(";"&amp;tblLogSources[[#This Row],[Log source ID]]&amp;";",";"&amp;SUBSTITUTE(tblDetections[Required log sources]," ","")&amp;";")),0))</f>
        <v/>
      </c>
      <c r="H9" s="71">
        <f>IF(tblLogSources[[#This Row],[Risk score]]=0,"",INDEX(RISK_SCALE_NAMES,tblLogSources[[#This Row],[Risk score]]))</f>
        <v/>
      </c>
    </row>
    <row r="10" ht="36" customHeight="1" s="19">
      <c r="A10" s="70" t="inlineStr">
        <is>
          <t>LOG-EGRESS-PROXY</t>
        </is>
      </c>
      <c r="B10" s="70" t="inlineStr">
        <is>
          <t>Egress proxy / firewall log</t>
        </is>
      </c>
      <c r="C10" s="70" t="inlineStr">
        <is>
          <t>Outbound connections from the application hosts. No questionnaire question yet - candidate new question.</t>
        </is>
      </c>
      <c r="D10" s="70" t="inlineStr">
        <is>
          <t>No question yet (always Unknown)</t>
        </is>
      </c>
      <c r="E10" s="70">
        <f>"Unknown"</f>
        <v/>
      </c>
      <c r="F10" s="71">
        <f>_xlfn.TEXTJOIN("; ",TRUE,_xlfn._xlws.FILTER(tblDetections[Detection ID],(tblDetections[Relevant]="Yes")*ISNUMBER(SEARCH(";"&amp;tblLogSources[[#This Row],[Log source ID]]&amp;";",";"&amp;SUBSTITUTE(tblDetections[Required log sources]," ","")&amp;";")),""))</f>
        <v/>
      </c>
      <c r="G10" s="71">
        <f>MAX(_xlfn._xlws.FILTER(tblDetections[Risk score],(tblDetections[Relevant]="Yes")*ISNUMBER(SEARCH(";"&amp;tblLogSources[[#This Row],[Log source ID]]&amp;";",";"&amp;SUBSTITUTE(tblDetections[Required log sources]," ","")&amp;";")),0))</f>
        <v/>
      </c>
      <c r="H10" s="71">
        <f>IF(tblLogSources[[#This Row],[Risk score]]=0,"",INDEX(RISK_SCALE_NAMES,tblLogSources[[#This Row],[Risk score]]))</f>
        <v/>
      </c>
    </row>
  </sheetData>
  <sheetProtection selectLockedCells="0" selectUnlockedCells="0" sheet="1" objects="0" insertRows="1" insertHyperlinks="1" autoFilter="0" scenarios="0" formatColumns="0" deleteColumns="1" insertColumns="1" pivotTables="1" deleteRows="1" formatCells="1" formatRows="0" sort="0"/>
  <mergeCells count="1">
    <mergeCell ref="A2:H2"/>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FF7030A0"/>
    <outlinePr summaryBelow="1" summaryRight="1"/>
    <pageSetUpPr/>
  </sheetPr>
  <dimension ref="A1:F28"/>
  <sheetViews>
    <sheetView showGridLines="0" tabSelected="0" workbookViewId="0">
      <selection activeCell="A1" sqref="A1"/>
    </sheetView>
  </sheetViews>
  <sheetFormatPr baseColWidth="8" defaultRowHeight="15"/>
  <cols>
    <col width="34" customWidth="1" style="19" min="1" max="1"/>
    <col width="14" customWidth="1" style="19" min="2" max="2"/>
    <col width="14" customWidth="1" style="19" min="3" max="3"/>
    <col width="14" customWidth="1" style="19" min="4" max="4"/>
    <col width="14" customWidth="1" style="19" min="5" max="5"/>
    <col width="20" customWidth="1" style="19" min="6" max="6"/>
  </cols>
  <sheetData>
    <row r="1" ht="25.5" customHeight="1" s="19">
      <c r="A1" s="63" t="inlineStr">
        <is>
          <t>Threat Modeling Configuration (maintained centrally)</t>
        </is>
      </c>
      <c r="B1" s="64" t="n"/>
      <c r="C1" s="64" t="n"/>
      <c r="D1" s="64" t="n"/>
      <c r="E1" s="64" t="n"/>
      <c r="F1" s="64" t="n"/>
    </row>
    <row r="2" ht="45" customHeight="1" s="19">
      <c r="A2" s="65" t="inlineStr">
        <is>
          <t>Risk scale and matrices used by the threat model. Maintained by Security in the master template only. Base risk = Impact x Likelihood; final threat Risk = Base risk x the application's Risk Tier (APP_RISK_TIER). Proposed values — calibrate during the pilot.</t>
        </is>
      </c>
    </row>
    <row r="3"/>
    <row r="4">
      <c r="A4" s="66" t="inlineStr">
        <is>
          <t>Risk scale</t>
        </is>
      </c>
    </row>
    <row r="5">
      <c r="A5" s="68" t="inlineStr">
        <is>
          <t>Risk</t>
        </is>
      </c>
      <c r="B5" s="68" t="inlineStr">
        <is>
          <t>Score</t>
        </is>
      </c>
    </row>
    <row r="6">
      <c r="A6" s="75" t="inlineStr">
        <is>
          <t>Low</t>
        </is>
      </c>
      <c r="B6" s="75" t="n">
        <v>1</v>
      </c>
    </row>
    <row r="7">
      <c r="A7" s="75" t="inlineStr">
        <is>
          <t>Medium</t>
        </is>
      </c>
      <c r="B7" s="75" t="n">
        <v>2</v>
      </c>
    </row>
    <row r="8">
      <c r="A8" s="75" t="inlineStr">
        <is>
          <t>High</t>
        </is>
      </c>
      <c r="B8" s="75" t="n">
        <v>3</v>
      </c>
    </row>
    <row r="9">
      <c r="A9" s="75" t="inlineStr">
        <is>
          <t>Critical</t>
        </is>
      </c>
      <c r="B9" s="75" t="n">
        <v>4</v>
      </c>
    </row>
    <row r="10"/>
    <row r="11"/>
    <row r="12">
      <c r="A12" s="66" t="inlineStr">
        <is>
          <t>Base risk matrix — rows: Impact, columns: Likelihood</t>
        </is>
      </c>
    </row>
    <row r="13">
      <c r="A13" s="68" t="inlineStr"/>
      <c r="B13" s="68" t="inlineStr">
        <is>
          <t>Low</t>
        </is>
      </c>
      <c r="C13" s="68" t="inlineStr">
        <is>
          <t>Medium</t>
        </is>
      </c>
      <c r="D13" s="68" t="inlineStr">
        <is>
          <t>High</t>
        </is>
      </c>
    </row>
    <row r="14">
      <c r="A14" s="76" t="inlineStr">
        <is>
          <t>Low</t>
        </is>
      </c>
      <c r="B14" s="77" t="inlineStr">
        <is>
          <t>Low</t>
        </is>
      </c>
      <c r="C14" s="77" t="inlineStr">
        <is>
          <t>Low</t>
        </is>
      </c>
      <c r="D14" s="77" t="inlineStr">
        <is>
          <t>Medium</t>
        </is>
      </c>
    </row>
    <row r="15">
      <c r="A15" s="76" t="inlineStr">
        <is>
          <t>Medium</t>
        </is>
      </c>
      <c r="B15" s="77" t="inlineStr">
        <is>
          <t>Low</t>
        </is>
      </c>
      <c r="C15" s="77" t="inlineStr">
        <is>
          <t>Medium</t>
        </is>
      </c>
      <c r="D15" s="77" t="inlineStr">
        <is>
          <t>High</t>
        </is>
      </c>
    </row>
    <row r="16">
      <c r="A16" s="76" t="inlineStr">
        <is>
          <t>High</t>
        </is>
      </c>
      <c r="B16" s="77" t="inlineStr">
        <is>
          <t>Medium</t>
        </is>
      </c>
      <c r="C16" s="77" t="inlineStr">
        <is>
          <t>High</t>
        </is>
      </c>
      <c r="D16" s="77" t="inlineStr">
        <is>
          <t>Critical</t>
        </is>
      </c>
    </row>
    <row r="17"/>
    <row r="18"/>
    <row r="19">
      <c r="A19" s="66" t="inlineStr">
        <is>
          <t>Final risk matrix — rows: Base risk, columns: Application Risk Tier (APP_RISK_TIER)</t>
        </is>
      </c>
    </row>
    <row r="20">
      <c r="A20" s="68" t="inlineStr"/>
      <c r="B20" s="68" t="inlineStr">
        <is>
          <t>Low</t>
        </is>
      </c>
      <c r="C20" s="68" t="inlineStr">
        <is>
          <t>Medium</t>
        </is>
      </c>
      <c r="D20" s="68" t="inlineStr">
        <is>
          <t>High</t>
        </is>
      </c>
      <c r="E20" s="68" t="inlineStr">
        <is>
          <t>Critical</t>
        </is>
      </c>
    </row>
    <row r="21">
      <c r="A21" s="76" t="inlineStr">
        <is>
          <t>Low</t>
        </is>
      </c>
      <c r="B21" s="77" t="inlineStr">
        <is>
          <t>Low</t>
        </is>
      </c>
      <c r="C21" s="77" t="inlineStr">
        <is>
          <t>Low</t>
        </is>
      </c>
      <c r="D21" s="77" t="inlineStr">
        <is>
          <t>Low</t>
        </is>
      </c>
      <c r="E21" s="77" t="inlineStr">
        <is>
          <t>Medium</t>
        </is>
      </c>
    </row>
    <row r="22">
      <c r="A22" s="76" t="inlineStr">
        <is>
          <t>Medium</t>
        </is>
      </c>
      <c r="B22" s="77" t="inlineStr">
        <is>
          <t>Low</t>
        </is>
      </c>
      <c r="C22" s="77" t="inlineStr">
        <is>
          <t>Medium</t>
        </is>
      </c>
      <c r="D22" s="77" t="inlineStr">
        <is>
          <t>Medium</t>
        </is>
      </c>
      <c r="E22" s="77" t="inlineStr">
        <is>
          <t>High</t>
        </is>
      </c>
    </row>
    <row r="23">
      <c r="A23" s="76" t="inlineStr">
        <is>
          <t>High</t>
        </is>
      </c>
      <c r="B23" s="77" t="inlineStr">
        <is>
          <t>Medium</t>
        </is>
      </c>
      <c r="C23" s="77" t="inlineStr">
        <is>
          <t>High</t>
        </is>
      </c>
      <c r="D23" s="77" t="inlineStr">
        <is>
          <t>High</t>
        </is>
      </c>
      <c r="E23" s="77" t="inlineStr">
        <is>
          <t>Critical</t>
        </is>
      </c>
    </row>
    <row r="24">
      <c r="A24" s="76" t="inlineStr">
        <is>
          <t>Critical</t>
        </is>
      </c>
      <c r="B24" s="77" t="inlineStr">
        <is>
          <t>High</t>
        </is>
      </c>
      <c r="C24" s="77" t="inlineStr">
        <is>
          <t>High</t>
        </is>
      </c>
      <c r="D24" s="77" t="inlineStr">
        <is>
          <t>Critical</t>
        </is>
      </c>
      <c r="E24" s="77" t="inlineStr">
        <is>
          <t>Critical</t>
        </is>
      </c>
    </row>
    <row r="25"/>
    <row r="26"/>
    <row r="27">
      <c r="A27" s="66" t="inlineStr">
        <is>
          <t>Sigma rules base URL</t>
        </is>
      </c>
      <c r="B27" s="78" t="inlineStr">
        <is>
          <t>https://github.com/Zzanoni/app-hardening-baseline/blob/main/</t>
        </is>
      </c>
    </row>
    <row r="28">
      <c r="A28" s="79" t="inlineStr">
        <is>
          <t>Prefix added to each detection's 'Sigma rule' path to build its link. Point it to your own copy of the repository.</t>
        </is>
      </c>
    </row>
  </sheetData>
  <sheetProtection selectLockedCells="0" selectUnlockedCells="0" sheet="1" objects="0" insertRows="1" insertHyperlinks="1" autoFilter="0" scenarios="0" formatColumns="0" deleteColumns="1" insertColumns="1" pivotTables="1" deleteRows="1" formatCells="1" formatRows="0" sort="0"/>
  <mergeCells count="2">
    <mergeCell ref="A2:F2"/>
    <mergeCell ref="B27:F27"/>
  </mergeCells>
  <pageMargins left="0.75" right="0.75" top="1" bottom="1" header="0.5" footer="0.5"/>
</worksheet>
</file>

<file path=xl/worksheets/sheet17.xml><?xml version="1.0" encoding="utf-8"?>
<worksheet xmlns="http://schemas.openxmlformats.org/spreadsheetml/2006/main">
  <sheetPr>
    <tabColor rgb="FF2E75B6"/>
    <outlinePr summaryBelow="1" summaryRight="1"/>
    <pageSetUpPr/>
  </sheetPr>
  <dimension ref="A1:C26"/>
  <sheetViews>
    <sheetView showGridLines="0" tabSelected="0" workbookViewId="0">
      <selection activeCell="A1" sqref="A1"/>
    </sheetView>
  </sheetViews>
  <sheetFormatPr baseColWidth="8" defaultRowHeight="15"/>
  <cols>
    <col width="62" customWidth="1" style="19" min="1" max="1"/>
    <col width="10" customWidth="1" style="19" min="2" max="2"/>
    <col width="70" customWidth="1" style="19" min="3" max="3"/>
  </cols>
  <sheetData>
    <row r="1" ht="25.5" customHeight="1" s="19">
      <c r="A1" s="63" t="inlineStr">
        <is>
          <t>Catalog Health</t>
        </is>
      </c>
      <c r="B1" s="64" t="n"/>
      <c r="C1" s="64" t="n"/>
    </row>
    <row r="2" ht="45" customHeight="1" s="19">
      <c r="A2" s="65" t="inlineStr">
        <is>
          <t>Consistency checks over the threat catalog and control sheets. The master template must show OK before any change is committed. Each check shows how many problems it found and which IDs.</t>
        </is>
      </c>
    </row>
    <row r="3"/>
    <row r="4">
      <c r="A4" s="66" t="inlineStr">
        <is>
          <t>Overall</t>
        </is>
      </c>
      <c r="B4" s="67" cm="1">
        <f t="array" ref="B4">IF(SUM(B6:B26)=0,"OK","Issues found")</f>
        <v/>
      </c>
    </row>
    <row r="5">
      <c r="A5" s="68" t="inlineStr">
        <is>
          <t>Check</t>
        </is>
      </c>
      <c r="B5" s="68" t="inlineStr">
        <is>
          <t>Issues</t>
        </is>
      </c>
      <c r="C5" s="68" t="inlineStr">
        <is>
          <t>Offending IDs</t>
        </is>
      </c>
    </row>
    <row r="6" ht="28" customHeight="1" s="19">
      <c r="A6" s="80" t="inlineStr">
        <is>
          <t>1a. Duplicate IDs in Threat Library</t>
        </is>
      </c>
      <c r="B6" s="81" cm="1">
        <f t="array" ref="B6">SUMPRODUCT((tblThreats[Threat ID]&lt;&gt;"")*(COUNTIF(tblThreats[Threat ID],tblThreats[Threat ID])&gt;1))</f>
        <v/>
      </c>
      <c r="C6" s="80" cm="1">
        <f t="array" ref="C6">_xlfn.TEXTJOIN("; ",TRUE,IFERROR(_xlfn.UNIQUE(_xlfn._xlws.FILTER(tblThreats[Threat ID],(tblThreats[Threat ID]&lt;&gt;"")*(COUNTIF(tblThreats[Threat ID],tblThreats[Threat ID])&gt;1),"")),""))</f>
        <v/>
      </c>
    </row>
    <row r="7" ht="28" customHeight="1" s="19">
      <c r="A7" s="80" t="inlineStr">
        <is>
          <t>1b. Duplicate IDs in Detections</t>
        </is>
      </c>
      <c r="B7" s="81" cm="1">
        <f t="array" ref="B7">SUMPRODUCT((tblDetections[Detection ID]&lt;&gt;"")*(COUNTIF(tblDetections[Detection ID],tblDetections[Detection ID])&gt;1))</f>
        <v/>
      </c>
      <c r="C7" s="80" cm="1">
        <f t="array" ref="C7">_xlfn.TEXTJOIN("; ",TRUE,IFERROR(_xlfn.UNIQUE(_xlfn._xlws.FILTER(tblDetections[Detection ID],(tblDetections[Detection ID]&lt;&gt;"")*(COUNTIF(tblDetections[Detection ID],tblDetections[Detection ID])&gt;1),"")),""))</f>
        <v/>
      </c>
    </row>
    <row r="8" ht="28" customHeight="1" s="19">
      <c r="A8" s="80" t="inlineStr">
        <is>
          <t>1c. Duplicate IDs in Log Sources</t>
        </is>
      </c>
      <c r="B8" s="81" cm="1">
        <f t="array" ref="B8">SUMPRODUCT((tblLogSources[Log source ID]&lt;&gt;"")*(COUNTIF(tblLogSources[Log source ID],tblLogSources[Log source ID])&gt;1))</f>
        <v/>
      </c>
      <c r="C8" s="80" cm="1">
        <f t="array" ref="C8">_xlfn.TEXTJOIN("; ",TRUE,IFERROR(_xlfn.UNIQUE(_xlfn._xlws.FILTER(tblLogSources[Log source ID],(tblLogSources[Log source ID]&lt;&gt;"")*(COUNTIF(tblLogSources[Log source ID],tblLogSources[Log source ID])&gt;1),"")),""))</f>
        <v/>
      </c>
    </row>
    <row r="9" ht="28" customHeight="1" s="19">
      <c r="A9" s="80" t="inlineStr">
        <is>
          <t>1d. Duplicate IDs in Custom Controls</t>
        </is>
      </c>
      <c r="B9" s="81" cm="1">
        <f t="array" ref="B9">SUMPRODUCT((CC_IDS&lt;&gt;"")*(COUNTIF(CC_IDS,CC_IDS)&gt;1))</f>
        <v/>
      </c>
      <c r="C9" s="80" cm="1">
        <f t="array" ref="C9">_xlfn.TEXTJOIN("; ",TRUE,IFERROR(_xlfn.UNIQUE(_xlfn._xlws.FILTER(CC_IDS,(CC_IDS&lt;&gt;"")*(COUNTIF(CC_IDS,CC_IDS)&gt;1),"")),""))</f>
        <v/>
      </c>
    </row>
    <row r="10" ht="28" customHeight="1" s="19">
      <c r="A10" s="80" t="inlineStr">
        <is>
          <t>2. Threat-Control Map rows whose Threat ID is not in Threat Library</t>
        </is>
      </c>
      <c r="B10" s="81" cm="1">
        <f t="array" ref="B10">COUNTIF(tblThreatControls[Threat applies],"NOT FOUND")</f>
        <v/>
      </c>
      <c r="C10" s="80" cm="1">
        <f t="array" ref="C10">_xlfn.TEXTJOIN("; ",TRUE,_xlfn._xlws.FILTER(tblThreatControls[Threat ID],tblThreatControls[Threat applies]="NOT FOUND",""))</f>
        <v/>
      </c>
    </row>
    <row r="11" ht="28" customHeight="1" s="19">
      <c r="A11" s="80" t="inlineStr">
        <is>
          <t>3. Threat-Control Map rows whose Control ID is not found</t>
        </is>
      </c>
      <c r="B11" s="81" cm="1">
        <f t="array" ref="B11">COUNTIF(tblThreatControls[Control source],"NOT FOUND")</f>
        <v/>
      </c>
      <c r="C11" s="80" cm="1">
        <f t="array" ref="C11">_xlfn.TEXTJOIN("; ",TRUE,_xlfn._xlws.FILTER(tblThreatControls[Control ID],tblThreatControls[Control source]="NOT FOUND",""))</f>
        <v/>
      </c>
    </row>
    <row r="12" ht="28" customHeight="1" s="19">
      <c r="A12" s="80" t="inlineStr">
        <is>
          <t>4a. Threat-Detection Map rows whose Detection ID is not in Detections</t>
        </is>
      </c>
      <c r="B12" s="81" cm="1">
        <f t="array" ref="B12">COUNTIF(tblThreatDetections[Detection found],"No")</f>
        <v/>
      </c>
      <c r="C12" s="80" cm="1">
        <f t="array" ref="C12">_xlfn.TEXTJOIN("; ",TRUE,_xlfn._xlws.FILTER(tblThreatDetections[Detection ID],tblThreatDetections[Detection found]="No",""))</f>
        <v/>
      </c>
    </row>
    <row r="13" ht="28" customHeight="1" s="19">
      <c r="A13" s="80" t="inlineStr">
        <is>
          <t>4b. Threat-Detection Map rows whose Threat ID is not in Threat Library</t>
        </is>
      </c>
      <c r="B13" s="81" cm="1">
        <f t="array" ref="B13">COUNTIF(tblThreatDetections[Threat applies],"NOT FOUND")</f>
        <v/>
      </c>
      <c r="C13" s="80" cm="1">
        <f t="array" ref="C13">_xlfn.TEXTJOIN("; ",TRUE,_xlfn._xlws.FILTER(tblThreatDetections[Threat ID],tblThreatDetections[Threat applies]="NOT FOUND",""))</f>
        <v/>
      </c>
    </row>
    <row r="14" ht="28" customHeight="1" s="19">
      <c r="A14" s="80" t="inlineStr">
        <is>
          <t>5. Threats with no linked control</t>
        </is>
      </c>
      <c r="B14" s="81" cm="1">
        <f t="array" ref="B14">COUNTIF(tblThreats[Controls linked],0)</f>
        <v/>
      </c>
      <c r="C14" s="80" cm="1">
        <f t="array" ref="C14">_xlfn.TEXTJOIN("; ",TRUE,_xlfn._xlws.FILTER(tblThreats[Threat ID],tblThreats[Controls linked]=0,""))</f>
        <v/>
      </c>
    </row>
    <row r="15" ht="28" customHeight="1" s="19">
      <c r="A15" s="80" t="inlineStr">
        <is>
          <t>6. Threats with no linked detection (and no 'No detection:' justification in Notes)</t>
        </is>
      </c>
      <c r="B15" s="81" cm="1">
        <f t="array" ref="B15">SUMPRODUCT((tblThreats[Detections linked]=0)*ISERROR(SEARCH("No detection:",tblThreats[Notes])))</f>
        <v/>
      </c>
      <c r="C15" s="80" cm="1">
        <f t="array" ref="C15">_xlfn.TEXTJOIN("; ",TRUE,_xlfn._xlws.FILTER(tblThreats[Threat ID],(tblThreats[Detections linked]=0)*ISERROR(SEARCH("No detection:",tblThreats[Notes])),""))</f>
        <v/>
      </c>
    </row>
    <row r="16" ht="28" customHeight="1" s="19">
      <c r="A16" s="80" t="inlineStr">
        <is>
          <t>7. Detections whose required log sources are not in Log Sources</t>
        </is>
      </c>
      <c r="B16" s="81" cm="1">
        <f t="array" ref="B16">COUNTIF(tblDetections[Log sources known],"No")</f>
        <v/>
      </c>
      <c r="C16" s="80" cm="1">
        <f t="array" ref="C16">_xlfn.TEXTJOIN("; ",TRUE,_xlfn._xlws.FILTER(tblDetections[Detection ID],tblDetections[Log sources known]="No",""))</f>
        <v/>
      </c>
    </row>
    <row r="17" ht="28" customHeight="1" s="19">
      <c r="A17" s="80" t="inlineStr">
        <is>
          <t>8. Threats with archetype IDs not in Archetypes</t>
        </is>
      </c>
      <c r="B17" s="81" cm="1">
        <f t="array" ref="B17">COUNTIF(tblThreats[Archetypes valid],"No")</f>
        <v/>
      </c>
      <c r="C17" s="80" cm="1">
        <f t="array" ref="C17">_xlfn.TEXTJOIN("; ",TRUE,_xlfn._xlws.FILTER(tblThreats[Threat ID],tblThreats[Archetypes valid]="No",""))</f>
        <v/>
      </c>
    </row>
    <row r="18" ht="28" customHeight="1" s="19">
      <c r="A18" s="80" t="inlineStr">
        <is>
          <t>9a. Threat applicability formulas returning an error</t>
        </is>
      </c>
      <c r="B18" s="81" cm="1">
        <f t="array" ref="B18">COUNTIF(tblThreats[Applies],"Error")</f>
        <v/>
      </c>
      <c r="C18" s="80" cm="1">
        <f t="array" ref="C18">_xlfn.TEXTJOIN("; ",TRUE,_xlfn._xlws.FILTER(tblThreats[Threat ID],tblThreats[Applies]="Error",""))</f>
        <v/>
      </c>
    </row>
    <row r="19" ht="28" customHeight="1" s="19">
      <c r="A19" s="80" t="inlineStr">
        <is>
          <t>9b. Log source availability formulas returning an error</t>
        </is>
      </c>
      <c r="B19" s="81" cm="1">
        <f t="array" ref="B19">SUMPRODUCT(--ISERROR(tblLogSources[Available]))</f>
        <v/>
      </c>
      <c r="C19" s="80" cm="1">
        <f t="array" ref="C19">_xlfn.TEXTJOIN("; ",TRUE,_xlfn._xlws.FILTER(tblLogSources[Log source ID],ISERROR(tblLogSources[Available]),""))</f>
        <v/>
      </c>
    </row>
    <row r="20" ht="28" customHeight="1" s="19">
      <c r="A20" s="80" t="inlineStr">
        <is>
          <t>9c. Custom Controls applicability formulas returning an error</t>
        </is>
      </c>
      <c r="B20" s="81" cm="1">
        <f t="array" ref="B20">SUMPRODUCT(--ISERROR(CC_FORMULA))</f>
        <v/>
      </c>
      <c r="C20" s="80" cm="1">
        <f t="array" ref="C20">_xlfn.TEXTJOIN("; ",TRUE,_xlfn._xlws.FILTER(CC_IDS,ISERROR(CC_FORMULA),""))</f>
        <v/>
      </c>
    </row>
    <row r="21" ht="28" customHeight="1" s="19">
      <c r="A21" s="80" t="inlineStr">
        <is>
          <t>9d. Other formula errors (calculated columns, characterization, control sheets)</t>
        </is>
      </c>
      <c r="B21" s="81" cm="1">
        <f t="array" ref="B21">SUMPRODUCT(--ISERROR(tblThreats))-SUMPRODUCT(--ISERROR(tblThreats[Applicability formula]))+SUMPRODUCT(--ISERROR(tblThreatControls))+SUMPRODUCT(--ISERROR(tblDetections))+SUMPRODUCT(--ISERROR(tblThreatDetections))+SUMPRODUCT(--ISERROR(tblLogSources))-SUMPRODUCT(--ISERROR(tblLogSources[Available]))+SUMPRODUCT(--ISERROR('Characterization Form'!$D$17:$D$22))+SUMPRODUCT(--ISERROR('Extended Characterization'!$D$5:$I$90))+SUMPRODUCT(--ISERROR('Hardening Baseline'!$C$5:$V$124))+SUMPRODUCT(--ISERROR('Custom Controls'!$H$5:$V$204))</f>
        <v/>
      </c>
      <c r="C21" s="80" cm="1">
        <f t="array" ref="C21">IF(B21=0,"","See sheets: "&amp;IF(SUMPRODUCT(--ISERROR(tblThreatControls))&gt;0,"Threat-Control Map; ","")&amp;IF(SUMPRODUCT(--ISERROR(tblDetections))&gt;0,"Detections; ","")&amp;IF(SUMPRODUCT(--ISERROR('Hardening Baseline'!$C$5:$V$124))&gt;0,"Hardening Baseline; ","")&amp;IF(SUMPRODUCT(--ISERROR('Custom Controls'!$H$5:$V$204))&gt;0,"Custom Controls; ","")&amp;IF(SUMPRODUCT(--ISERROR('Extended Characterization'!$D$5:$I$90))&gt;0,"Extended Characterization; ",""))</f>
        <v/>
      </c>
    </row>
    <row r="22" ht="28" customHeight="1" s="19">
      <c r="A22" s="80" t="inlineStr">
        <is>
          <t>10. Threats without Likelihood / Impact</t>
        </is>
      </c>
      <c r="B22" s="81" cm="1">
        <f t="array" ref="B22">COUNTIF(tblThreats[Base risk],"")</f>
        <v/>
      </c>
      <c r="C22" s="80" cm="1">
        <f t="array" ref="C22">_xlfn.TEXTJOIN("; ",TRUE,_xlfn._xlws.FILTER(tblThreats[Threat ID],tblThreats[Base risk]="",""))</f>
        <v/>
      </c>
    </row>
    <row r="23">
      <c r="A23" s="80" t="inlineStr">
        <is>
          <t>11a. Duplicate IDs in Hardening Baseline</t>
        </is>
      </c>
      <c r="B23" s="81" cm="1">
        <f t="array" ref="B23">SUMPRODUCT((BL_IDS&lt;&gt;"")*(COUNTIF(BL_IDS,BL_IDS)&gt;1))</f>
        <v/>
      </c>
      <c r="C23" s="80" cm="1">
        <f t="array" ref="C23">_xlfn.TEXTJOIN("; ",TRUE,IFERROR(_xlfn.UNIQUE(_xlfn._xlws.FILTER(BL_IDS,(BL_IDS&lt;&gt;"")*(COUNTIF(BL_IDS,BL_IDS)&gt;1),"")),""))</f>
        <v/>
      </c>
    </row>
    <row r="24">
      <c r="A24" s="80" t="inlineStr">
        <is>
          <t>11b. ASVS requirements not traced to a baseline control (blank or unknown ID in 'ASVS Checklist' column I)</t>
        </is>
      </c>
      <c r="B24" s="81" cm="1">
        <f t="array" ref="B24">SUMPRODUCT((MT_BASELINE="")+(MT_BASELINE&lt;&gt;"")*(MT_BASELINE&lt;&gt;"Excluded")*ISNA(MATCH(MT_BASELINE,BL_IDS,0)))</f>
        <v/>
      </c>
      <c r="C24" s="80" cm="1">
        <f t="array" ref="C24">_xlfn.TEXTJOIN("; ",TRUE,_xlfn._xlws.FILTER(MT_IDS,(MT_BASELINE="")+(MT_BASELINE&lt;&gt;"")*(MT_BASELINE&lt;&gt;"Excluded")*ISNA(MATCH(MT_BASELINE,BL_IDS,0)),""))</f>
        <v/>
      </c>
    </row>
    <row r="25">
      <c r="A25" s="80" t="inlineStr">
        <is>
          <t>11c. Excluded ASVS requirements without a rationale</t>
        </is>
      </c>
      <c r="B25" s="81" cm="1">
        <f t="array" ref="B25">SUMPRODUCT((MT_BASELINE="Excluded")*(MT_EXCLUSION=""))</f>
        <v/>
      </c>
      <c r="C25" s="80" cm="1">
        <f t="array" ref="C25">_xlfn.TEXTJOIN("; ",TRUE,_xlfn._xlws.FILTER(MT_IDS,(MT_BASELINE="Excluded")*(MT_EXCLUSION=""),""))</f>
        <v/>
      </c>
    </row>
    <row r="26">
      <c r="A26" s="80" t="inlineStr">
        <is>
          <t>11d. Baseline controls with no ASVS requirement</t>
        </is>
      </c>
      <c r="B26" s="81" cm="1">
        <f t="array" ref="B26">SUMPRODUCT((BL_IDS&lt;&gt;"")*(COUNTIF(MT_BASELINE,BL_IDS)=0))</f>
        <v/>
      </c>
      <c r="C26" s="80" cm="1">
        <f t="array" ref="C26">_xlfn.TEXTJOIN("; ",TRUE,_xlfn._xlws.FILTER(BL_IDS,(BL_IDS&lt;&gt;"")*(COUNTIF(MT_BASELINE,BL_IDS)=0),""))</f>
        <v/>
      </c>
    </row>
  </sheetData>
  <mergeCells count="1">
    <mergeCell ref="A2:C2"/>
  </mergeCells>
  <conditionalFormatting sqref="B4">
    <cfRule type="cellIs" priority="1" operator="equal" dxfId="13">
      <formula>"OK"</formula>
    </cfRule>
    <cfRule type="cellIs" priority="2" operator="equal" dxfId="9">
      <formula>"Issues found"</formula>
    </cfRule>
  </conditionalFormatting>
  <conditionalFormatting sqref="B6:B22">
    <cfRule type="cellIs" priority="3" operator="greaterThan" dxfId="9">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showGridLines="0" tabSelected="0" workbookViewId="0">
      <pane ySplit="4" topLeftCell="A5" activePane="bottomLeft" state="frozen"/>
      <selection pane="bottomLeft" activeCell="A1" sqref="A1"/>
    </sheetView>
  </sheetViews>
  <sheetFormatPr baseColWidth="8" defaultRowHeight="15"/>
  <cols>
    <col width="26" customWidth="1" style="19" min="1" max="1"/>
    <col width="40" customWidth="1" style="19" min="2" max="2"/>
    <col width="80" customWidth="1" style="19" min="3" max="3"/>
  </cols>
  <sheetData>
    <row r="1" ht="25.5" customHeight="1" s="19">
      <c r="A1" s="20" t="inlineStr">
        <is>
          <t>Architecture Archetypes — reference (read-only)</t>
        </is>
      </c>
    </row>
    <row r="2" ht="48" customHeight="1" s="19">
      <c r="A2" s="23" t="inlineStr">
        <is>
          <t>Plain-language description of each architecture pattern offered in the ARCHETYPE_PRIMARY / ARCHETYPE_SECONDARY questions of 'Extended Characterization'. Pick the one that best describes the application; if none fits, answer 'None of these fits' (the application then goes to Security review). Threats in 'Threat Library' can be limited to some archetypes by listing these IDs. Maintained centrally in the master template - do not edit it in an application copy.</t>
        </is>
      </c>
    </row>
    <row r="3"/>
    <row r="4" ht="21.75" customHeight="1" s="19">
      <c r="A4" s="24" t="inlineStr">
        <is>
          <t>Archetype ID</t>
        </is>
      </c>
      <c r="B4" s="24" t="inlineStr">
        <is>
          <t>Name</t>
        </is>
      </c>
      <c r="C4" s="24" t="inlineStr">
        <is>
          <t>Description (plain language)</t>
        </is>
      </c>
    </row>
    <row r="5" ht="30" customHeight="1" s="19">
      <c r="A5" s="29" t="inlineStr">
        <is>
          <t>ARCH-WEB-INTERNAL</t>
        </is>
      </c>
      <c r="B5" s="30" t="inlineStr">
        <is>
          <t>Internal web application</t>
        </is>
      </c>
      <c r="C5" s="30" t="inlineStr">
        <is>
          <t>Browser application used by employees inside the company network.</t>
        </is>
      </c>
    </row>
    <row r="6" ht="30" customHeight="1" s="19">
      <c r="A6" s="29" t="inlineStr">
        <is>
          <t>ARCH-WEB-PUBLIC</t>
        </is>
      </c>
      <c r="B6" s="30" t="inlineStr">
        <is>
          <t>Public web application / portal</t>
        </is>
      </c>
      <c r="C6" s="30" t="inlineStr">
        <is>
          <t>Browser application reachable from the internet (customers or public).</t>
        </is>
      </c>
    </row>
    <row r="7" ht="30" customHeight="1" s="19">
      <c r="A7" s="29" t="inlineStr">
        <is>
          <t>ARCH-API-PARTNER</t>
        </is>
      </c>
      <c r="B7" s="30" t="inlineStr">
        <is>
          <t>API for partners</t>
        </is>
      </c>
      <c r="C7" s="30" t="inlineStr">
        <is>
          <t>API consumed by external partner systems.</t>
        </is>
      </c>
    </row>
    <row r="8" ht="30" customHeight="1" s="19">
      <c r="A8" s="29" t="inlineStr">
        <is>
          <t>ARCH-API-INTERNAL</t>
        </is>
      </c>
      <c r="B8" s="30" t="inlineStr">
        <is>
          <t>Internal API / service</t>
        </is>
      </c>
      <c r="C8" s="30" t="inlineStr">
        <is>
          <t>API consumed only by other internal systems.</t>
        </is>
      </c>
    </row>
    <row r="9" ht="30" customHeight="1" s="19">
      <c r="A9" s="29" t="inlineStr">
        <is>
          <t>ARCH-MOBILE-BACKEND</t>
        </is>
      </c>
      <c r="B9" s="30" t="inlineStr">
        <is>
          <t>Mobile app backend</t>
        </is>
      </c>
      <c r="C9" s="30" t="inlineStr">
        <is>
          <t>Server side that supports a mobile app.</t>
        </is>
      </c>
    </row>
    <row r="10" ht="30" customHeight="1" s="19">
      <c r="A10" s="29" t="inlineStr">
        <is>
          <t>ARCH-BATCH-FILE</t>
        </is>
      </c>
      <c r="B10" s="30" t="inlineStr">
        <is>
          <t>Batch / file integration</t>
        </is>
      </c>
      <c r="C10" s="30" t="inlineStr">
        <is>
          <t>Scheduled jobs exchanging files (SFTP, shared folders, storage).</t>
        </is>
      </c>
    </row>
    <row r="11" ht="30" customHeight="1" s="19">
      <c r="A11" s="29" t="inlineStr">
        <is>
          <t>ARCH-ASYNC-MESSAGING</t>
        </is>
      </c>
      <c r="B11" s="30" t="inlineStr">
        <is>
          <t>Asynchronous / event processing</t>
        </is>
      </c>
      <c r="C11" s="30" t="inlineStr">
        <is>
          <t>Consumes or produces messages or events via queues/topics.</t>
        </is>
      </c>
    </row>
    <row r="12" ht="30" customHeight="1" s="19">
      <c r="A12" s="29" t="inlineStr">
        <is>
          <t>ARCH-COTS-HOSTED-WEB</t>
        </is>
      </c>
      <c r="B12" s="30" t="inlineStr">
        <is>
          <t>Vendor product hosted by us</t>
        </is>
      </c>
      <c r="C12" s="30" t="inlineStr">
        <is>
          <t>Third-party software installed and run on our infrastructure.</t>
        </is>
      </c>
    </row>
    <row r="13" ht="30" customHeight="1" s="19">
      <c r="A13" s="29" t="inlineStr">
        <is>
          <t>ARCH-COTS-CUSTOMIZED</t>
        </is>
      </c>
      <c r="B13" s="30" t="inlineStr">
        <is>
          <t>Vendor product with our customizations</t>
        </is>
      </c>
      <c r="C13" s="30" t="inlineStr">
        <is>
          <t>As above, plus plugins/scripts/extensions developed by us.</t>
        </is>
      </c>
    </row>
    <row r="14" ht="30" customHeight="1" s="19">
      <c r="A14" s="29" t="inlineStr">
        <is>
          <t>ARCH-VENDOR-APPLIANCE</t>
        </is>
      </c>
      <c r="B14" s="30" t="inlineStr">
        <is>
          <t>Vendor appliance</t>
        </is>
      </c>
      <c r="C14" s="30" t="inlineStr">
        <is>
          <t>Physical or virtual appliance supplied as a closed box by the vendor.</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2"/>
  <sheetViews>
    <sheetView showGridLines="0" tabSelected="0" workbookViewId="0">
      <selection activeCell="A1" sqref="A1"/>
    </sheetView>
  </sheetViews>
  <sheetFormatPr baseColWidth="8" defaultRowHeight="15"/>
  <cols>
    <col width="40" customWidth="1" style="19" min="1" max="1"/>
    <col width="40" customWidth="1" style="19" min="2" max="2"/>
    <col width="40" customWidth="1" style="19" min="3" max="3"/>
    <col width="40" customWidth="1" style="19" min="4" max="4"/>
    <col width="40" customWidth="1" style="19" min="5" max="5"/>
    <col width="40" customWidth="1" style="19" min="6" max="6"/>
    <col width="40" customWidth="1" style="19" min="7" max="7"/>
    <col width="40" customWidth="1" style="19" min="8" max="8"/>
    <col width="40" customWidth="1" style="19" min="9" max="9"/>
    <col width="40" customWidth="1" style="19" min="10" max="10"/>
    <col width="40" customWidth="1" style="19" min="11" max="11"/>
    <col width="40" customWidth="1" style="19" min="12" max="12"/>
    <col width="40" customWidth="1" style="19" min="13" max="13"/>
    <col width="26" customWidth="1" style="19" min="14" max="14"/>
    <col width="26" customWidth="1" style="19" min="15" max="15"/>
    <col width="26" customWidth="1" style="19" min="16" max="16"/>
    <col width="26" customWidth="1" style="19" min="17" max="17"/>
    <col width="26" customWidth="1" style="19" min="18" max="18"/>
    <col width="26" customWidth="1" style="19" min="19" max="19"/>
  </cols>
  <sheetData>
    <row r="1">
      <c r="A1" s="61" t="inlineStr">
        <is>
          <t>LIST_ADMIN_INTERFACE_REACH</t>
        </is>
      </c>
      <c r="B1" s="61" t="inlineStr">
        <is>
          <t>LIST_API_AUTH</t>
        </is>
      </c>
      <c r="C1" s="61" t="inlineStr">
        <is>
          <t>LIST_ARCHETYPES</t>
        </is>
      </c>
      <c r="D1" s="61" t="inlineStr">
        <is>
          <t>LIST_ARCHETYPE_PRIMARY</t>
        </is>
      </c>
      <c r="E1" s="61" t="inlineStr">
        <is>
          <t>LIST_ARCHETYPE_SECONDARY</t>
        </is>
      </c>
      <c r="F1" s="61" t="inlineStr">
        <is>
          <t>LIST_AUTH_MFA</t>
        </is>
      </c>
      <c r="G1" s="61" t="inlineStr">
        <is>
          <t>LIST_HOSTING</t>
        </is>
      </c>
      <c r="H1" s="61" t="inlineStr">
        <is>
          <t>LIST_LIFECYCLE_STATUS</t>
        </is>
      </c>
      <c r="I1" s="61" t="inlineStr">
        <is>
          <t>LIST_PATCH_RESPONSIBILITY</t>
        </is>
      </c>
      <c r="J1" s="61" t="inlineStr">
        <is>
          <t>LIST_SOURCING_MODEL</t>
        </is>
      </c>
      <c r="K1" s="61" t="inlineStr">
        <is>
          <t>LIST_VENDOR_REMOTE_ACCESS</t>
        </is>
      </c>
      <c r="L1" s="61" t="inlineStr">
        <is>
          <t>LIST_YN</t>
        </is>
      </c>
      <c r="M1" s="61" t="inlineStr">
        <is>
          <t>LIST_YND</t>
        </is>
      </c>
      <c r="N1" s="61" t="inlineStr">
        <is>
          <t>LIST_STRIDE</t>
        </is>
      </c>
      <c r="O1" s="61" t="inlineStr">
        <is>
          <t>LIST_LMH</t>
        </is>
      </c>
      <c r="P1" s="61" t="inlineStr">
        <is>
          <t>LIST_REVIEW_STATUS</t>
        </is>
      </c>
      <c r="Q1" s="61" t="inlineStr">
        <is>
          <t>LIST_DEPLOYMENT_STATUS</t>
        </is>
      </c>
      <c r="R1" s="61" t="inlineStr">
        <is>
          <t>LIST_REMEDIATION_OWNER</t>
        </is>
      </c>
      <c r="S1" s="61" t="inlineStr">
        <is>
          <t>LIST_MITIGATION_STATUS</t>
        </is>
      </c>
    </row>
    <row r="2">
      <c r="A2" s="18" t="inlineStr">
        <is>
          <t>Internet</t>
        </is>
      </c>
      <c r="B2" s="18" t="inlineStr">
        <is>
          <t>OAuth2 / OIDC tokens</t>
        </is>
      </c>
      <c r="C2" s="18" t="inlineStr">
        <is>
          <t>Internal web application</t>
        </is>
      </c>
      <c r="D2" s="18" t="inlineStr">
        <is>
          <t>Internal web application</t>
        </is>
      </c>
      <c r="E2" s="18" t="inlineStr">
        <is>
          <t>Internal web application</t>
        </is>
      </c>
      <c r="F2" s="18" t="inlineStr">
        <is>
          <t>Yes, for all users</t>
        </is>
      </c>
      <c r="G2" s="18" t="inlineStr">
        <is>
          <t>On-premises data center</t>
        </is>
      </c>
      <c r="H2" s="18" t="inlineStr">
        <is>
          <t>In development</t>
        </is>
      </c>
      <c r="I2" s="18" t="inlineStr">
        <is>
          <t>Vendor</t>
        </is>
      </c>
      <c r="J2" s="18" t="inlineStr">
        <is>
          <t>In-house (we develop it)</t>
        </is>
      </c>
      <c r="K2" s="18" t="inlineStr">
        <is>
          <t>No</t>
        </is>
      </c>
      <c r="L2" s="18" t="inlineStr">
        <is>
          <t>Yes</t>
        </is>
      </c>
      <c r="M2" s="18" t="inlineStr">
        <is>
          <t>Yes</t>
        </is>
      </c>
      <c r="N2" s="18" t="inlineStr">
        <is>
          <t>Spoofing</t>
        </is>
      </c>
      <c r="O2" s="18" t="inlineStr">
        <is>
          <t>Low</t>
        </is>
      </c>
      <c r="P2" s="18" t="inlineStr">
        <is>
          <t>Draft</t>
        </is>
      </c>
      <c r="Q2" s="18" t="inlineStr">
        <is>
          <t>Not requested</t>
        </is>
      </c>
      <c r="R2" s="18" t="inlineStr">
        <is>
          <t>Internal dev</t>
        </is>
      </c>
      <c r="S2" s="18" t="inlineStr">
        <is>
          <t>Mitigated</t>
        </is>
      </c>
    </row>
    <row r="3">
      <c r="A3" s="18" t="inlineStr">
        <is>
          <t>Internal network</t>
        </is>
      </c>
      <c r="B3" s="18" t="inlineStr">
        <is>
          <t>API key</t>
        </is>
      </c>
      <c r="C3" s="18" t="inlineStr">
        <is>
          <t>Public web application / portal</t>
        </is>
      </c>
      <c r="D3" s="18" t="inlineStr">
        <is>
          <t>Public web application / portal</t>
        </is>
      </c>
      <c r="E3" s="18" t="inlineStr">
        <is>
          <t>Public web application / portal</t>
        </is>
      </c>
      <c r="F3" s="18" t="inlineStr">
        <is>
          <t>Only for admins</t>
        </is>
      </c>
      <c r="G3" s="18" t="inlineStr">
        <is>
          <t>Public cloud</t>
        </is>
      </c>
      <c r="H3" s="18" t="inlineStr">
        <is>
          <t>In production</t>
        </is>
      </c>
      <c r="I3" s="18" t="inlineStr">
        <is>
          <t>Internal team</t>
        </is>
      </c>
      <c r="J3" s="18" t="inlineStr">
        <is>
          <t>COTS (vendor product on our infrastructure)</t>
        </is>
      </c>
      <c r="K3" s="18" t="inlineStr">
        <is>
          <t>Yes, on demand and controlled (approval, PAM, session recording)</t>
        </is>
      </c>
      <c r="L3" s="18" t="inlineStr">
        <is>
          <t>No</t>
        </is>
      </c>
      <c r="M3" s="18" t="inlineStr">
        <is>
          <t>No</t>
        </is>
      </c>
      <c r="N3" s="18" t="inlineStr">
        <is>
          <t>Tampering</t>
        </is>
      </c>
      <c r="O3" s="18" t="inlineStr">
        <is>
          <t>Medium</t>
        </is>
      </c>
      <c r="P3" s="18" t="inlineStr">
        <is>
          <t>Approved</t>
        </is>
      </c>
      <c r="Q3" s="18" t="inlineStr">
        <is>
          <t>Requested to SOC</t>
        </is>
      </c>
      <c r="R3" s="18" t="inlineStr">
        <is>
          <t>Configuration</t>
        </is>
      </c>
      <c r="S3" s="18" t="inlineStr">
        <is>
          <t>Partially mitigated</t>
        </is>
      </c>
    </row>
    <row r="4">
      <c r="A4" s="18" t="inlineStr">
        <is>
          <t>Restricted management network / jump host only</t>
        </is>
      </c>
      <c r="B4" s="18" t="inlineStr">
        <is>
          <t>mTLS (client certificate)</t>
        </is>
      </c>
      <c r="C4" s="18" t="inlineStr">
        <is>
          <t>API for partners</t>
        </is>
      </c>
      <c r="D4" s="18" t="inlineStr">
        <is>
          <t>API for partners</t>
        </is>
      </c>
      <c r="E4" s="18" t="inlineStr">
        <is>
          <t>API for partners</t>
        </is>
      </c>
      <c r="F4" s="18" t="inlineStr">
        <is>
          <t>No</t>
        </is>
      </c>
      <c r="G4" s="18" t="inlineStr">
        <is>
          <t>Hybrid</t>
        </is>
      </c>
      <c r="H4" s="18" t="inlineStr">
        <is>
          <t>Legacy (no new features)</t>
        </is>
      </c>
      <c r="I4" s="18" t="inlineStr">
        <is>
          <t>Shared</t>
        </is>
      </c>
      <c r="J4" s="18" t="inlineStr">
        <is>
          <t>COTS with customizations</t>
        </is>
      </c>
      <c r="K4" s="18" t="inlineStr">
        <is>
          <t>Yes, permanent</t>
        </is>
      </c>
      <c r="M4" s="18" t="inlineStr">
        <is>
          <t>Don't know</t>
        </is>
      </c>
      <c r="N4" s="18" t="inlineStr">
        <is>
          <t>Repudiation</t>
        </is>
      </c>
      <c r="O4" s="18" t="inlineStr">
        <is>
          <t>High</t>
        </is>
      </c>
      <c r="Q4" s="18" t="inlineStr">
        <is>
          <t>Deployed</t>
        </is>
      </c>
      <c r="R4" s="18" t="inlineStr">
        <is>
          <t>Vendor</t>
        </is>
      </c>
      <c r="S4" s="18" t="inlineStr">
        <is>
          <t>Unmitigated</t>
        </is>
      </c>
    </row>
    <row r="5">
      <c r="B5" s="18" t="inlineStr">
        <is>
          <t>Basic auth</t>
        </is>
      </c>
      <c r="C5" s="18" t="inlineStr">
        <is>
          <t>Internal API / service</t>
        </is>
      </c>
      <c r="D5" s="18" t="inlineStr">
        <is>
          <t>Internal API / service</t>
        </is>
      </c>
      <c r="E5" s="18" t="inlineStr">
        <is>
          <t>Internal API / service</t>
        </is>
      </c>
      <c r="F5" s="18" t="inlineStr">
        <is>
          <t>Don't know</t>
        </is>
      </c>
      <c r="H5" s="18" t="inlineStr">
        <is>
          <t>Being decommissioned</t>
        </is>
      </c>
      <c r="I5" s="18" t="inlineStr">
        <is>
          <t>Nobody defined</t>
        </is>
      </c>
      <c r="J5" s="18" t="inlineStr">
        <is>
          <t>Vendor appliance (physical/virtual)</t>
        </is>
      </c>
      <c r="K5" s="18" t="inlineStr">
        <is>
          <t>Don't know</t>
        </is>
      </c>
      <c r="N5" s="18" t="inlineStr">
        <is>
          <t>Information disclosure</t>
        </is>
      </c>
      <c r="Q5" s="18" t="inlineStr">
        <is>
          <t>Rejected</t>
        </is>
      </c>
      <c r="R5" s="18" t="inlineStr">
        <is>
          <t>Compensating</t>
        </is>
      </c>
      <c r="S5" s="18" t="inlineStr">
        <is>
          <t>Not verified</t>
        </is>
      </c>
    </row>
    <row r="6">
      <c r="B6" s="18" t="inlineStr">
        <is>
          <t>No authentication</t>
        </is>
      </c>
      <c r="C6" s="18" t="inlineStr">
        <is>
          <t>Mobile app backend</t>
        </is>
      </c>
      <c r="D6" s="18" t="inlineStr">
        <is>
          <t>Mobile app backend</t>
        </is>
      </c>
      <c r="E6" s="18" t="inlineStr">
        <is>
          <t>Mobile app backend</t>
        </is>
      </c>
      <c r="J6" s="18" t="inlineStr">
        <is>
          <t>SaaS (vendor infrastructure)</t>
        </is>
      </c>
      <c r="N6" s="18" t="inlineStr">
        <is>
          <t>Denial of service</t>
        </is>
      </c>
      <c r="R6" s="18" t="inlineStr">
        <is>
          <t>Risk acceptance</t>
        </is>
      </c>
      <c r="S6" s="18" t="inlineStr">
        <is>
          <t>No applicable controls</t>
        </is>
      </c>
    </row>
    <row r="7">
      <c r="B7" s="18" t="inlineStr">
        <is>
          <t>Other</t>
        </is>
      </c>
      <c r="C7" s="18" t="inlineStr">
        <is>
          <t>Batch / file integration</t>
        </is>
      </c>
      <c r="D7" s="18" t="inlineStr">
        <is>
          <t>Batch / file integration</t>
        </is>
      </c>
      <c r="E7" s="18" t="inlineStr">
        <is>
          <t>Batch / file integration</t>
        </is>
      </c>
      <c r="N7" s="18" t="inlineStr">
        <is>
          <t>Elevation of privilege</t>
        </is>
      </c>
      <c r="S7" s="18" t="inlineStr">
        <is>
          <t>No controls mapped</t>
        </is>
      </c>
    </row>
    <row r="8">
      <c r="C8" s="18" t="inlineStr">
        <is>
          <t>Asynchronous / event processing</t>
        </is>
      </c>
      <c r="D8" s="18" t="inlineStr">
        <is>
          <t>Asynchronous / event processing</t>
        </is>
      </c>
      <c r="E8" s="18" t="inlineStr">
        <is>
          <t>Asynchronous / event processing</t>
        </is>
      </c>
      <c r="S8" s="18" t="inlineStr">
        <is>
          <t>N/A</t>
        </is>
      </c>
    </row>
    <row r="9">
      <c r="C9" s="18" t="inlineStr">
        <is>
          <t>Vendor product hosted by us</t>
        </is>
      </c>
      <c r="D9" s="18" t="inlineStr">
        <is>
          <t>Vendor product hosted by us</t>
        </is>
      </c>
      <c r="E9" s="18" t="inlineStr">
        <is>
          <t>Vendor product hosted by us</t>
        </is>
      </c>
    </row>
    <row r="10">
      <c r="C10" s="18" t="inlineStr">
        <is>
          <t>Vendor product with our customizations</t>
        </is>
      </c>
      <c r="D10" s="18" t="inlineStr">
        <is>
          <t>Vendor product with our customizations</t>
        </is>
      </c>
      <c r="E10" s="18" t="inlineStr">
        <is>
          <t>Vendor product with our customizations</t>
        </is>
      </c>
    </row>
    <row r="11">
      <c r="C11" s="18" t="inlineStr">
        <is>
          <t>Vendor appliance</t>
        </is>
      </c>
      <c r="D11" s="18" t="inlineStr">
        <is>
          <t>Vendor appliance</t>
        </is>
      </c>
      <c r="E11" s="18" t="inlineStr">
        <is>
          <t>Vendor appliance</t>
        </is>
      </c>
    </row>
    <row r="12">
      <c r="D12" s="18" t="inlineStr">
        <is>
          <t>None of these fits</t>
        </is>
      </c>
      <c r="E12" s="18" t="inlineStr">
        <is>
          <t>No second pattern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9"/>
  <sheetViews>
    <sheetView showGridLines="0" tabSelected="0" workbookViewId="0">
      <selection activeCell="A1" sqref="A1"/>
    </sheetView>
  </sheetViews>
  <sheetFormatPr baseColWidth="8" defaultRowHeight="15"/>
  <cols>
    <col width="22" customWidth="1" style="19" min="1" max="1"/>
    <col width="12" customWidth="1" style="19" min="2" max="2"/>
  </cols>
  <sheetData>
    <row r="1">
      <c r="A1" s="61" t="inlineStr">
        <is>
          <t>Name</t>
        </is>
      </c>
      <c r="B1" s="61" t="inlineStr">
        <is>
          <t>Value</t>
        </is>
      </c>
    </row>
    <row r="2">
      <c r="A2" s="18" t="inlineStr">
        <is>
          <t>ASVS_VERSION</t>
        </is>
      </c>
      <c r="B2" s="18" t="inlineStr">
        <is>
          <t>5.0.0</t>
        </is>
      </c>
    </row>
    <row r="3">
      <c r="A3" s="18" t="n"/>
      <c r="B3" s="18" t="n"/>
    </row>
    <row r="4">
      <c r="A4" s="18" t="inlineStr">
        <is>
          <t>TEMPLATE_VERSION</t>
        </is>
      </c>
      <c r="B4" s="18" t="inlineStr">
        <is>
          <t>4.0.0</t>
        </is>
      </c>
    </row>
    <row r="5"/>
    <row r="6"/>
    <row r="7"/>
    <row r="8"/>
    <row r="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2026-09-19T14:27:09Z</dcterms:created>
  <dcterms:modified xsi:type="dcterms:W3CDTF">2026-10-21T13:51:03Z</dcterms:modified>
  <cp:revision>0</cp:revision>
</cp:coreProperties>
</file>