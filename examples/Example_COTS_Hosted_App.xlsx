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Threat Model" sheetId="4" state="visible" r:id="rId4"/>
    <sheet name="Controls to Verify" sheetId="5" state="visible" r:id="rId5"/>
    <sheet name="ASVS Checklist" sheetId="6" state="visible" r:id="rId6"/>
    <sheet name="Custom Controls" sheetId="7" state="visible" r:id="rId7"/>
    <sheet name="Backlog" sheetId="8" state="visible" r:id="rId8"/>
    <sheet name="Detection Plan" sheetId="9" state="visible" r:id="rId9"/>
    <sheet name="Threat Library" sheetId="10" state="visible" r:id="rId10"/>
    <sheet name="Threat-Control Map" sheetId="11" state="visible" r:id="rId11"/>
    <sheet name="Detections" sheetId="12" state="visible" r:id="rId12"/>
    <sheet name="Threat-Detection Map" sheetId="13" state="visible" r:id="rId13"/>
    <sheet name="Log Sources" sheetId="14" state="visible" r:id="rId14"/>
    <sheet name="TM Config" sheetId="15" state="visible" r:id="rId15"/>
    <sheet name="Catalog Health" sheetId="16" state="visible" r:id="rId16"/>
    <sheet name="Archetypes" sheetId="17" state="visible" r:id="rId17"/>
    <sheet name="_lists" sheetId="18" state="hidden" r:id="rId18"/>
    <sheet name="_meta" sheetId="19" state="hidden" r:id="rId19"/>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TEMPLATE_VERSION">'_meta'!$B$4</definedName>
    <definedName name="LIST_STRIDE">'_lists'!$N$2:$N$7</definedName>
    <definedName name="LIST_LMH">'_lists'!$O$2:$O$4</definedName>
    <definedName name="LIST_REVIEW_STATUS">'_lists'!$P$2:$P$3</definedName>
    <definedName name="LIST_DEPLOYMENT_STATUS">'_lists'!$Q$2:$Q$5</definedName>
    <definedName name="LIST_REMEDIATION_OWNER">'_lists'!$R$2:$R$6</definedName>
    <definedName name="LIST_MITIGATION_STATUS">'_lists'!$S$2:$S$8</definedName>
    <definedName name="ARCHETYPE_IDS">Archetypes!$A$5:$A$30</definedName>
    <definedName name="ARCHETYPE_NAMES">Archetypes!$B$5:$B$30</definedName>
    <definedName name="ARCHETYPE_PRIMARY_ID">'Extended Characterization'!$D$75</definedName>
    <definedName name="ARCHETYPE_SECONDARY_ID">'Extended Characterization'!$D$76</definedName>
    <definedName name="IS_COTS">'Extended Characterization'!$D$77</definedName>
    <definedName name="RISK_SCALE">'TM Config'!$A$6:$B$9</definedName>
    <definedName name="RISK_SCALE_NAMES">'TM Config'!$A$6:$A$9</definedName>
    <definedName name="RISK_SCALE_SCORES">'TM Config'!$B$6:$B$9</definedName>
    <definedName name="BASE_RISK_MATRIX">'TM Config'!$B$14:$D$16</definedName>
    <definedName name="BASE_RISK_ROWS">'TM Config'!$A$14:$A$16</definedName>
    <definedName name="BASE_RISK_COLS">'TM Config'!$B$13:$D$13</definedName>
    <definedName name="FINAL_RISK_MATRIX">'TM Config'!$B$21:$E$24</definedName>
    <definedName name="FINAL_RISK_ROWS">'TM Config'!$A$21:$A$24</definedName>
    <definedName name="FINAL_RISK_COLS">'TM Config'!$B$20:$E$20</definedName>
    <definedName name="SIGMA_BASE_URL">'TM Config'!$B$27</definedName>
    <definedName name="CC_IDS">'Custom Controls'!$A$5:$A$204</definedName>
    <definedName name="CC_LEVEL">'Custom Controls'!$D$5:$D$204</definedName>
    <definedName name="CC_REQ">'Custom Controls'!$E$5:$E$204</definedName>
    <definedName name="CC_FORMULA">'Custom Controls'!$G$5:$G$204</definedName>
    <definedName name="CC_APPLICABLE">'Custom Controls'!$H$5:$H$204</definedName>
    <definedName name="CC_TYPE">'Custom Controls'!$I$5:$I$204</definedName>
    <definedName name="CC_STAGE">'Custom Controls'!$K$5:$K$204</definedName>
    <definedName name="CC_COVERAGE">'Custom Controls'!$L$5:$L$204</definedName>
    <definedName name="CC_CRIT">'Custom Controls'!$P$5:$P$204</definedName>
    <definedName name="CC_OWNER">'Custom Controls'!$Q$5:$Q$204</definedName>
    <definedName name="CC_LINKED">'Custom Controls'!$R$5:$R$204</definedName>
    <definedName name="CC_TPRIO">'Custom Controls'!$S$5:$S$204</definedName>
    <definedName name="CC_VERIFY">'Custom Controls'!$T$5:$T$204</definedName>
    <definedName name="CC_BACKLOG">'Custom Controls'!$U$5:$U$204</definedName>
    <definedName name="CC_TIDS">'Custom Controls'!$V$5:$V$204</definedName>
    <definedName name="TM_MODE">'Controls to Verify'!$B$4</definedName>
    <definedName name="CATALOG_HEALTH">'Catalog Health'!$B$4</definedName>
    <definedName name="MT_IDS">'ASVS Checklist'!$A$5:$A$349</definedName>
    <definedName name="MT_LEVEL">'ASVS Checklist'!$D$5:$D$349</definedName>
    <definedName name="MT_REQ">'ASVS Checklist'!$E$5:$E$349</definedName>
    <definedName name="MT_FORMULA">'ASVS Checklist'!$G$5:$G$349</definedName>
    <definedName name="MT_APPLICABLE">'ASVS Checklist'!$H$5:$H$349</definedName>
    <definedName name="MT_TYPE">'ASVS Checklist'!$I$5:$I$349</definedName>
    <definedName name="MT_STAGE">'ASVS Checklist'!$K$5:$K$349</definedName>
    <definedName name="MT_COVERAGE">'ASVS Checklist'!$L$5:$L$349</definedName>
    <definedName name="MT_CRIT">'ASVS Checklist'!$P$5:$P$349</definedName>
    <definedName name="MT_OWNER">'ASVS Checklist'!$Q$5:$Q$349</definedName>
    <definedName name="MT_LINKED">'ASVS Checklist'!$R$5:$R$349</definedName>
    <definedName name="MT_TPRIO">'ASVS Checklist'!$S$5:$S$349</definedName>
    <definedName name="MT_VERIFY">'ASVS Checklist'!$T$5:$T$349</definedName>
    <definedName name="MT_BACKLOG">'ASVS Checklist'!$U$5:$U$349</definedName>
    <definedName name="MT_TIDS">'ASVS Checklist'!$V$5:$V$349</definedName>
    <definedName name="_xlnm._FilterDatabase" localSheetId="5" hidden="1">'ASVS Checklist'!$A$4:$V$349</definedName>
    <definedName name="_xlnm._FilterDatabase" localSheetId="6" hidden="1">'Custom Controls'!$A$4:$V$204</definedName>
  </definedNames>
  <calcPr calcId="124519" fullCalcOnLoad="1" refMode="A1" iterate="0" iterateCount="100" iterateDelta="0.000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
    <numFmt numFmtId="164" formatCode="yyyy-mm-dd"/>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
      <name val="Calibri"/>
      <b val="1"/>
      <color rgb="FFFFFFFF"/>
      <sz val="14"/>
    </font>
    <font>
      <name val="Calibri"/>
      <i val="1"/>
      <color rgb="FF595959"/>
      <sz val="9"/>
    </font>
    <font>
      <name val="Calibri"/>
      <b val="1"/>
      <sz val="10"/>
    </font>
    <font>
      <name val="Calibri"/>
      <b val="1"/>
      <color rgb="FFFFFFFF"/>
      <sz val="10"/>
    </font>
    <font>
      <name val="Calibri"/>
      <sz val="9"/>
    </font>
    <font>
      <name val="Calibri"/>
      <color rgb="FF0563C1"/>
      <sz val="9"/>
      <u val="single"/>
    </font>
    <font>
      <name val="Arial"/>
      <b val="1"/>
      <sz val="10"/>
    </font>
  </fonts>
  <fills count="17">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
      <patternFill patternType="solid">
        <fgColor rgb="FF2E5395"/>
      </patternFill>
    </fill>
    <fill>
      <patternFill patternType="solid">
        <fgColor rgb="FFFFF2CC"/>
      </patternFill>
    </fill>
    <fill>
      <patternFill patternType="solid">
        <fgColor rgb="FFF2F2F2"/>
      </patternFill>
    </fill>
    <fill>
      <patternFill patternType="solid">
        <fgColor rgb="FFDDEBF7"/>
        <bgColor rgb="FFDDEBF7"/>
      </patternFill>
    </fill>
    <fill>
      <patternFill patternType="solid">
        <fgColor rgb="FFC00000"/>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xf numFmtId="0" fontId="29" fillId="0" borderId="0" applyAlignment="1" pivotButton="0" quotePrefix="0" xfId="0">
      <alignment vertical="center"/>
    </xf>
    <xf numFmtId="0" fontId="23" fillId="10" borderId="0" applyAlignment="1" pivotButton="0" quotePrefix="0" xfId="0">
      <alignment vertical="center"/>
    </xf>
    <xf numFmtId="0" fontId="0" fillId="10" borderId="0" pivotButton="0" quotePrefix="0" xfId="0"/>
    <xf numFmtId="0" fontId="24" fillId="0" borderId="0" applyAlignment="1" pivotButton="0" quotePrefix="0" xfId="0">
      <alignment vertical="top" wrapText="1"/>
    </xf>
    <xf numFmtId="0" fontId="25" fillId="0" borderId="0" pivotButton="0" quotePrefix="0" xfId="0"/>
    <xf numFmtId="0" fontId="25" fillId="14" borderId="7" applyAlignment="1" pivotButton="0" quotePrefix="0" xfId="0">
      <alignment horizontal="center" vertical="center" wrapText="1"/>
    </xf>
    <xf numFmtId="0" fontId="26" fillId="12" borderId="7" applyAlignment="1" pivotButton="0" quotePrefix="0" xfId="0">
      <alignment horizontal="center" vertical="center" wrapText="1"/>
    </xf>
    <xf numFmtId="0" fontId="27" fillId="0" borderId="0" applyAlignment="1" pivotButton="0" quotePrefix="0" xfId="0">
      <alignment vertical="top" wrapText="1"/>
    </xf>
    <xf numFmtId="0" fontId="27" fillId="13" borderId="7" applyAlignment="1" pivotButton="0" quotePrefix="0" xfId="0">
      <alignment vertical="top" wrapText="1"/>
    </xf>
    <xf numFmtId="0" fontId="27" fillId="14" borderId="7" applyAlignment="1" pivotButton="0" quotePrefix="0" xfId="0">
      <alignment vertical="top" wrapText="1"/>
    </xf>
    <xf numFmtId="0" fontId="28" fillId="13" borderId="7" applyAlignment="1" pivotButton="0" quotePrefix="0" xfId="0">
      <alignment vertical="top" wrapText="1"/>
    </xf>
    <xf numFmtId="0" fontId="27" fillId="15" borderId="7" applyAlignment="1" applyProtection="1" pivotButton="0" quotePrefix="0" xfId="0">
      <alignment vertical="top" wrapText="1"/>
      <protection locked="0" hidden="0"/>
    </xf>
    <xf numFmtId="0" fontId="0" fillId="0" borderId="0" applyProtection="1" pivotButton="0" quotePrefix="0" xfId="0">
      <protection locked="0" hidden="0"/>
    </xf>
    <xf numFmtId="0" fontId="0" fillId="0" borderId="7" pivotButton="0" quotePrefix="0" xfId="0"/>
    <xf numFmtId="0" fontId="25" fillId="0" borderId="7" pivotButton="0" quotePrefix="0" xfId="0"/>
    <xf numFmtId="0" fontId="0" fillId="13" borderId="7" applyAlignment="1" pivotButton="0" quotePrefix="0" xfId="0">
      <alignment horizontal="center" vertical="center" wrapText="1"/>
    </xf>
    <xf numFmtId="0" fontId="0" fillId="13" borderId="0" pivotButton="0" quotePrefix="0" xfId="0"/>
    <xf numFmtId="0" fontId="24" fillId="0" borderId="0" pivotButton="0" quotePrefix="0" xfId="0"/>
    <xf numFmtId="0" fontId="27" fillId="0" borderId="7" applyAlignment="1" pivotButton="0" quotePrefix="0" xfId="0">
      <alignment vertical="top" wrapText="1"/>
    </xf>
    <xf numFmtId="0" fontId="0" fillId="0" borderId="7" applyAlignment="1" pivotButton="0" quotePrefix="0" xfId="0">
      <alignment horizontal="center" vertical="center" wrapText="1"/>
    </xf>
    <xf numFmtId="0" fontId="20" fillId="16" borderId="0" applyAlignment="1" pivotButton="0" quotePrefix="0" xfId="0">
      <alignmen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0">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
      <fill>
        <patternFill patternType="solid">
          <fgColor rgb="FFE7E6E6"/>
          <bgColor rgb="FFE7E6E6"/>
        </patternFill>
      </fill>
    </dxf>
    <dxf>
      <font>
        <b val="1"/>
        <color rgb="FF1F4E78"/>
      </font>
      <fill>
        <patternFill patternType="solid">
          <fgColor rgb="FFDDEBF7"/>
          <bgColor rgb="FFDDEBF7"/>
        </patternFill>
      </fill>
    </dxf>
    <dxf>
      <font>
        <color rgb="FF80808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 Id="rIdMeta1" Type="http://schemas.openxmlformats.org/officeDocument/2006/relationships/sheetMetadata" Target="metadata.xml"/></Relationships>
</file>

<file path=xl/comments/comment1.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comments/comment2.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tables/table1.xml><?xml version="1.0" encoding="utf-8"?>
<table xmlns="http://schemas.openxmlformats.org/spreadsheetml/2006/main" id="1" name="tblThreats" displayName="tblThreats" ref="A4:Z21" headerRowCount="1">
  <tableColumns count="26">
    <tableColumn id="1" name="Threat ID"/>
    <tableColumn id="2" name="STRIDE"/>
    <tableColumn id="3" name="Title"/>
    <tableColumn id="4" name="Description"/>
    <tableColumn id="5" name="Archetypes"/>
    <tableColumn id="6" name="Applicability condition"/>
    <tableColumn id="7" name="Applicability formula"/>
    <tableColumn id="8" name="Archetype match">
      <calculatedColumnFormula>IF(TRIM(tblThreats[[#This Row],[Archetypes]])="All",TRUE,OR(AND(ARCHETYPE_PRIMARY_ID&lt;&gt;"",ISNUMBER(SEARCH(";"&amp;ARCHETYPE_PRIMARY_ID&amp;";",";"&amp;SUBSTITUTE(tblThreats[[#This Row],[Archetypes]]," ","")&amp;";"))),AND(ARCHETYPE_SECONDARY_ID&lt;&gt;"",ISNUMBER(SEARCH(";"&amp;ARCHETYPE_SECONDARY_ID&amp;";",";"&amp;SUBSTITUTE(tblThreats[[#This Row],[Archetypes]]," ","")&amp;";")))))</calculatedColumnFormula>
    </tableColumn>
    <tableColumn id="9" name="Applies">
      <calculatedColumnFormula>IF(ISERROR(tblThreats[[#This Row],[Applicability formula]]),"Error",IF(AND(tblThreats[[#This Row],[Archetype match]],tblThreats[[#This Row],[Applicability formula]]=TRUE),"Applies","N/A"))</calculatedColumnFormula>
    </tableColumn>
    <tableColumn id="10" name="References"/>
    <tableColumn id="11" name="Likelihood"/>
    <tableColumn id="12" name="Impact"/>
    <tableColumn id="13" name="Base risk">
      <calculatedColumnFormula>IFERROR(INDEX(BASE_RISK_MATRIX,MATCH(tblThreats[[#This Row],[Impact]],BASE_RISK_ROWS,0),MATCH(tblThreats[[#This Row],[Likelihood]],BASE_RISK_COLS,0)),"")</calculatedColumnFormula>
    </tableColumn>
    <tableColumn id="14" name="Risk">
      <calculatedColumnFormula>IF(tblThreats[[#This Row],[Applies]]&lt;&gt;"Applies","N/A",IFERROR(INDEX(FINAL_RISK_MATRIX,MATCH(tblThreats[[#This Row],[Base risk]],FINAL_RISK_ROWS,0),MATCH(APP_RISK_TIER,FINAL_RISK_COLS,0)),""))</calculatedColumnFormula>
    </tableColumn>
    <tableColumn id="15" name="Risk score">
      <calculatedColumnFormula>IFERROR(MATCH(tblThreats[[#This Row],[Risk]],RISK_SCALE_NAMES,0),0)</calculatedColumnFormula>
    </tableColumn>
    <tableColumn id="16" name="Controls linked">
      <calculatedColumnFormula>COUNTIF(tblThreatControls[Threat ID],tblThreats[[#This Row],[Threat ID]])</calculatedColumnFormula>
    </tableColumn>
    <tableColumn id="17" name="Full">
      <calculatedColumnFormula>COUNTIFS(tblThreatControls[Threat ID],tblThreats[[#This Row],[Threat ID]],tblThreatControls[Coverage status],"Full coverage")</calculatedColumnFormula>
    </tableColumn>
    <tableColumn id="18" name="Partial">
      <calculatedColumnFormula>COUNTIFS(tblThreatControls[Threat ID],tblThreats[[#This Row],[Threat ID]],tblThreatControls[Coverage status],"Partial coverage")</calculatedColumnFormula>
    </tableColumn>
    <tableColumn id="19" name="Gap">
      <calculatedColumnFormula>COUNTIFS(tblThreatControls[Threat ID],tblThreats[[#This Row],[Threat ID]],tblThreatControls[Coverage status],"Gap")</calculatedColumnFormula>
    </tableColumn>
    <tableColumn id="20" name="Not assessed">
      <calculatedColumnFormula>COUNTIFS(tblThreatControls[Threat ID],tblThreats[[#This Row],[Threat ID]],tblThreatControls[Coverage status],"Not assessed")</calculatedColumnFormula>
    </tableColumn>
    <tableColumn id="21" name="NA controls">
      <calculatedColumnFormula>COUNTIFS(tblThreatControls[Threat ID],tblThreats[[#This Row],[Threat ID]],tblThreatControls[Coverage status],"N/A")</calculatedColumnFormula>
    </tableColumn>
    <tableColumn id="22" name="Mitigation status">
      <calculatedColumnFormula>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calculatedColumnFormula>
    </tableColumn>
    <tableColumn id="23" name="Detections linked">
      <calculatedColumnFormula>COUNTIF(tblThreatDetections[Threat ID],tblThreats[[#This Row],[Threat ID]])</calculatedColumnFormula>
    </tableColumn>
    <tableColumn id="24" name="Archetypes valid">
      <calculatedColumnFormula>IF(TRIM(tblThreats[[#This Row],[Archetypes]])="All","Yes",IF(SUMPRODUCT(--(ARCHETYPE_IDS&lt;&gt;""),--ISNUMBER(SEARCH(";"&amp;ARCHETYPE_IDS&amp;";",";"&amp;SUBSTITUTE(tblThreats[[#This Row],[Archetypes]]," ","")&amp;";")))=LEN(SUBSTITUTE(tblThreats[[#This Row],[Archetypes]]," ",""))-LEN(SUBSTITUTE(SUBSTITUTE(tblThreats[[#This Row],[Archetypes]]," ",""),";",""))+1,"Yes","No"))</calculatedColumnFormula>
    </tableColumn>
    <tableColumn id="25" name="Review status"/>
    <tableColumn id="26" name="Notes"/>
  </tableColumns>
  <tableStyleInfo name="TableStyleLight1" showRowStripes="1"/>
</table>
</file>

<file path=xl/tables/table2.xml><?xml version="1.0" encoding="utf-8"?>
<table xmlns="http://schemas.openxmlformats.org/spreadsheetml/2006/main" id="2" name="tblThreatControls" displayName="tblThreatControls" ref="A4:P58" headerRowCount="1">
  <tableColumns count="16">
    <tableColumn id="1" name="Threat ID"/>
    <tableColumn id="2" name="Control ID"/>
    <tableColumn id="3" name="Default owner"/>
    <tableColumn id="4" name="How it mitigates"/>
    <tableColumn id="5" name="Control source">
      <calculatedColumnFormula>IF(ISNUMBER(MATCH(tblThreatControls[[#This Row],[Control ID]],MT_IDS,0)),"ASVS",IF(ISNUMBER(MATCH(tblThreatControls[[#This Row],[Control ID]],CC_IDS,0)),"Custom","NOT FOUND"))</calculatedColumnFormula>
    </tableColumn>
    <tableColumn id="6" name="Control applicable">
      <calculatedColumnFormula>IF(tblThreatControls[[#This Row],[Control source]]="ASVS",INDEX(MT_APPLICABLE,tblThreatControls[[#This Row],[Source row]])&amp;"",IF(tblThreatControls[[#This Row],[Control source]]="Custom",INDEX(CC_APPLICABLE,tblThreatControls[[#This Row],[Source row]])&amp;"","NOT FOUND"))</calculatedColumnFormula>
    </tableColumn>
    <tableColumn id="7" name="Coverage status">
      <calculatedColumnFormula>IF(tblThreatControls[[#This Row],[Control applicable]]&lt;&gt;"Applicable","N/A",IF(tblThreatControls[[#This Row],[Raw coverage]]="","Not assessed",tblThreatControls[[#This Row],[Raw coverage]]))</calculatedColumnFormula>
    </tableColumn>
    <tableColumn id="8" name="Effective owner">
      <calculatedColumnFormula>IF(tblThreatControls[[#This Row],[Raw owner]]="",tblThreatControls[[#This Row],[Default owner]],tblThreatControls[[#This Row],[Raw owner]])</calculatedColumnFormula>
    </tableColumn>
    <tableColumn id="9" name="Threat applies">
      <calculatedColumnFormula>IFERROR(INDEX(tblThreats[Applies],MATCH(tblThreatControls[[#This Row],[Threat ID]],tblThreats[Threat ID],0)),"NOT FOUND")</calculatedColumnFormula>
    </tableColumn>
    <tableColumn id="10" name="Threat risk">
      <calculatedColumnFormula>IFERROR(INDEX(tblThreats[Risk],MATCH(tblThreatControls[[#This Row],[Threat ID]],tblThreats[Threat ID],0)),"")</calculatedColumnFormula>
    </tableColumn>
    <tableColumn id="11" name="Threat risk score">
      <calculatedColumnFormula>IF(tblThreatControls[[#This Row],[Threat applies]]="Applies",IFERROR(INDEX(tblThreats[Risk score],MATCH(tblThreatControls[[#This Row],[Threat ID]],tblThreats[Threat ID],0)),0),0)</calculatedColumnFormula>
    </tableColumn>
    <tableColumn id="12" name="Warning">
      <calculatedColumnFormula>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calculatedColumnFormula>
    </tableColumn>
    <tableColumn id="13" name="Source row">
      <calculatedColumnFormula>IF(tblThreatControls[[#This Row],[Control source]]="ASVS",MATCH(tblThreatControls[[#This Row],[Control ID]],MT_IDS,0),IF(tblThreatControls[[#This Row],[Control source]]="Custom",MATCH(tblThreatControls[[#This Row],[Control ID]],CC_IDS,0),0))</calculatedColumnFormula>
    </tableColumn>
    <tableColumn id="14" name="Raw coverage">
      <calculatedColumnFormula>IF(tblThreatControls[[#This Row],[Control source]]="ASVS",INDEX(MT_COVERAGE,tblThreatControls[[#This Row],[Source row]])&amp;"",IF(tblThreatControls[[#This Row],[Control source]]="Custom",INDEX(CC_COVERAGE,tblThreatControls[[#This Row],[Source row]])&amp;"",""))</calculatedColumnFormula>
    </tableColumn>
    <tableColumn id="15" name="Raw level">
      <calculatedColumnFormula>IF(tblThreatControls[[#This Row],[Control source]]="ASVS",INDEX(MT_LEVEL,tblThreatControls[[#This Row],[Source row]]),IF(tblThreatControls[[#This Row],[Control source]]="Custom",INDEX(CC_LEVEL,tblThreatControls[[#This Row],[Source row]]),0))</calculatedColumnFormula>
    </tableColumn>
    <tableColumn id="16" name="Raw owner">
      <calculatedColumnFormula>IF(tblThreatControls[[#This Row],[Control source]]="ASVS",INDEX(MT_OWNER,tblThreatControls[[#This Row],[Source row]])&amp;"",IF(tblThreatControls[[#This Row],[Control source]]="Custom",INDEX(CC_OWNER,tblThreatControls[[#This Row],[Source row]])&amp;"",""))</calculatedColumnFormula>
    </tableColumn>
  </tableColumns>
  <tableStyleInfo name="TableStyleLight1" showRowStripes="1"/>
</table>
</file>

<file path=xl/tables/table3.xml><?xml version="1.0" encoding="utf-8"?>
<table xmlns="http://schemas.openxmlformats.org/spreadsheetml/2006/main" id="3" name="tblDetections" displayName="tblDetections" ref="A4:N14" headerRowCount="1">
  <tableColumns count="14">
    <tableColumn id="1" name="Detection ID"/>
    <tableColumn id="2" name="Title"/>
    <tableColumn id="3" name="What it detects"/>
    <tableColumn id="4" name="Sigma rule"/>
    <tableColumn id="5" name="Required log sources"/>
    <tableColumn id="6" name="Missing log sources">
      <calculatedColumnFormula>_xlfn.TEXTJOIN("; ",TRUE,_xlfn._xlws.FILTER(tblLogSources[Log source ID],ISNUMBER(SEARCH(";"&amp;tblLogSources[Log source ID]&amp;";",";"&amp;SUBSTITUTE(tblDetections[[#This Row],[Required log sources]]," ","")&amp;";"))*(tblLogSources[Available]&lt;&gt;"Yes"),""))</calculatedColumnFormula>
    </tableColumn>
    <tableColumn id="7" name="Linked threats">
      <calculatedColumnFormula>_xlfn.TEXTJOIN("; ",TRUE,_xlfn._xlws.FILTER(tblThreatDetections[Threat ID],(tblThreatDetections[Detection ID]=tblDetections[[#This Row],[Detection ID]])*(tblThreatDetections[Threat applies]="Applies"),""))</calculatedColumnFormula>
    </tableColumn>
    <tableColumn id="8" name="Relevant">
      <calculatedColumnFormula>IF(COUNTIFS(tblThreatDetections[Detection ID],tblDetections[[#This Row],[Detection ID]],tblThreatDetections[Threat applies],"Applies",tblThreatDetections[Threat mitigation],"&lt;&gt;Mitigated")&gt;0,"Yes","No")</calculatedColumnFormula>
    </tableColumn>
    <tableColumn id="9" name="Highest threat risk">
      <calculatedColumnFormula>IF(tblDetections[[#This Row],[Risk score]]=0,"",INDEX(RISK_SCALE_NAMES,tblDetections[[#This Row],[Risk score]]))</calculatedColumnFormula>
    </tableColumn>
    <tableColumn id="10" name="Risk score">
      <calculatedColumnFormula>_xlfn.MAXIFS(tblThreatDetections[Threat risk score],tblThreatDetections[Detection ID],tblDetections[[#This Row],[Detection ID]])</calculatedColumnFormula>
    </tableColumn>
    <tableColumn id="11" name="Deployment status"/>
    <tableColumn id="12" name="Log sources known">
      <calculatedColumnFormula>IF(SUMPRODUCT(--ISNUMBER(SEARCH(";"&amp;tblLogSources[Log source ID]&amp;";",";"&amp;SUBSTITUTE(tblDetections[[#This Row],[Required log sources]]," ","")&amp;";")))=LEN(SUBSTITUTE(tblDetections[[#This Row],[Required log sources]]," ",""))-LEN(SUBSTITUTE(SUBSTITUTE(tblDetections[[#This Row],[Required log sources]]," ",""),";",""))+1,"Yes","No")</calculatedColumnFormula>
    </tableColumn>
    <tableColumn id="13" name="Review status"/>
    <tableColumn id="14" name="Notes"/>
  </tableColumns>
  <tableStyleInfo name="TableStyleLight1" showRowStripes="1"/>
</table>
</file>

<file path=xl/tables/table4.xml><?xml version="1.0" encoding="utf-8"?>
<table xmlns="http://schemas.openxmlformats.org/spreadsheetml/2006/main" id="4" name="tblThreatDetections" displayName="tblThreatDetections" ref="A4:G22" headerRowCount="1">
  <tableColumns count="7">
    <tableColumn id="1" name="Threat ID"/>
    <tableColumn id="2" name="Detection ID"/>
    <tableColumn id="3" name="Threat applies">
      <calculatedColumnFormula>IFERROR(INDEX(tblThreats[Applies],MATCH(tblThreatDetections[[#This Row],[Threat ID]],tblThreats[Threat ID],0)),"NOT FOUND")</calculatedColumnFormula>
    </tableColumn>
    <tableColumn id="4" name="Threat risk">
      <calculatedColumnFormula>IFERROR(INDEX(tblThreats[Risk],MATCH(tblThreatDetections[[#This Row],[Threat ID]],tblThreats[Threat ID],0)),"")</calculatedColumnFormula>
    </tableColumn>
    <tableColumn id="5" name="Threat risk score">
      <calculatedColumnFormula>IF(tblThreatDetections[[#This Row],[Threat applies]]="Applies",IFERROR(INDEX(tblThreats[Risk score],MATCH(tblThreatDetections[[#This Row],[Threat ID]],tblThreats[Threat ID],0)),0),0)</calculatedColumnFormula>
    </tableColumn>
    <tableColumn id="6" name="Threat mitigation">
      <calculatedColumnFormula>IFERROR(INDEX(tblThreats[Mitigation status],MATCH(tblThreatDetections[[#This Row],[Threat ID]],tblThreats[Threat ID],0)),"")</calculatedColumnFormula>
    </tableColumn>
    <tableColumn id="7" name="Detection found">
      <calculatedColumnFormula>IF(COUNTIF(tblDetections[Detection ID],tblThreatDetections[[#This Row],[Detection ID]])&gt;0,"Yes","No")</calculatedColumnFormula>
    </tableColumn>
  </tableColumns>
  <tableStyleInfo name="TableStyleLight1" showRowStripes="1"/>
</table>
</file>

<file path=xl/tables/table5.xml><?xml version="1.0" encoding="utf-8"?>
<table xmlns="http://schemas.openxmlformats.org/spreadsheetml/2006/main" id="5" name="tblLogSources" displayName="tblLogSources" ref="A4:H10" headerRowCount="1">
  <tableColumns count="8">
    <tableColumn id="1" name="Log source ID"/>
    <tableColumn id="2" name="Name"/>
    <tableColumn id="3" name="Description"/>
    <tableColumn id="4" name="Availability condition"/>
    <tableColumn id="5" name="Available"/>
    <tableColumn id="6" name="Needed by detections">
      <calculatedColumnFormula>_xlfn.TEXTJOIN("; ",TRUE,_xlfn._xlws.FILTER(tblDetections[Detection ID],(tblDetections[Relevant]="Yes")*ISNUMBER(SEARCH(";"&amp;tblLogSources[[#This Row],[Log source ID]]&amp;";",";"&amp;SUBSTITUTE(tblDetections[Required log sources]," ","")&amp;";")),""))</calculatedColumnFormula>
    </tableColumn>
    <tableColumn id="7" name="Risk score">
      <calculatedColumnFormula>MAX(_xlfn._xlws.FILTER(tblDetections[Risk score],(tblDetections[Relevant]="Yes")*ISNUMBER(SEARCH(";"&amp;tblLogSources[[#This Row],[Log source ID]]&amp;";",";"&amp;SUBSTITUTE(tblDetections[Required log sources]," ","")&amp;";")),0))</calculatedColumnFormula>
    </tableColumn>
    <tableColumn id="8" name="Highest threat risk">
      <calculatedColumnFormula>IF(tblLogSources[[#This Row],[Risk score]]=0,"",INDEX(RISK_SCALE_NAMES,tblLogSources[[#This Row],[Risk score]]))</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2.xml.rels><Relationships xmlns="http://schemas.openxmlformats.org/package/2006/relationships"><Relationship Type="http://schemas.openxmlformats.org/officeDocument/2006/relationships/hyperlink" Target="https://github.com/Zzanoni/app-hardening-baseline/blob/main/detections/sigma/det-auth-001-login-failure-spike.yml" TargetMode="External" Id="rId1" /><Relationship Type="http://schemas.openxmlformats.org/officeDocument/2006/relationships/hyperlink" Target="https://github.com/Zzanoni/app-hardening-baseline/blob/main/detections/sigma/det-auth-002-default-account-login.yml" TargetMode="External" Id="rId2" /><Relationship Type="http://schemas.openxmlformats.org/officeDocument/2006/relationships/hyperlink" Target="https://github.com/Zzanoni/app-hardening-baseline/blob/main/detections/sigma/det-admin-001-admin-access-unusual-source.yml" TargetMode="External" Id="rId3" /><Relationship Type="http://schemas.openxmlformats.org/officeDocument/2006/relationships/hyperlink" Target="https://github.com/Zzanoni/app-hardening-baseline/blob/main/detections/sigma/det-admin-002-config-change.yml" TargetMode="External" Id="rId4" /><Relationship Type="http://schemas.openxmlformats.org/officeDocument/2006/relationships/hyperlink" Target="https://github.com/Zzanoni/app-hardening-baseline/blob/main/detections/sigma/det-vendor-001-vendor-session-outside-window.yml" TargetMode="External" Id="rId5" /><Relationship Type="http://schemas.openxmlformats.org/officeDocument/2006/relationships/hyperlink" Target="https://github.com/Zzanoni/app-hardening-baseline/blob/main/detections/sigma/det-net-001-unexpected-outbound.yml" TargetMode="External" Id="rId6" /><Relationship Type="http://schemas.openxmlformats.org/officeDocument/2006/relationships/hyperlink" Target="https://github.com/Zzanoni/app-hardening-baseline/blob/main/detections/sigma/det-host-001-new-process.yml" TargetMode="External" Id="rId7" /><Relationship Type="http://schemas.openxmlformats.org/officeDocument/2006/relationships/hyperlink" Target="https://github.com/Zzanoni/app-hardening-baseline/blob/main/detections/sigma/det-host-002-binary-integrity-change.yml" TargetMode="External" Id="rId8" /><Relationship Type="http://schemas.openxmlformats.org/officeDocument/2006/relationships/hyperlink" Target="https://github.com/Zzanoni/app-hardening-baseline/blob/main/detections/sigma/det-waf-001-error-spike.yml" TargetMode="External" Id="rId9" /><Relationship Type="http://schemas.openxmlformats.org/officeDocument/2006/relationships/hyperlink" Target="https://github.com/Zzanoni/app-hardening-baseline/blob/main/detections/sigma/det-app-001-mass-object-access.yml" TargetMode="External" Id="rId10" /><Relationship Type="http://schemas.openxmlformats.org/officeDocument/2006/relationships/table" Target="/xl/tables/table3.xml" Id="rId11" /></Relationships>
</file>

<file path=xl/worksheets/_rels/sheet13.xml.rels><Relationships xmlns="http://schemas.openxmlformats.org/package/2006/relationships"><Relationship Type="http://schemas.openxmlformats.org/officeDocument/2006/relationships/table" Target="/xl/tables/table4.xml" Id="rId1" /></Relationships>
</file>

<file path=xl/worksheets/_rels/sheet14.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82" t="inlineStr">
        <is>
          <t>FICTIONAL EXAMPLE — Contoso Document Portal (not a real application) — filled-in copy of the template</t>
        </is>
      </c>
    </row>
    <row r="2" ht="34" customHeight="1" s="19">
      <c r="A2" s="52" t="inlineStr">
        <is>
          <t>Template v3.0.0 (OWASP ASVS 5.0.0) — Excel for Microsoft 365. No macros, no scripts: everything is calculated by formulas in this file.</t>
        </is>
      </c>
    </row>
    <row r="3" ht="20" customHeight="1" s="19">
      <c r="A3" s="62" cm="1">
        <f t="array" ref="A3">"Template self-check — catalog health: "&amp;CATALOG_HEALTH&amp;IF(CATALOG_HEALTH="OK",""," (see the Catalog Health sheet)")</f>
        <v/>
      </c>
    </row>
    <row r="5" ht="18" customHeight="1" s="19">
      <c r="A5" s="53" t="inlineStr">
        <is>
          <t>What this file is</t>
        </is>
      </c>
    </row>
    <row r="6" ht="76" customHeight="1" s="19">
      <c r="A6" s="52" t="inlineStr">
        <is>
          <t>One workbook per application covers both the hardening baseline and the threat model. The hardening checklist is the complete OWASP ASVS 5.0.0 requirement set (345 requirements) plus the organization's own Custom Controls; it filters itself to what applies to the application and ranks each item by criticality. The threat model is computed from the same answers: which threats apply, how risky they are, which controls mitigate them, which detections the SOC should deploy and which log sources they need.</t>
        </is>
      </c>
    </row>
    <row r="7" ht="20" customHeight="1" s="19">
      <c r="A7" s="52" t="inlineStr">
        <is>
          <t>Source — OWASP Application Security Verification Standard (ASVS) v5.0.0 — https://github.com/OWASP/ASVS</t>
        </is>
      </c>
    </row>
    <row r="8" ht="18" customHeight="1" s="19">
      <c r="A8" s="53" t="inlineStr">
        <is>
          <t>How to use it for one application</t>
        </is>
      </c>
    </row>
    <row r="9" ht="20" customHeight="1" s="19">
      <c r="A9" s="52" t="inlineStr">
        <is>
          <t>Step 1 — Make a copy of this file named after the application (e.g., Hardening_AppX.xlsx).</t>
        </is>
      </c>
    </row>
    <row r="10" ht="34" customHeight="1" s="19">
      <c r="A10" s="52" t="inlineStr">
        <is>
          <t>Step 2 — Answer the yellow cells of 'Characterization Form' (target ASVS level, API, sessions, data sensitivity, exposure, business impact, ...). Use only the dropdown values.</t>
        </is>
      </c>
    </row>
    <row r="11" ht="48" customHeight="1" s="19">
      <c r="A11" s="52" t="inlineStr">
        <is>
          <t>Step 3 — Answer the yellow cells of 'Extended Characterization' whose row is 'Applicable' (greyed-out rows don't apply given earlier answers). Column I (Status) must show no 'Missing'. 'Don't know' is allowed; on a mandatory question it shows 'Review'. The 'Archetypes' sheet describes each architecture pattern.</t>
        </is>
      </c>
    </row>
    <row r="12" ht="34" customHeight="1" s="19">
      <c r="A12" s="52" t="inlineStr">
        <is>
          <t>Step 4 — Check the result block at the bottom of 'Extended Characterization': if NEEDS_SECURITY_REVIEW is Yes (reasons listed below it), involve the Security team — the automatic threat model can't judge this application alone.</t>
        </is>
      </c>
    </row>
    <row r="13" ht="48" customHeight="1" s="19">
      <c r="A13" s="52" t="inlineStr">
        <is>
          <t>Step 5 — Open 'Threat Model' and 'Controls to Verify'. They are always up to date — there is nothing to run. Right after the characterization (about 20-30 minutes), the threat model already lists the applicable threats (mode 'Characterization-only') and 'Controls to Verify' lists the checklist rows to assess first.</t>
        </is>
      </c>
    </row>
    <row r="14" ht="62" customHeight="1" s="19">
      <c r="A14" s="52" t="inlineStr">
        <is>
          <t>Step 6 — Assess the controls. In 'ASVS Checklist' and 'Custom Controls', filter column H to 'Applicable' and fill in column L (Coverage Status), M (Tool / Evidence) and N (Notes). Start with the rows marked 'Verify first?' = Yes (column T), then go through the remaining applicable rows. As soon as a linked control is assessed, the threat model switches to mode 'Full' and shows each threat's mitigation status.</t>
        </is>
      </c>
    </row>
    <row r="15" ht="48" customHeight="1" s="19">
      <c r="A15" s="52" t="inlineStr">
        <is>
          <t>Step 7 — For every row marked 'Partial coverage' or 'Gap', fill in column Q (Remediation Owner): Internal dev, Configuration, Vendor, Compensating (fixed outside the product: WAF, segmentation, PAM) or Risk acceptance. For vendor (COTS) products, most application-level gaps are Vendor or Configuration.</t>
        </is>
      </c>
    </row>
    <row r="16" ht="34" customHeight="1" s="19">
      <c r="A16" s="52" t="inlineStr">
        <is>
          <t>Step 8 — Open 'Backlog' (controls to fix, in priority order, and log sources to enable) and 'Detection Plan' (detections for the SOC). Record each detection's deployment status in the 'Deployment status' column of the 'Detections' sheet.</t>
        </is>
      </c>
    </row>
    <row r="17" ht="34" customHeight="1" s="19">
      <c r="A17" s="52" t="inlineStr">
        <is>
          <t>Step 9 — Publish the result on the application's Confluence page (see docs/confluence-page-template.md): characterization, checklist, Threat Model, Detection Plan and Backlog.</t>
        </is>
      </c>
    </row>
    <row r="19" ht="18" customHeight="1" s="19">
      <c r="A19" s="53" t="inlineStr">
        <is>
          <t>Reading the results</t>
        </is>
      </c>
    </row>
    <row r="20" ht="34" customHeight="1" s="19">
      <c r="A20" s="52" t="inlineStr">
        <is>
          <t>Criticality (ASVS Checklist / Custom Controls, column P) — how urgent a checklist item is for this application: the requirement's inherent impact (column O) crossed with the application's Risk Tier.</t>
        </is>
      </c>
    </row>
    <row r="21" ht="34" customHeight="1" s="19">
      <c r="A21" s="52" t="inlineStr">
        <is>
          <t>Threat priority (column S) — the highest risk among the applicable threats a control mitigates. Backlog priority (column U) — for gaps, the higher of Criticality and Threat priority.</t>
        </is>
      </c>
    </row>
    <row r="22" ht="34" customHeight="1" s="19">
      <c r="A22" s="52" t="inlineStr">
        <is>
          <t>Mitigation status (Threat Model) — Mitigated (all applicable linked controls fully covered), Partially mitigated, Unmitigated, Not verified (linked controls not assessed yet), No applicable controls, No controls mapped.</t>
        </is>
      </c>
    </row>
    <row r="23" ht="48" customHeight="1" s="19">
      <c r="A23" s="52" t="inlineStr">
        <is>
          <t>Requirements marked 'N/A' need no status — they stay on record as 'considered and excluded by criterion', which is itself audit evidence. Applicability is scored per ASVS chapter; a requirement inside an applicable chapter that doesn't really apply can be set to 'N/A' manually in column L with a justification in column N.</t>
        </is>
      </c>
    </row>
    <row r="24" ht="18" customHeight="1" s="19">
      <c r="A24" s="53" t="inlineStr">
        <is>
          <t>Sheets and colors</t>
        </is>
      </c>
    </row>
    <row r="25" ht="48" customHeight="1" s="19">
      <c r="A25" s="52" t="inlineStr">
        <is>
          <t>Yellow cells — input. Grey cells — calculated, do not edit. Blue tabs — views (Threat Model, Controls to Verify, Backlog, Detection Plan, Catalog Health): formulas only. Purple tabs — central catalog (Threat Library, Threat-Control Map, Detections, Threat-Detection Map, Log Sources, TM Config): protected without password, maintained centrally.</t>
        </is>
      </c>
    </row>
    <row r="26" ht="34" customHeight="1" s="19">
      <c r="A26" s="52" t="inlineStr">
        <is>
          <t>Catalog sheets are maintained centrally, in the master template only — do not edit them in an application copy. The one exception is the 'Deployment status' column on 'Detections', which is per application.</t>
        </is>
      </c>
    </row>
    <row r="27" ht="34" customHeight="1" s="19">
      <c r="A27" s="52" t="inlineStr">
        <is>
          <t>Red / Yellow / Green (column L) — Gap, Partial coverage, Full coverage. Red / Orange / Yellow (Criticality, Threat priority, Risk) — Critical, High, Medium.</t>
        </is>
      </c>
    </row>
    <row r="28" ht="18" customHeight="1" s="19">
      <c r="A28" s="53" t="inlineStr">
        <is>
          <t>Maintaining the master template</t>
        </is>
      </c>
    </row>
    <row r="29" ht="76" customHeight="1" s="19">
      <c r="A29" s="52" t="inlineStr">
        <is>
          <t>Everything is maintained directly in Excel — see docs/threat-modeling-method.md (maintainer guide) and docs/workbook-structure.md. Never rename sheets, keys, named ranges, table names or column headers. After any change, 'Catalog Health' must show OK; bump TEMPLATE_VERSION (hidden _meta sheet) and add a CHANGELOG entry. Custom Controls IDs: CUSTOM-NN for organization rules, TMX-&lt;AREA&gt;-NNN for controls that come from threat modeling. ASVS Checklist stays a verbatim copy of ASVS: never add rows to it.</t>
        </is>
      </c>
    </row>
  </sheetData>
  <conditionalFormatting sqref="A3">
    <cfRule type="expression" priority="1" dxfId="9">
      <formula>CATALOG_HEALTH&lt;&gt;"OK"</formula>
    </cfRule>
    <cfRule type="expression" priority="2" dxfId="13">
      <formula>CATALOG_HEALTH="OK"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'ASVS Checklist' sheet. Applicability is scored per ASVS chapter (17 chapters), so each answer here gates one or more whole chapters.</t>
        </is>
      </c>
    </row>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inlineStr">
        <is>
          <t>Contoso Document Portal (FICTIONAL)</t>
        </is>
      </c>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inlineStr">
        <is>
          <t>L2</t>
        </is>
      </c>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inlineStr">
        <is>
          <t>Yes</t>
        </is>
      </c>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inlineStr">
        <is>
          <t>Yes</t>
        </is>
      </c>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inlineStr">
        <is>
          <t>Yes</t>
        </is>
      </c>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inlineStr">
        <is>
          <t>Yes</t>
        </is>
      </c>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inlineStr">
        <is>
          <t>No</t>
        </is>
      </c>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inlineStr">
        <is>
          <t>Confidential</t>
        </is>
      </c>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inlineStr">
        <is>
          <t>No</t>
        </is>
      </c>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inlineStr">
        <is>
          <t>Public internet</t>
        </is>
      </c>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inlineStr">
        <is>
          <t>High</t>
        </is>
      </c>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86"/>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inlineStr">
        <is>
          <t>APP-0042</t>
        </is>
      </c>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inlineStr">
        <is>
          <t>Vendor document-management portal where customers upload and download contract documents.</t>
        </is>
      </c>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inlineStr">
        <is>
          <t>Contracts area</t>
        </is>
      </c>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inlineStr">
        <is>
          <t>Document Platforms team</t>
        </is>
      </c>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inlineStr">
        <is>
          <t>In production</t>
        </is>
      </c>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inlineStr">
        <is>
          <t>No</t>
        </is>
      </c>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inlineStr">
        <is>
          <t>COTS (vendor product on our infrastructure)</t>
        </is>
      </c>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inlineStr">
        <is>
          <t>Vendor product hosted by us</t>
        </is>
      </c>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inlineStr">
        <is>
          <t>Public web application / portal</t>
        </is>
      </c>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inlineStr">
        <is>
          <t>No</t>
        </is>
      </c>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inlineStr">
        <is>
          <t>Yes</t>
        </is>
      </c>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inlineStr">
        <is>
          <t>Yes</t>
        </is>
      </c>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inlineStr">
        <is>
          <t>No</t>
        </is>
      </c>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inlineStr">
        <is>
          <t>Yes</t>
        </is>
      </c>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inlineStr">
        <is>
          <t>Internal network</t>
        </is>
      </c>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inlineStr">
        <is>
          <t>No</t>
        </is>
      </c>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inlineStr">
        <is>
          <t>Yes</t>
        </is>
      </c>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inlineStr">
        <is>
          <t>Only for admins</t>
        </is>
      </c>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inlineStr">
        <is>
          <t>API key</t>
        </is>
      </c>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inlineStr">
        <is>
          <t>Yes</t>
        </is>
      </c>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inlineStr">
        <is>
          <t>Yes</t>
        </is>
      </c>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inlineStr">
        <is>
          <t>No</t>
        </is>
      </c>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inlineStr">
        <is>
          <t>No</t>
        </is>
      </c>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inlineStr">
        <is>
          <t>No</t>
        </is>
      </c>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inlineStr">
        <is>
          <t>Yes</t>
        </is>
      </c>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inlineStr">
        <is>
          <t>Yes</t>
        </is>
      </c>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inlineStr">
        <is>
          <t>Mail relay (outbound); vendor license server (outbound)</t>
        </is>
      </c>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inlineStr">
        <is>
          <t>On-premises data center</t>
        </is>
      </c>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inlineStr">
        <is>
          <t>No</t>
        </is>
      </c>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inlineStr">
        <is>
          <t>Yes</t>
        </is>
      </c>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inlineStr">
        <is>
          <t>No</t>
        </is>
      </c>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inlineStr">
        <is>
          <t>No</t>
        </is>
      </c>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inlineStr">
        <is>
          <t>Contoso DocSuite</t>
        </is>
      </c>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inlineStr">
        <is>
          <t>9.4</t>
        </is>
      </c>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inlineStr">
        <is>
          <t>Yes</t>
        </is>
      </c>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inlineStr">
        <is>
          <t>Internal team</t>
        </is>
      </c>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inlineStr">
        <is>
          <t>No</t>
        </is>
      </c>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inlineStr">
        <is>
          <t>Yes, permanent</t>
        </is>
      </c>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inlineStr">
        <is>
          <t>Yes</t>
        </is>
      </c>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inlineStr">
        <is>
          <t>No</t>
        </is>
      </c>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inlineStr">
        <is>
          <t>No</t>
        </is>
      </c>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inlineStr">
        <is>
          <t>Yes</t>
        </is>
      </c>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inlineStr">
        <is>
          <t>Yes</t>
        </is>
      </c>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inlineStr">
        <is>
          <t>Yes</t>
        </is>
      </c>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inlineStr">
        <is>
          <t>Yes</t>
        </is>
      </c>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inlineStr">
        <is>
          <t>No</t>
        </is>
      </c>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inlineStr">
        <is>
          <t>Yes</t>
        </is>
      </c>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inlineStr">
        <is>
          <t>No</t>
        </is>
      </c>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inlineStr">
        <is>
          <t>Fictional example — no real application.</t>
        </is>
      </c>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inlineStr">
        <is>
          <t>Example respondent, application owner</t>
        </is>
      </c>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v>46291</v>
      </c>
      <c r="E69" s="32" t="n"/>
      <c r="F69" s="56" t="inlineStr">
        <is>
          <t>Yes</t>
        </is>
      </c>
      <c r="G69" s="32" t="n"/>
      <c r="H69" s="33" t="inlineStr">
        <is>
          <t>Applicable</t>
        </is>
      </c>
      <c r="I69" s="33">
        <f>IF(H69="N/A","N/A",IF(D69="",IF(F69="Yes","Missing","Optional"),IF(AND(F69="Yes",D69="Don't know"),"Review","OK")))</f>
        <v/>
      </c>
    </row>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below fired.</t>
        </is>
      </c>
      <c r="C73" s="30" t="n"/>
      <c r="D73" s="33">
        <f>IF(COUNTIF($D$80:$D$86,"Yes")&gt;0,"Yes","No")</f>
        <v/>
      </c>
    </row>
    <row r="74" ht="45.75" customHeight="1" s="19">
      <c r="A74" s="29" t="inlineStr">
        <is>
          <t>REVIEW_REASONS</t>
        </is>
      </c>
      <c r="B74" s="30" t="inlineStr">
        <is>
          <t>Why Security review is needed ('None' when it isn't).</t>
        </is>
      </c>
      <c r="C74" s="30" t="n"/>
      <c r="D74" s="33">
        <f>IF($D$73="Yes",LEFT($E$86,LEN($E$86)-2),"None")</f>
        <v/>
      </c>
      <c r="E74" s="59" t="n"/>
      <c r="F74" s="59" t="n"/>
      <c r="G74" s="59" t="n"/>
      <c r="H74" s="59" t="n"/>
      <c r="I74" s="60" t="n"/>
    </row>
    <row r="75" ht="30" customHeight="1" s="19">
      <c r="A75" s="29" t="inlineStr">
        <is>
          <t>ARCHETYPE_PRIMARY_ID</t>
        </is>
      </c>
      <c r="B75" s="30" t="inlineStr">
        <is>
          <t>ID of the primary archetype (blank when none fits or unanswered).</t>
        </is>
      </c>
      <c r="C75" s="30" t="n"/>
      <c r="D75" s="33" cm="1">
        <f t="array" ref="D75">IF(ARCHETYPE_PRIMARY="","",IFERROR(INDEX(ARCHETYPE_IDS,MATCH(ARCHETYPE_PRIMARY,ARCHETYPE_NAMES,0)),""))</f>
        <v/>
      </c>
    </row>
    <row r="76" ht="30" customHeight="1" s="19">
      <c r="A76" s="29" t="inlineStr">
        <is>
          <t>ARCHETYPE_SECONDARY_ID</t>
        </is>
      </c>
      <c r="B76" s="30" t="inlineStr">
        <is>
          <t>ID of the secondary archetype (blank when none).</t>
        </is>
      </c>
      <c r="C76" s="30" t="n"/>
      <c r="D76" s="33" cm="1">
        <f t="array" ref="D76">IF(ARCHETYPE_SECONDARY="","",IFERROR(INDEX(ARCHETYPE_IDS,MATCH(ARCHETYPE_SECONDARY,ARCHETYPE_NAMES,0)),""))</f>
        <v/>
      </c>
    </row>
    <row r="77" ht="30" customHeight="1" s="19">
      <c r="A77" s="29" t="inlineStr">
        <is>
          <t>IS_COTS</t>
        </is>
      </c>
      <c r="B77" s="30" t="inlineStr">
        <is>
          <t>TRUE when the application is a vendor product we run (COTS, COTS with customizations, appliance).</t>
        </is>
      </c>
      <c r="C77" s="30" t="n"/>
      <c r="D77" s="33" cm="1">
        <f t="array" ref="D77">OR(SOURCING_MODEL="COTS (vendor product on our infrastructure)",SOURCING_MODEL="COTS with customizations",SOURCING_MODEL="Vendor appliance (physical/virtual)")</f>
        <v/>
      </c>
    </row>
    <row r="79" ht="18" customHeight="1" s="19">
      <c r="A79" s="58" t="inlineStr">
        <is>
          <t>Security review triggers (computed — do not edit)</t>
        </is>
      </c>
      <c r="B79" s="58" t="inlineStr">
        <is>
          <t>Reason</t>
        </is>
      </c>
      <c r="C79" s="58" t="n"/>
      <c r="D79" s="58" t="inlineStr">
        <is>
          <t>Fired?</t>
        </is>
      </c>
      <c r="E79" s="58" t="inlineStr">
        <is>
          <t>Reasons so far (helper)</t>
        </is>
      </c>
      <c r="F79" s="58" t="n"/>
      <c r="G79" s="58" t="n"/>
      <c r="H79" s="58" t="n"/>
      <c r="I79" s="58" t="n"/>
    </row>
    <row r="80" ht="30" customHeight="1" s="19">
      <c r="A80" s="29" t="inlineStr">
        <is>
          <t>ARCHETYPE_NONE</t>
        </is>
      </c>
      <c r="B80" s="30" t="inlineStr">
        <is>
          <t>No archetype fits</t>
        </is>
      </c>
      <c r="C80" s="30" t="n"/>
      <c r="D80" s="33">
        <f>IF(ARCHETYPE_PRIMARY="None of these fits","Yes","No")</f>
        <v/>
      </c>
      <c r="E80" s="32">
        <f>IF(D80="Yes",B80&amp;"; ","")</f>
        <v/>
      </c>
    </row>
    <row r="81" ht="30" customHeight="1" s="19">
      <c r="A81" s="29" t="inlineStr">
        <is>
          <t>ARCHETYPE_DEVIATION</t>
        </is>
      </c>
      <c r="B81" s="30" t="inlineStr">
        <is>
          <t>Components or flows outside the selected archetype (or unknown)</t>
        </is>
      </c>
      <c r="C81" s="30" t="n"/>
      <c r="D81" s="33">
        <f>IF(OR(ARCHETYPE_DEVIATION="Yes",ARCHETYPE_DEVIATION="Don't know"),"Yes","No")</f>
        <v/>
      </c>
      <c r="E81" s="32">
        <f>E80&amp;IF(D81="Yes",B81&amp;"; ","")</f>
        <v/>
      </c>
    </row>
    <row r="82" ht="30" customHeight="1" s="19">
      <c r="A82" s="29" t="inlineStr">
        <is>
          <t>SAAS</t>
        </is>
      </c>
      <c r="B82" s="30" t="inlineStr">
        <is>
          <t>SaaS sourcing model (outside v1 archetypes)</t>
        </is>
      </c>
      <c r="C82" s="30" t="n"/>
      <c r="D82" s="33">
        <f>IF(SOURCING_MODEL="SaaS (vendor infrastructure)","Yes","No")</f>
        <v/>
      </c>
      <c r="E82" s="32">
        <f>E81&amp;IF(D82="Yes",B82&amp;"; ","")</f>
        <v/>
      </c>
    </row>
    <row r="83" ht="30" customHeight="1" s="19">
      <c r="A83" s="29" t="inlineStr">
        <is>
          <t>MANDATORY_DONT_KNOW</t>
        </is>
      </c>
      <c r="B83" s="30" t="inlineStr">
        <is>
          <t>Mandatory question answered Don't know</t>
        </is>
      </c>
      <c r="C83" s="30" t="n"/>
      <c r="D83" s="33">
        <f>IF(COUNTIF($I$5:$I$69,"Review")&gt;0,"Yes","No")</f>
        <v/>
      </c>
      <c r="E83" s="32">
        <f>E82&amp;IF(D83="Yes",B83&amp;"; ","")</f>
        <v/>
      </c>
    </row>
    <row r="84" ht="30" customHeight="1" s="19">
      <c r="A84" s="29" t="inlineStr">
        <is>
          <t>CRITICAL_TIER</t>
        </is>
      </c>
      <c r="B84" s="30" t="inlineStr">
        <is>
          <t>Application Risk Tier is Critical</t>
        </is>
      </c>
      <c r="C84" s="30" t="n"/>
      <c r="D84" s="33">
        <f>IF(APP_RISK_TIER="Critical","Yes","No")</f>
        <v/>
      </c>
      <c r="E84" s="32">
        <f>E83&amp;IF(D84="Yes",B84&amp;"; ","")</f>
        <v/>
      </c>
    </row>
    <row r="85" ht="30" customHeight="1" s="19">
      <c r="A85" s="29" t="inlineStr">
        <is>
          <t>VENDOR_REMOTE_ACCESS</t>
        </is>
      </c>
      <c r="B85" s="30" t="inlineStr">
        <is>
          <t>Permanent or unknown vendor remote access</t>
        </is>
      </c>
      <c r="C85" s="30" t="n"/>
      <c r="D85" s="33">
        <f>IF(AND($H$53="Applicable",OR(VENDOR_REMOTE_ACCESS="Yes, permanent",VENDOR_REMOTE_ACCESS="Don't know")),"Yes","No")</f>
        <v/>
      </c>
      <c r="E85" s="32">
        <f>E84&amp;IF(D85="Yes",B85&amp;"; ","")</f>
        <v/>
      </c>
    </row>
    <row r="86" ht="30" customHeight="1" s="19">
      <c r="A86" s="29" t="inlineStr">
        <is>
          <t>VENDOR_UNSUPPORTED</t>
        </is>
      </c>
      <c r="B86" s="30" t="inlineStr">
        <is>
          <t>Vendor version unsupported or support unknown</t>
        </is>
      </c>
      <c r="C86" s="30" t="n"/>
      <c r="D86" s="33">
        <f>IF(AND($H$50="Applicable",OR(VENDOR_SUPPORTED="No",VENDOR_SUPPORTED="Don't know")),"Yes","No")</f>
        <v/>
      </c>
      <c r="E86" s="32">
        <f>E85&amp;IF(D86="Yes",B86&amp;"; ","")</f>
        <v/>
      </c>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conditionalFormatting sqref="D80:D86">
    <cfRule type="cellIs" priority="6" operator="equal" dxfId="11">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tabColor rgb="FF2E75B6"/>
    <outlinePr summaryBelow="1" summaryRight="1"/>
    <pageSetUpPr/>
  </sheetPr>
  <dimension ref="A1:H72"/>
  <sheetViews>
    <sheetView showGridLines="0" tabSelected="0" workbookViewId="0">
      <pane ySplit="12" topLeftCell="A13" activePane="bottomLeft" state="frozen"/>
      <selection pane="bottomLeft" activeCell="A1" sqref="A1"/>
    </sheetView>
  </sheetViews>
  <sheetFormatPr baseColWidth="8" defaultRowHeight="15"/>
  <cols>
    <col width="24" customWidth="1" style="19" min="1" max="1"/>
    <col width="18" customWidth="1" style="19" min="2" max="2"/>
    <col width="32" customWidth="1" style="19" min="3" max="3"/>
    <col width="20" customWidth="1" style="19" min="4" max="4"/>
    <col width="22" customWidth="1" style="19" min="5" max="5"/>
    <col width="18" customWidth="1" style="19" min="6" max="6"/>
    <col width="20" customWidth="1" style="19" min="7" max="7"/>
    <col width="60" customWidth="1" style="19" min="8" max="8"/>
  </cols>
  <sheetData>
    <row r="1" ht="25.5" customHeight="1" s="19">
      <c r="A1" s="63" t="inlineStr">
        <is>
          <t>Threat Model</t>
        </is>
      </c>
      <c r="B1" s="64" t="n"/>
      <c r="C1" s="64" t="n"/>
      <c r="D1" s="64" t="n"/>
      <c r="E1" s="64" t="n"/>
      <c r="F1" s="64" t="n"/>
      <c r="G1" s="64" t="n"/>
      <c r="H1" s="64" t="n"/>
    </row>
    <row r="2" ht="45" customHeight="1" s="19">
      <c r="A2" s="65" t="inlineStr">
        <is>
          <t>Threats that apply to this application, computed from the characterization answers and the central threat catalog. Risk combines the threat's likelihood and impact with the application's Risk Tier; Mitigation status comes from the Coverage Status of the linked controls. Laid out to be copied into the Confluence 'Threat Model' section. Nothing to edit here.</t>
        </is>
      </c>
    </row>
    <row r="4">
      <c r="A4" s="66" t="inlineStr">
        <is>
          <t>Application</t>
        </is>
      </c>
      <c r="B4" s="67" cm="1">
        <f t="array" ref="B4">APP_NAME&amp;""</f>
        <v/>
      </c>
      <c r="D4" s="66" t="inlineStr">
        <is>
          <t>By risk</t>
        </is>
      </c>
      <c r="G4" s="66" t="inlineStr">
        <is>
          <t>By mitigation status</t>
        </is>
      </c>
    </row>
    <row r="5">
      <c r="A5" s="66" t="inlineStr">
        <is>
          <t>Application Risk Tier</t>
        </is>
      </c>
      <c r="B5" s="67" cm="1">
        <f t="array" ref="B5">APP_RISK_TIER</f>
        <v/>
      </c>
      <c r="D5" s="18" t="inlineStr">
        <is>
          <t>Critical</t>
        </is>
      </c>
      <c r="E5" s="67" cm="1">
        <f t="array" ref="E5">COUNTIFS(tblThreats[Applies],"Applies",tblThreats[Risk],"Critical")</f>
        <v/>
      </c>
      <c r="G5" s="18" t="inlineStr">
        <is>
          <t>Unmitigated</t>
        </is>
      </c>
      <c r="H5" s="67" cm="1">
        <f t="array" ref="H5">COUNTIFS(tblThreats[Applies],"Applies",tblThreats[Mitigation status],"Unmitigated")</f>
        <v/>
      </c>
    </row>
    <row r="6">
      <c r="A6" s="66" t="inlineStr">
        <is>
          <t>Threat model mode</t>
        </is>
      </c>
      <c r="B6" s="67" cm="1">
        <f t="array" ref="B6">TM_MODE</f>
        <v/>
      </c>
      <c r="D6" s="18" t="inlineStr">
        <is>
          <t>High</t>
        </is>
      </c>
      <c r="E6" s="67" cm="1">
        <f t="array" ref="E6">COUNTIFS(tblThreats[Applies],"Applies",tblThreats[Risk],"High")</f>
        <v/>
      </c>
      <c r="G6" s="18" t="inlineStr">
        <is>
          <t>Partially mitigated</t>
        </is>
      </c>
      <c r="H6" s="67" cm="1">
        <f t="array" ref="H6">COUNTIFS(tblThreats[Applies],"Applies",tblThreats[Mitigation status],"Partially mitigated")</f>
        <v/>
      </c>
    </row>
    <row r="7">
      <c r="A7" s="66" t="inlineStr">
        <is>
          <t>Security review required</t>
        </is>
      </c>
      <c r="B7" s="67" cm="1">
        <f t="array" ref="B7">NEEDS_SECURITY_REVIEW</f>
        <v/>
      </c>
      <c r="D7" s="18" t="inlineStr">
        <is>
          <t>Medium</t>
        </is>
      </c>
      <c r="E7" s="67" cm="1">
        <f t="array" ref="E7">COUNTIFS(tblThreats[Applies],"Applies",tblThreats[Risk],"Medium")</f>
        <v/>
      </c>
      <c r="G7" s="18" t="inlineStr">
        <is>
          <t>Not verified</t>
        </is>
      </c>
      <c r="H7" s="67" cm="1">
        <f t="array" ref="H7">COUNTIFS(tblThreats[Applies],"Applies",tblThreats[Mitigation status],"Not verified")</f>
        <v/>
      </c>
    </row>
    <row r="8">
      <c r="A8" s="66" t="inlineStr">
        <is>
          <t>Catalog health</t>
        </is>
      </c>
      <c r="B8" s="67" cm="1">
        <f t="array" ref="B8">CATALOG_HEALTH</f>
        <v/>
      </c>
      <c r="D8" s="18" t="inlineStr">
        <is>
          <t>Low</t>
        </is>
      </c>
      <c r="E8" s="67" cm="1">
        <f t="array" ref="E8">COUNTIFS(tblThreats[Applies],"Applies",tblThreats[Risk],"Low")</f>
        <v/>
      </c>
      <c r="G8" s="18" t="inlineStr">
        <is>
          <t>Mitigated</t>
        </is>
      </c>
      <c r="H8" s="67" cm="1">
        <f t="array" ref="H8">COUNTIFS(tblThreats[Applies],"Applies",tblThreats[Mitigation status],"Mitigated")</f>
        <v/>
      </c>
    </row>
    <row r="9">
      <c r="A9" s="66" t="inlineStr">
        <is>
          <t>Consistency warnings</t>
        </is>
      </c>
      <c r="B9" s="67" cm="1">
        <f t="array" ref="B9">COUNTIF(tblThreatControls[Warning],"?*")</f>
        <v/>
      </c>
      <c r="G9" s="18" t="inlineStr">
        <is>
          <t>No applicable controls</t>
        </is>
      </c>
      <c r="H9" s="67" cm="1">
        <f t="array" ref="H9">COUNTIFS(tblThreats[Applies],"Applies",tblThreats[Mitigation status],"No applicable controls")</f>
        <v/>
      </c>
    </row>
    <row r="10">
      <c r="A10" s="66" t="inlineStr">
        <is>
          <t>Applicable threats</t>
        </is>
      </c>
      <c r="B10" s="67" cm="1">
        <f t="array" ref="B10">COUNTIF(tblThreats[Applies],"Applies")</f>
        <v/>
      </c>
      <c r="G10" s="18" t="inlineStr">
        <is>
          <t>No controls mapped</t>
        </is>
      </c>
      <c r="H10" s="67" cm="1">
        <f t="array" ref="H10">COUNTIFS(tblThreats[Applies],"Applies",tblThreats[Mitigation status],"No controls mapped")</f>
        <v/>
      </c>
    </row>
    <row r="12">
      <c r="A12" s="68" t="inlineStr">
        <is>
          <t>Threat ID</t>
        </is>
      </c>
      <c r="B12" s="68" t="inlineStr">
        <is>
          <t>STRIDE</t>
        </is>
      </c>
      <c r="C12" s="68" t="inlineStr">
        <is>
          <t>Title</t>
        </is>
      </c>
      <c r="D12" s="68" t="inlineStr">
        <is>
          <t>Risk</t>
        </is>
      </c>
      <c r="E12" s="68" t="inlineStr">
        <is>
          <t>Mitigation status</t>
        </is>
      </c>
      <c r="F12" s="68" t="inlineStr">
        <is>
          <t>Controls (Full / Partial / Gap / Not assessed)</t>
        </is>
      </c>
      <c r="G12" s="68" t="inlineStr">
        <is>
          <t>Detections</t>
        </is>
      </c>
      <c r="H12" s="68" t="inlineStr">
        <is>
          <t>Description</t>
        </is>
      </c>
    </row>
    <row r="13">
      <c r="A13" s="69" cm="1">
        <f t="array" ref="A13">IF(B10=0,"No applicable threats",_xlfn.CHOOSECOLS(_xlfn._xlws.SORT(_xlfn._xlws.FILTER(_xlfn.HSTACK(tblThreats[Threat ID],tblThreats[STRIDE],tblThreats[Title],tblThreats[Risk],tblThreats[Mitigation status],tblThreats[Full]&amp;" / "&amp;tblThreats[Partial]&amp;" / "&amp;tblThreats[Gap]&amp;" / "&amp;tblThreats[Not assessed],tblThreats[Detections linked],tblThreats[Description],tblThreats[Risk score],IFERROR(MATCH(tblThreats[STRIDE],LIST_STRIDE,0),9)),tblThreats[Applies]="Applies"),{9,10},{-1,1}),1,2,3,4,5,6,7,8))</f>
        <v/>
      </c>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sheetData>
  <mergeCells count="1">
    <mergeCell ref="A2:H2"/>
  </mergeCells>
  <conditionalFormatting sqref="D5:D8">
    <cfRule type="expression" priority="1" dxfId="9">
      <formula>D5="Critical"</formula>
    </cfRule>
    <cfRule type="expression" priority="2" dxfId="10">
      <formula>D5="High"</formula>
    </cfRule>
    <cfRule type="expression" priority="3" dxfId="11">
      <formula>D5="Medium"</formula>
    </cfRule>
  </conditionalFormatting>
  <conditionalFormatting sqref="G5:G10">
    <cfRule type="expression" priority="4" dxfId="9">
      <formula>G5="Unmitigated"</formula>
    </cfRule>
    <cfRule type="expression" priority="5" dxfId="11">
      <formula>G5="Partially mitigated"</formula>
    </cfRule>
    <cfRule type="expression" priority="6" dxfId="13">
      <formula>G5="Mitigated"</formula>
    </cfRule>
    <cfRule type="expression" priority="7" dxfId="17">
      <formula>G5="Not verified"</formula>
    </cfRule>
    <cfRule type="expression" priority="8" dxfId="17">
      <formula>G5="No applicable controls"</formula>
    </cfRule>
    <cfRule type="expression" priority="9" dxfId="9">
      <formula>G5="No controls mapped"</formula>
    </cfRule>
  </conditionalFormatting>
  <conditionalFormatting sqref="D13:D72">
    <cfRule type="expression" priority="10" dxfId="9">
      <formula>D13="Critical"</formula>
    </cfRule>
    <cfRule type="expression" priority="11" dxfId="10">
      <formula>D13="High"</formula>
    </cfRule>
    <cfRule type="expression" priority="12" dxfId="11">
      <formula>D13="Medium"</formula>
    </cfRule>
  </conditionalFormatting>
  <conditionalFormatting sqref="E13:E72">
    <cfRule type="expression" priority="13" dxfId="9">
      <formula>E13="Unmitigated"</formula>
    </cfRule>
    <cfRule type="expression" priority="14" dxfId="11">
      <formula>E13="Partially mitigated"</formula>
    </cfRule>
    <cfRule type="expression" priority="15" dxfId="13">
      <formula>E13="Mitigated"</formula>
    </cfRule>
    <cfRule type="expression" priority="16" dxfId="17">
      <formula>E13="Not verified"</formula>
    </cfRule>
    <cfRule type="expression" priority="17" dxfId="17">
      <formula>E13="No applicable controls"</formula>
    </cfRule>
    <cfRule type="expression" priority="18" dxfId="9">
      <formula>E13="No controls mapped"</formula>
    </cfRule>
  </conditionalFormatting>
  <pageMargins left="0.75" right="0.75" top="1" bottom="1" header="0.5" footer="0.5"/>
</worksheet>
</file>

<file path=xl/worksheets/sheet5.xml><?xml version="1.0" encoding="utf-8"?>
<worksheet xmlns="http://schemas.openxmlformats.org/spreadsheetml/2006/main">
  <sheetPr>
    <tabColor rgb="FF2E75B6"/>
    <outlinePr summaryBelow="1" summaryRight="1"/>
    <pageSetUpPr/>
  </sheetPr>
  <dimension ref="A1:H207"/>
  <sheetViews>
    <sheetView showGridLines="0" tabSelected="0" workbookViewId="0">
      <pane ySplit="7" topLeftCell="A8" activePane="bottomLeft" state="frozen"/>
      <selection pane="bottomLeft" activeCell="A1" sqref="A1"/>
    </sheetView>
  </sheetViews>
  <sheetFormatPr baseColWidth="8" defaultRowHeight="15"/>
  <cols>
    <col width="13" customWidth="1" style="19" min="1" max="1"/>
    <col width="60" customWidth="1" style="19" min="2" max="2"/>
    <col width="11" customWidth="1" style="19" min="3" max="3"/>
    <col width="11" customWidth="1" style="19" min="4" max="4"/>
    <col width="24" customWidth="1" style="19" min="5" max="5"/>
    <col width="16" customWidth="1" style="19" min="6" max="6"/>
    <col width="22" customWidth="1" style="19" min="7" max="7"/>
    <col width="15" customWidth="1" style="19" min="8" max="8"/>
  </cols>
  <sheetData>
    <row r="1" ht="25.5" customHeight="1" s="19">
      <c r="A1" s="63" t="inlineStr">
        <is>
          <t>Controls to Verify First</t>
        </is>
      </c>
      <c r="B1" s="64" t="n"/>
      <c r="C1" s="64" t="n"/>
      <c r="D1" s="64" t="n"/>
      <c r="E1" s="64" t="n"/>
      <c r="F1" s="64" t="n"/>
      <c r="G1" s="64" t="n"/>
      <c r="H1" s="64" t="n"/>
    </row>
    <row r="2" ht="45" customHeight="1" s="19">
      <c r="A2" s="65" t="inlineStr">
        <is>
          <t>Assess these rows first in 'ASVS Checklist' / 'Custom Controls' (column L): they are applicable, not assessed yet, and mitigate threats that apply to this application — sorted by threat priority, then criticality. Nothing to edit here: this sheet updates itself.</t>
        </is>
      </c>
    </row>
    <row r="4">
      <c r="A4" s="66" t="inlineStr">
        <is>
          <t>Threat model mode</t>
        </is>
      </c>
      <c r="B4" s="67" cm="1">
        <f t="array" ref="B4">IF(COUNTIFS(tblThreatControls[Threat applies],"Applies",tblThreatControls[Coverage status],"&lt;&gt;Not assessed",tblThreatControls[Coverage status],"&lt;&gt;N/A")=0,"Characterization-only","Full")</f>
        <v/>
      </c>
    </row>
    <row r="5">
      <c r="A5" s="66" t="inlineStr">
        <is>
          <t>Controls to verify first</t>
        </is>
      </c>
      <c r="B5" s="67" cm="1">
        <f t="array" ref="B5">COUNTIF(MT_VERIFY,"Yes")+COUNTIF(CC_VERIFY,"Yes")</f>
        <v/>
      </c>
    </row>
    <row r="7">
      <c r="A7" s="68" t="inlineStr">
        <is>
          <t>Control ID</t>
        </is>
      </c>
      <c r="B7" s="68" t="inlineStr">
        <is>
          <t>Requirement</t>
        </is>
      </c>
      <c r="C7" s="68" t="inlineStr">
        <is>
          <t>Criticality</t>
        </is>
      </c>
      <c r="D7" s="68" t="inlineStr">
        <is>
          <t>Threat priority</t>
        </is>
      </c>
      <c r="E7" s="68" t="inlineStr">
        <is>
          <t>Linked threats</t>
        </is>
      </c>
      <c r="F7" s="68" t="inlineStr">
        <is>
          <t>Verification stage</t>
        </is>
      </c>
      <c r="G7" s="68" t="inlineStr">
        <is>
          <t>Control type</t>
        </is>
      </c>
      <c r="H7" s="68" t="inlineStr">
        <is>
          <t>Sheet</t>
        </is>
      </c>
    </row>
    <row r="8">
      <c r="A8" s="69" cm="1">
        <f t="array" ref="A8">IF(B5=0,"Nothing to verify first",_xlfn.CHOOSECOLS(_xlfn._xlws.SORT(_xlfn._xlws.FILTER(_xlfn.VSTACK(_xlfn.HSTACK(MT_IDS&amp;"",MT_REQ&amp;"",MT_CRIT&amp;"",MT_TPRIO&amp;"",MT_TIDS&amp;"",MT_STAGE&amp;"",MT_TYPE&amp;"",IF(ROW(MT_IDS)&gt;0,"ASVS Checklist"),IFERROR(MATCH(MT_TPRIO,RISK_SCALE_NAMES,0),0),IFERROR(MATCH(MT_CRIT,RISK_SCALE_NAMES,0),0)),_xlfn.HSTACK(CC_IDS&amp;"",CC_REQ&amp;"",CC_CRIT&amp;"",CC_TPRIO&amp;"",CC_TIDS&amp;"",CC_STAGE&amp;"",CC_TYPE&amp;"",IF(ROW(CC_IDS)&gt;0,"Custom Controls"),IFERROR(MATCH(CC_TPRIO,RISK_SCALE_NAMES,0),0),IFERROR(MATCH(CC_CRIT,RISK_SCALE_NAMES,0),0))),_xlfn.VSTACK(MT_VERIFY,CC_VERIFY)="Yes"),{9,10},{-1,-1}),1,2,3,4,5,6,7,8))</f>
        <v/>
      </c>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row r="206">
      <c r="A206" s="69" t="n"/>
      <c r="B206" s="69" t="n"/>
      <c r="C206" s="69" t="n"/>
      <c r="D206" s="69" t="n"/>
      <c r="E206" s="69" t="n"/>
      <c r="F206" s="69" t="n"/>
      <c r="G206" s="69" t="n"/>
      <c r="H206" s="69" t="n"/>
    </row>
    <row r="207">
      <c r="A207" s="69" t="n"/>
      <c r="B207" s="69" t="n"/>
      <c r="C207" s="69" t="n"/>
      <c r="D207" s="69" t="n"/>
      <c r="E207" s="69" t="n"/>
      <c r="F207" s="69" t="n"/>
      <c r="G207" s="69" t="n"/>
      <c r="H207" s="69" t="n"/>
    </row>
  </sheetData>
  <mergeCells count="1">
    <mergeCell ref="A2:H2"/>
  </mergeCells>
  <conditionalFormatting sqref="C8:D208">
    <cfRule type="expression" priority="1" dxfId="9">
      <formula>C8="Critical"</formula>
    </cfRule>
    <cfRule type="expression" priority="2" dxfId="10">
      <formula>C8="High"</formula>
    </cfRule>
    <cfRule type="expression" priority="3" dxfId="11">
      <formula>C8="Medium"</formula>
    </cfRule>
  </conditionalFormatting>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V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ht="25.5" customHeight="1" s="19">
      <c r="A1" s="20" t="inlineStr">
        <is>
          <t>ASVS Checklist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Control Type</t>
        </is>
      </c>
      <c r="J4" s="38" t="inlineStr">
        <is>
          <t>Nature</t>
        </is>
      </c>
      <c r="K4" s="38" t="inlineStr">
        <is>
          <t>Verification Stage</t>
        </is>
      </c>
      <c r="L4" s="38" t="inlineStr">
        <is>
          <t>Coverage Status</t>
        </is>
      </c>
      <c r="M4" s="38" t="inlineStr">
        <is>
          <t>Tool / Evidence</t>
        </is>
      </c>
      <c r="N4" s="38" t="inlineStr">
        <is>
          <t>Notes</t>
        </is>
      </c>
      <c r="O4" s="38" t="inlineStr">
        <is>
          <t>Requirement Impact</t>
        </is>
      </c>
      <c r="P4" s="38" t="inlineStr">
        <is>
          <t>Criticality</t>
        </is>
      </c>
      <c r="Q4" s="38" t="inlineStr">
        <is>
          <t>Remediation Owner</t>
        </is>
      </c>
      <c r="R4" s="38" t="inlineStr">
        <is>
          <t>Linked threats</t>
        </is>
      </c>
      <c r="S4" s="38" t="inlineStr">
        <is>
          <t>Threat priority</t>
        </is>
      </c>
      <c r="T4" s="38" t="inlineStr">
        <is>
          <t>Verify first?</t>
        </is>
      </c>
      <c r="U4" s="38" t="inlineStr">
        <is>
          <t>Backlog priority</t>
        </is>
      </c>
      <c r="V4" s="38" t="inlineStr">
        <is>
          <t>Linked threat IDs</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0" t="inlineStr">
        <is>
          <t>SAST + DAST</t>
        </is>
      </c>
      <c r="J5" s="40" t="inlineStr">
        <is>
          <t>Deterministic, continuous</t>
        </is>
      </c>
      <c r="K5" s="42" t="inlineStr">
        <is>
          <t>Pipeline</t>
        </is>
      </c>
      <c r="L5" s="42" t="inlineStr">
        <is>
          <t>Not assessed</t>
        </is>
      </c>
      <c r="M5" s="40" t="n"/>
      <c r="N5" s="40" t="n"/>
      <c r="O5" s="42" t="inlineStr">
        <is>
          <t>High</t>
        </is>
      </c>
      <c r="P5" s="43">
        <f>IF(H5="N/A","N/A",INDEX(CRIT_MATRIX,MATCH(O5,CRIT_MATRIX_ROWS,0),MATCH(APP_RISK_TIER,CRIT_MATRIX_COLS,0)))</f>
        <v/>
      </c>
      <c r="Q5" s="40" t="n"/>
      <c r="R5" s="40" cm="1">
        <f t="array" ref="R5">COUNTIFS(tblThreatControls[Control ID],$A5,tblThreatControls[Threat applies],"Applies")</f>
        <v/>
      </c>
      <c r="S5" s="40" cm="1">
        <f t="array" ref="S5">IF(R5=0,"",INDEX(RISK_SCALE_NAMES,_xlfn.MAXIFS(tblThreatControls[Threat risk score],tblThreatControls[Control ID],$A5)))</f>
        <v/>
      </c>
      <c r="T5" s="40" cm="1">
        <f t="array" ref="T5">IF(AND(H5="Applicable",OR(L5="Not assessed",L5=""),R5&gt;0),"Yes","No")</f>
        <v/>
      </c>
      <c r="U5" s="40" cm="1">
        <f t="array" ref="U5">IF(AND(H5="Applicable",OR(L5="Gap",L5="Partial coverage")),INDEX(RISK_SCALE_NAMES,MAX(IFERROR(MATCH(P5,RISK_SCALE_NAMES,0),1),IFERROR(MATCH(S5,RISK_SCALE_NAMES,0),0))),"")</f>
        <v/>
      </c>
      <c r="V5" s="40" cm="1">
        <f t="array" ref="V5">_xlfn.TEXTJOIN("; ",TRUE,_xlfn._xlws.FILTER(tblThreatControls[Threat ID],(tblThreatControls[Control ID]=$A5)*(tblThreatControls[Threat applies]="Applies"),""))</f>
        <v/>
      </c>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0" t="inlineStr">
        <is>
          <t>SAST + DAST</t>
        </is>
      </c>
      <c r="J6" s="40" t="inlineStr">
        <is>
          <t>Deterministic, continuous</t>
        </is>
      </c>
      <c r="K6" s="42" t="inlineStr">
        <is>
          <t>Pipeline</t>
        </is>
      </c>
      <c r="L6" s="42" t="inlineStr">
        <is>
          <t>Not assessed</t>
        </is>
      </c>
      <c r="M6" s="40" t="n"/>
      <c r="N6" s="40" t="n"/>
      <c r="O6" s="42" t="inlineStr">
        <is>
          <t>High</t>
        </is>
      </c>
      <c r="P6" s="43">
        <f>IF(H6="N/A","N/A",INDEX(CRIT_MATRIX,MATCH(O6,CRIT_MATRIX_ROWS,0),MATCH(APP_RISK_TIER,CRIT_MATRIX_COLS,0)))</f>
        <v/>
      </c>
      <c r="Q6" s="40" t="n"/>
      <c r="R6" s="40" cm="1">
        <f t="array" ref="R6">COUNTIFS(tblThreatControls[Control ID],$A6,tblThreatControls[Threat applies],"Applies")</f>
        <v/>
      </c>
      <c r="S6" s="40" cm="1">
        <f t="array" ref="S6">IF(R6=0,"",INDEX(RISK_SCALE_NAMES,_xlfn.MAXIFS(tblThreatControls[Threat risk score],tblThreatControls[Control ID],$A6)))</f>
        <v/>
      </c>
      <c r="T6" s="40" cm="1">
        <f t="array" ref="T6">IF(AND(H6="Applicable",OR(L6="Not assessed",L6=""),R6&gt;0),"Yes","No")</f>
        <v/>
      </c>
      <c r="U6" s="40" cm="1">
        <f t="array" ref="U6">IF(AND(H6="Applicable",OR(L6="Gap",L6="Partial coverage")),INDEX(RISK_SCALE_NAMES,MAX(IFERROR(MATCH(P6,RISK_SCALE_NAMES,0),1),IFERROR(MATCH(S6,RISK_SCALE_NAMES,0),0))),"")</f>
        <v/>
      </c>
      <c r="V6" s="40" cm="1">
        <f t="array" ref="V6">_xlfn.TEXTJOIN("; ",TRUE,_xlfn._xlws.FILTER(tblThreatControls[Threat ID],(tblThreatControls[Control ID]=$A6)*(tblThreatControls[Threat applies]="Applies"),""))</f>
        <v/>
      </c>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0" t="inlineStr">
        <is>
          <t>SAST + DAST</t>
        </is>
      </c>
      <c r="J7" s="40" t="inlineStr">
        <is>
          <t>Deterministic, continuous</t>
        </is>
      </c>
      <c r="K7" s="42" t="inlineStr">
        <is>
          <t>Pipeline</t>
        </is>
      </c>
      <c r="L7" s="42" t="inlineStr">
        <is>
          <t>Not assessed</t>
        </is>
      </c>
      <c r="M7" s="40" t="n"/>
      <c r="N7" s="40" t="n"/>
      <c r="O7" s="42" t="inlineStr">
        <is>
          <t>High</t>
        </is>
      </c>
      <c r="P7" s="43">
        <f>IF(H7="N/A","N/A",INDEX(CRIT_MATRIX,MATCH(O7,CRIT_MATRIX_ROWS,0),MATCH(APP_RISK_TIER,CRIT_MATRIX_COLS,0)))</f>
        <v/>
      </c>
      <c r="Q7" s="40" t="n"/>
      <c r="R7" s="40" cm="1">
        <f t="array" ref="R7">COUNTIFS(tblThreatControls[Control ID],$A7,tblThreatControls[Threat applies],"Applies")</f>
        <v/>
      </c>
      <c r="S7" s="40" cm="1">
        <f t="array" ref="S7">IF(R7=0,"",INDEX(RISK_SCALE_NAMES,_xlfn.MAXIFS(tblThreatControls[Threat risk score],tblThreatControls[Control ID],$A7)))</f>
        <v/>
      </c>
      <c r="T7" s="40" cm="1">
        <f t="array" ref="T7">IF(AND(H7="Applicable",OR(L7="Not assessed",L7=""),R7&gt;0),"Yes","No")</f>
        <v/>
      </c>
      <c r="U7" s="40" cm="1">
        <f t="array" ref="U7">IF(AND(H7="Applicable",OR(L7="Gap",L7="Partial coverage")),INDEX(RISK_SCALE_NAMES,MAX(IFERROR(MATCH(P7,RISK_SCALE_NAMES,0),1),IFERROR(MATCH(S7,RISK_SCALE_NAMES,0),0))),"")</f>
        <v/>
      </c>
      <c r="V7" s="40" cm="1">
        <f t="array" ref="V7">_xlfn.TEXTJOIN("; ",TRUE,_xlfn._xlws.FILTER(tblThreatControls[Threat ID],(tblThreatControls[Control ID]=$A7)*(tblThreatControls[Threat applies]="Applies"),""))</f>
        <v/>
      </c>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0" t="inlineStr">
        <is>
          <t>SAST + DAST</t>
        </is>
      </c>
      <c r="J8" s="40" t="inlineStr">
        <is>
          <t>Deterministic, continuous</t>
        </is>
      </c>
      <c r="K8" s="42" t="inlineStr">
        <is>
          <t>Pipeline</t>
        </is>
      </c>
      <c r="L8" s="42" t="inlineStr">
        <is>
          <t>Not assessed</t>
        </is>
      </c>
      <c r="M8" s="40" t="n"/>
      <c r="N8" s="40" t="n"/>
      <c r="O8" s="42" t="inlineStr">
        <is>
          <t>High</t>
        </is>
      </c>
      <c r="P8" s="43">
        <f>IF(H8="N/A","N/A",INDEX(CRIT_MATRIX,MATCH(O8,CRIT_MATRIX_ROWS,0),MATCH(APP_RISK_TIER,CRIT_MATRIX_COLS,0)))</f>
        <v/>
      </c>
      <c r="Q8" s="40" t="n"/>
      <c r="R8" s="40" cm="1">
        <f t="array" ref="R8">COUNTIFS(tblThreatControls[Control ID],$A8,tblThreatControls[Threat applies],"Applies")</f>
        <v/>
      </c>
      <c r="S8" s="40" cm="1">
        <f t="array" ref="S8">IF(R8=0,"",INDEX(RISK_SCALE_NAMES,_xlfn.MAXIFS(tblThreatControls[Threat risk score],tblThreatControls[Control ID],$A8)))</f>
        <v/>
      </c>
      <c r="T8" s="40" cm="1">
        <f t="array" ref="T8">IF(AND(H8="Applicable",OR(L8="Not assessed",L8=""),R8&gt;0),"Yes","No")</f>
        <v/>
      </c>
      <c r="U8" s="40" cm="1">
        <f t="array" ref="U8">IF(AND(H8="Applicable",OR(L8="Gap",L8="Partial coverage")),INDEX(RISK_SCALE_NAMES,MAX(IFERROR(MATCH(P8,RISK_SCALE_NAMES,0),1),IFERROR(MATCH(S8,RISK_SCALE_NAMES,0),0))),"")</f>
        <v/>
      </c>
      <c r="V8" s="40" cm="1">
        <f t="array" ref="V8">_xlfn.TEXTJOIN("; ",TRUE,_xlfn._xlws.FILTER(tblThreatControls[Threat ID],(tblThreatControls[Control ID]=$A8)*(tblThreatControls[Threat applies]="Applies"),""))</f>
        <v/>
      </c>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0" t="inlineStr">
        <is>
          <t>SAST + DAST</t>
        </is>
      </c>
      <c r="J9" s="40" t="inlineStr">
        <is>
          <t>Deterministic, continuous</t>
        </is>
      </c>
      <c r="K9" s="42" t="inlineStr">
        <is>
          <t>Pipeline</t>
        </is>
      </c>
      <c r="L9" s="42" t="inlineStr">
        <is>
          <t>Not assessed</t>
        </is>
      </c>
      <c r="M9" s="40" t="n"/>
      <c r="N9" s="40" t="n"/>
      <c r="O9" s="42" t="inlineStr">
        <is>
          <t>High</t>
        </is>
      </c>
      <c r="P9" s="43">
        <f>IF(H9="N/A","N/A",INDEX(CRIT_MATRIX,MATCH(O9,CRIT_MATRIX_ROWS,0),MATCH(APP_RISK_TIER,CRIT_MATRIX_COLS,0)))</f>
        <v/>
      </c>
      <c r="Q9" s="40" t="n"/>
      <c r="R9" s="40" cm="1">
        <f t="array" ref="R9">COUNTIFS(tblThreatControls[Control ID],$A9,tblThreatControls[Threat applies],"Applies")</f>
        <v/>
      </c>
      <c r="S9" s="40" cm="1">
        <f t="array" ref="S9">IF(R9=0,"",INDEX(RISK_SCALE_NAMES,_xlfn.MAXIFS(tblThreatControls[Threat risk score],tblThreatControls[Control ID],$A9)))</f>
        <v/>
      </c>
      <c r="T9" s="40" cm="1">
        <f t="array" ref="T9">IF(AND(H9="Applicable",OR(L9="Not assessed",L9=""),R9&gt;0),"Yes","No")</f>
        <v/>
      </c>
      <c r="U9" s="40" cm="1">
        <f t="array" ref="U9">IF(AND(H9="Applicable",OR(L9="Gap",L9="Partial coverage")),INDEX(RISK_SCALE_NAMES,MAX(IFERROR(MATCH(P9,RISK_SCALE_NAMES,0),1),IFERROR(MATCH(S9,RISK_SCALE_NAMES,0),0))),"")</f>
        <v/>
      </c>
      <c r="V9" s="40" cm="1">
        <f t="array" ref="V9">_xlfn.TEXTJOIN("; ",TRUE,_xlfn._xlws.FILTER(tblThreatControls[Threat ID],(tblThreatControls[Control ID]=$A9)*(tblThreatControls[Threat applies]="Applies"),""))</f>
        <v/>
      </c>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0" t="inlineStr">
        <is>
          <t>SAST + DAST</t>
        </is>
      </c>
      <c r="J10" s="40" t="inlineStr">
        <is>
          <t>Deterministic, continuous</t>
        </is>
      </c>
      <c r="K10" s="42" t="inlineStr">
        <is>
          <t>Pipeline</t>
        </is>
      </c>
      <c r="L10" s="42" t="inlineStr">
        <is>
          <t>Not assessed</t>
        </is>
      </c>
      <c r="M10" s="40" t="n"/>
      <c r="N10" s="40" t="n"/>
      <c r="O10" s="42" t="inlineStr">
        <is>
          <t>High</t>
        </is>
      </c>
      <c r="P10" s="43">
        <f>IF(H10="N/A","N/A",INDEX(CRIT_MATRIX,MATCH(O10,CRIT_MATRIX_ROWS,0),MATCH(APP_RISK_TIER,CRIT_MATRIX_COLS,0)))</f>
        <v/>
      </c>
      <c r="Q10" s="40" t="n"/>
      <c r="R10" s="40" cm="1">
        <f t="array" ref="R10">COUNTIFS(tblThreatControls[Control ID],$A10,tblThreatControls[Threat applies],"Applies")</f>
        <v/>
      </c>
      <c r="S10" s="40" cm="1">
        <f t="array" ref="S10">IF(R10=0,"",INDEX(RISK_SCALE_NAMES,_xlfn.MAXIFS(tblThreatControls[Threat risk score],tblThreatControls[Control ID],$A10)))</f>
        <v/>
      </c>
      <c r="T10" s="40" cm="1">
        <f t="array" ref="T10">IF(AND(H10="Applicable",OR(L10="Not assessed",L10=""),R10&gt;0),"Yes","No")</f>
        <v/>
      </c>
      <c r="U10" s="40" cm="1">
        <f t="array" ref="U10">IF(AND(H10="Applicable",OR(L10="Gap",L10="Partial coverage")),INDEX(RISK_SCALE_NAMES,MAX(IFERROR(MATCH(P10,RISK_SCALE_NAMES,0),1),IFERROR(MATCH(S10,RISK_SCALE_NAMES,0),0))),"")</f>
        <v/>
      </c>
      <c r="V10" s="40" cm="1">
        <f t="array" ref="V10">_xlfn.TEXTJOIN("; ",TRUE,_xlfn._xlws.FILTER(tblThreatControls[Threat ID],(tblThreatControls[Control ID]=$A10)*(tblThreatControls[Threat applies]="Applies"),""))</f>
        <v/>
      </c>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0" t="inlineStr">
        <is>
          <t>SAST + DAST</t>
        </is>
      </c>
      <c r="J11" s="40" t="inlineStr">
        <is>
          <t>Deterministic, continuous</t>
        </is>
      </c>
      <c r="K11" s="42" t="inlineStr">
        <is>
          <t>Pipeline</t>
        </is>
      </c>
      <c r="L11" s="42" t="inlineStr">
        <is>
          <t>Not assessed</t>
        </is>
      </c>
      <c r="M11" s="40" t="n"/>
      <c r="N11" s="40" t="n"/>
      <c r="O11" s="42" t="inlineStr">
        <is>
          <t>High</t>
        </is>
      </c>
      <c r="P11" s="43">
        <f>IF(H11="N/A","N/A",INDEX(CRIT_MATRIX,MATCH(O11,CRIT_MATRIX_ROWS,0),MATCH(APP_RISK_TIER,CRIT_MATRIX_COLS,0)))</f>
        <v/>
      </c>
      <c r="Q11" s="40" t="n"/>
      <c r="R11" s="40" cm="1">
        <f t="array" ref="R11">COUNTIFS(tblThreatControls[Control ID],$A11,tblThreatControls[Threat applies],"Applies")</f>
        <v/>
      </c>
      <c r="S11" s="40" cm="1">
        <f t="array" ref="S11">IF(R11=0,"",INDEX(RISK_SCALE_NAMES,_xlfn.MAXIFS(tblThreatControls[Threat risk score],tblThreatControls[Control ID],$A11)))</f>
        <v/>
      </c>
      <c r="T11" s="40" cm="1">
        <f t="array" ref="T11">IF(AND(H11="Applicable",OR(L11="Not assessed",L11=""),R11&gt;0),"Yes","No")</f>
        <v/>
      </c>
      <c r="U11" s="40" cm="1">
        <f t="array" ref="U11">IF(AND(H11="Applicable",OR(L11="Gap",L11="Partial coverage")),INDEX(RISK_SCALE_NAMES,MAX(IFERROR(MATCH(P11,RISK_SCALE_NAMES,0),1),IFERROR(MATCH(S11,RISK_SCALE_NAMES,0),0))),"")</f>
        <v/>
      </c>
      <c r="V11" s="40" cm="1">
        <f t="array" ref="V11">_xlfn.TEXTJOIN("; ",TRUE,_xlfn._xlws.FILTER(tblThreatControls[Threat ID],(tblThreatControls[Control ID]=$A11)*(tblThreatControls[Threat applies]="Applies"),""))</f>
        <v/>
      </c>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0" t="inlineStr">
        <is>
          <t>SAST + DAST</t>
        </is>
      </c>
      <c r="J12" s="40" t="inlineStr">
        <is>
          <t>Deterministic, continuous</t>
        </is>
      </c>
      <c r="K12" s="42" t="inlineStr">
        <is>
          <t>Pipeline</t>
        </is>
      </c>
      <c r="L12" s="42" t="inlineStr">
        <is>
          <t>Not assessed</t>
        </is>
      </c>
      <c r="M12" s="40" t="n"/>
      <c r="N12" s="40" t="n"/>
      <c r="O12" s="42" t="inlineStr">
        <is>
          <t>High</t>
        </is>
      </c>
      <c r="P12" s="43">
        <f>IF(H12="N/A","N/A",INDEX(CRIT_MATRIX,MATCH(O12,CRIT_MATRIX_ROWS,0),MATCH(APP_RISK_TIER,CRIT_MATRIX_COLS,0)))</f>
        <v/>
      </c>
      <c r="Q12" s="40" t="n"/>
      <c r="R12" s="40" cm="1">
        <f t="array" ref="R12">COUNTIFS(tblThreatControls[Control ID],$A12,tblThreatControls[Threat applies],"Applies")</f>
        <v/>
      </c>
      <c r="S12" s="40" cm="1">
        <f t="array" ref="S12">IF(R12=0,"",INDEX(RISK_SCALE_NAMES,_xlfn.MAXIFS(tblThreatControls[Threat risk score],tblThreatControls[Control ID],$A12)))</f>
        <v/>
      </c>
      <c r="T12" s="40" cm="1">
        <f t="array" ref="T12">IF(AND(H12="Applicable",OR(L12="Not assessed",L12=""),R12&gt;0),"Yes","No")</f>
        <v/>
      </c>
      <c r="U12" s="40" cm="1">
        <f t="array" ref="U12">IF(AND(H12="Applicable",OR(L12="Gap",L12="Partial coverage")),INDEX(RISK_SCALE_NAMES,MAX(IFERROR(MATCH(P12,RISK_SCALE_NAMES,0),1),IFERROR(MATCH(S12,RISK_SCALE_NAMES,0),0))),"")</f>
        <v/>
      </c>
      <c r="V12" s="40" cm="1">
        <f t="array" ref="V12">_xlfn.TEXTJOIN("; ",TRUE,_xlfn._xlws.FILTER(tblThreatControls[Threat ID],(tblThreatControls[Control ID]=$A12)*(tblThreatControls[Threat applies]="Applies"),""))</f>
        <v/>
      </c>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0" t="inlineStr">
        <is>
          <t>SAST + DAST</t>
        </is>
      </c>
      <c r="J13" s="40" t="inlineStr">
        <is>
          <t>Deterministic, continuous</t>
        </is>
      </c>
      <c r="K13" s="42" t="inlineStr">
        <is>
          <t>Pipeline</t>
        </is>
      </c>
      <c r="L13" s="42" t="inlineStr">
        <is>
          <t>Not assessed</t>
        </is>
      </c>
      <c r="M13" s="40" t="n"/>
      <c r="N13" s="40" t="n"/>
      <c r="O13" s="42" t="inlineStr">
        <is>
          <t>High</t>
        </is>
      </c>
      <c r="P13" s="43">
        <f>IF(H13="N/A","N/A",INDEX(CRIT_MATRIX,MATCH(O13,CRIT_MATRIX_ROWS,0),MATCH(APP_RISK_TIER,CRIT_MATRIX_COLS,0)))</f>
        <v/>
      </c>
      <c r="Q13" s="40" t="n"/>
      <c r="R13" s="40" cm="1">
        <f t="array" ref="R13">COUNTIFS(tblThreatControls[Control ID],$A13,tblThreatControls[Threat applies],"Applies")</f>
        <v/>
      </c>
      <c r="S13" s="40" cm="1">
        <f t="array" ref="S13">IF(R13=0,"",INDEX(RISK_SCALE_NAMES,_xlfn.MAXIFS(tblThreatControls[Threat risk score],tblThreatControls[Control ID],$A13)))</f>
        <v/>
      </c>
      <c r="T13" s="40" cm="1">
        <f t="array" ref="T13">IF(AND(H13="Applicable",OR(L13="Not assessed",L13=""),R13&gt;0),"Yes","No")</f>
        <v/>
      </c>
      <c r="U13" s="40" cm="1">
        <f t="array" ref="U13">IF(AND(H13="Applicable",OR(L13="Gap",L13="Partial coverage")),INDEX(RISK_SCALE_NAMES,MAX(IFERROR(MATCH(P13,RISK_SCALE_NAMES,0),1),IFERROR(MATCH(S13,RISK_SCALE_NAMES,0),0))),"")</f>
        <v/>
      </c>
      <c r="V13" s="40" cm="1">
        <f t="array" ref="V13">_xlfn.TEXTJOIN("; ",TRUE,_xlfn._xlws.FILTER(tblThreatControls[Threat ID],(tblThreatControls[Control ID]=$A13)*(tblThreatControls[Threat applies]="Applies"),""))</f>
        <v/>
      </c>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0" t="inlineStr">
        <is>
          <t>SAST + DAST</t>
        </is>
      </c>
      <c r="J14" s="40" t="inlineStr">
        <is>
          <t>Deterministic, continuous</t>
        </is>
      </c>
      <c r="K14" s="42" t="inlineStr">
        <is>
          <t>Pipeline</t>
        </is>
      </c>
      <c r="L14" s="42" t="inlineStr">
        <is>
          <t>Not assessed</t>
        </is>
      </c>
      <c r="M14" s="40" t="n"/>
      <c r="N14" s="40" t="n"/>
      <c r="O14" s="42" t="inlineStr">
        <is>
          <t>High</t>
        </is>
      </c>
      <c r="P14" s="43">
        <f>IF(H14="N/A","N/A",INDEX(CRIT_MATRIX,MATCH(O14,CRIT_MATRIX_ROWS,0),MATCH(APP_RISK_TIER,CRIT_MATRIX_COLS,0)))</f>
        <v/>
      </c>
      <c r="Q14" s="40" t="n"/>
      <c r="R14" s="40" cm="1">
        <f t="array" ref="R14">COUNTIFS(tblThreatControls[Control ID],$A14,tblThreatControls[Threat applies],"Applies")</f>
        <v/>
      </c>
      <c r="S14" s="40" cm="1">
        <f t="array" ref="S14">IF(R14=0,"",INDEX(RISK_SCALE_NAMES,_xlfn.MAXIFS(tblThreatControls[Threat risk score],tblThreatControls[Control ID],$A14)))</f>
        <v/>
      </c>
      <c r="T14" s="40" cm="1">
        <f t="array" ref="T14">IF(AND(H14="Applicable",OR(L14="Not assessed",L14=""),R14&gt;0),"Yes","No")</f>
        <v/>
      </c>
      <c r="U14" s="40" cm="1">
        <f t="array" ref="U14">IF(AND(H14="Applicable",OR(L14="Gap",L14="Partial coverage")),INDEX(RISK_SCALE_NAMES,MAX(IFERROR(MATCH(P14,RISK_SCALE_NAMES,0),1),IFERROR(MATCH(S14,RISK_SCALE_NAMES,0),0))),"")</f>
        <v/>
      </c>
      <c r="V14" s="40" cm="1">
        <f t="array" ref="V14">_xlfn.TEXTJOIN("; ",TRUE,_xlfn._xlws.FILTER(tblThreatControls[Threat ID],(tblThreatControls[Control ID]=$A14)*(tblThreatControls[Threat applies]="Applies"),""))</f>
        <v/>
      </c>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0" t="inlineStr">
        <is>
          <t>SAST + DAST</t>
        </is>
      </c>
      <c r="J15" s="40" t="inlineStr">
        <is>
          <t>Deterministic, continuous</t>
        </is>
      </c>
      <c r="K15" s="42" t="inlineStr">
        <is>
          <t>Pipeline</t>
        </is>
      </c>
      <c r="L15" s="42" t="inlineStr">
        <is>
          <t>Not assessed</t>
        </is>
      </c>
      <c r="M15" s="40" t="n"/>
      <c r="N15" s="40" t="n"/>
      <c r="O15" s="42" t="inlineStr">
        <is>
          <t>High</t>
        </is>
      </c>
      <c r="P15" s="43">
        <f>IF(H15="N/A","N/A",INDEX(CRIT_MATRIX,MATCH(O15,CRIT_MATRIX_ROWS,0),MATCH(APP_RISK_TIER,CRIT_MATRIX_COLS,0)))</f>
        <v/>
      </c>
      <c r="Q15" s="40" t="n"/>
      <c r="R15" s="40" cm="1">
        <f t="array" ref="R15">COUNTIFS(tblThreatControls[Control ID],$A15,tblThreatControls[Threat applies],"Applies")</f>
        <v/>
      </c>
      <c r="S15" s="40" cm="1">
        <f t="array" ref="S15">IF(R15=0,"",INDEX(RISK_SCALE_NAMES,_xlfn.MAXIFS(tblThreatControls[Threat risk score],tblThreatControls[Control ID],$A15)))</f>
        <v/>
      </c>
      <c r="T15" s="40" cm="1">
        <f t="array" ref="T15">IF(AND(H15="Applicable",OR(L15="Not assessed",L15=""),R15&gt;0),"Yes","No")</f>
        <v/>
      </c>
      <c r="U15" s="40" cm="1">
        <f t="array" ref="U15">IF(AND(H15="Applicable",OR(L15="Gap",L15="Partial coverage")),INDEX(RISK_SCALE_NAMES,MAX(IFERROR(MATCH(P15,RISK_SCALE_NAMES,0),1),IFERROR(MATCH(S15,RISK_SCALE_NAMES,0),0))),"")</f>
        <v/>
      </c>
      <c r="V15" s="40" cm="1">
        <f t="array" ref="V15">_xlfn.TEXTJOIN("; ",TRUE,_xlfn._xlws.FILTER(tblThreatControls[Threat ID],(tblThreatControls[Control ID]=$A15)*(tblThreatControls[Threat applies]="Applies"),""))</f>
        <v/>
      </c>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0" t="inlineStr">
        <is>
          <t>SAST + DAST</t>
        </is>
      </c>
      <c r="J16" s="40" t="inlineStr">
        <is>
          <t>Deterministic, continuous</t>
        </is>
      </c>
      <c r="K16" s="42" t="inlineStr">
        <is>
          <t>Pipeline</t>
        </is>
      </c>
      <c r="L16" s="42" t="inlineStr">
        <is>
          <t>Not assessed</t>
        </is>
      </c>
      <c r="M16" s="40" t="n"/>
      <c r="N16" s="40" t="n"/>
      <c r="O16" s="42" t="inlineStr">
        <is>
          <t>High</t>
        </is>
      </c>
      <c r="P16" s="43">
        <f>IF(H16="N/A","N/A",INDEX(CRIT_MATRIX,MATCH(O16,CRIT_MATRIX_ROWS,0),MATCH(APP_RISK_TIER,CRIT_MATRIX_COLS,0)))</f>
        <v/>
      </c>
      <c r="Q16" s="40" t="n"/>
      <c r="R16" s="40" cm="1">
        <f t="array" ref="R16">COUNTIFS(tblThreatControls[Control ID],$A16,tblThreatControls[Threat applies],"Applies")</f>
        <v/>
      </c>
      <c r="S16" s="40" cm="1">
        <f t="array" ref="S16">IF(R16=0,"",INDEX(RISK_SCALE_NAMES,_xlfn.MAXIFS(tblThreatControls[Threat risk score],tblThreatControls[Control ID],$A16)))</f>
        <v/>
      </c>
      <c r="T16" s="40" cm="1">
        <f t="array" ref="T16">IF(AND(H16="Applicable",OR(L16="Not assessed",L16=""),R16&gt;0),"Yes","No")</f>
        <v/>
      </c>
      <c r="U16" s="40" cm="1">
        <f t="array" ref="U16">IF(AND(H16="Applicable",OR(L16="Gap",L16="Partial coverage")),INDEX(RISK_SCALE_NAMES,MAX(IFERROR(MATCH(P16,RISK_SCALE_NAMES,0),1),IFERROR(MATCH(S16,RISK_SCALE_NAMES,0),0))),"")</f>
        <v/>
      </c>
      <c r="V16" s="40" cm="1">
        <f t="array" ref="V16">_xlfn.TEXTJOIN("; ",TRUE,_xlfn._xlws.FILTER(tblThreatControls[Threat ID],(tblThreatControls[Control ID]=$A16)*(tblThreatControls[Threat applies]="Applies"),""))</f>
        <v/>
      </c>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0" t="inlineStr">
        <is>
          <t>SAST + DAST</t>
        </is>
      </c>
      <c r="J17" s="40" t="inlineStr">
        <is>
          <t>Deterministic, continuous</t>
        </is>
      </c>
      <c r="K17" s="42" t="inlineStr">
        <is>
          <t>Pipeline</t>
        </is>
      </c>
      <c r="L17" s="42" t="inlineStr">
        <is>
          <t>Not assessed</t>
        </is>
      </c>
      <c r="M17" s="40" t="n"/>
      <c r="N17" s="40" t="n"/>
      <c r="O17" s="42" t="inlineStr">
        <is>
          <t>High</t>
        </is>
      </c>
      <c r="P17" s="43">
        <f>IF(H17="N/A","N/A",INDEX(CRIT_MATRIX,MATCH(O17,CRIT_MATRIX_ROWS,0),MATCH(APP_RISK_TIER,CRIT_MATRIX_COLS,0)))</f>
        <v/>
      </c>
      <c r="Q17" s="40" t="n"/>
      <c r="R17" s="40" cm="1">
        <f t="array" ref="R17">COUNTIFS(tblThreatControls[Control ID],$A17,tblThreatControls[Threat applies],"Applies")</f>
        <v/>
      </c>
      <c r="S17" s="40" cm="1">
        <f t="array" ref="S17">IF(R17=0,"",INDEX(RISK_SCALE_NAMES,_xlfn.MAXIFS(tblThreatControls[Threat risk score],tblThreatControls[Control ID],$A17)))</f>
        <v/>
      </c>
      <c r="T17" s="40" cm="1">
        <f t="array" ref="T17">IF(AND(H17="Applicable",OR(L17="Not assessed",L17=""),R17&gt;0),"Yes","No")</f>
        <v/>
      </c>
      <c r="U17" s="40" cm="1">
        <f t="array" ref="U17">IF(AND(H17="Applicable",OR(L17="Gap",L17="Partial coverage")),INDEX(RISK_SCALE_NAMES,MAX(IFERROR(MATCH(P17,RISK_SCALE_NAMES,0),1),IFERROR(MATCH(S17,RISK_SCALE_NAMES,0),0))),"")</f>
        <v/>
      </c>
      <c r="V17" s="40" cm="1">
        <f t="array" ref="V17">_xlfn.TEXTJOIN("; ",TRUE,_xlfn._xlws.FILTER(tblThreatControls[Threat ID],(tblThreatControls[Control ID]=$A17)*(tblThreatControls[Threat applies]="Applies"),""))</f>
        <v/>
      </c>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0" t="inlineStr">
        <is>
          <t>SAST + DAST</t>
        </is>
      </c>
      <c r="J18" s="40" t="inlineStr">
        <is>
          <t>Deterministic, continuous</t>
        </is>
      </c>
      <c r="K18" s="42" t="inlineStr">
        <is>
          <t>Pipeline</t>
        </is>
      </c>
      <c r="L18" s="42" t="inlineStr">
        <is>
          <t>Not assessed</t>
        </is>
      </c>
      <c r="M18" s="40" t="n"/>
      <c r="N18" s="40" t="n"/>
      <c r="O18" s="42" t="inlineStr">
        <is>
          <t>High</t>
        </is>
      </c>
      <c r="P18" s="43">
        <f>IF(H18="N/A","N/A",INDEX(CRIT_MATRIX,MATCH(O18,CRIT_MATRIX_ROWS,0),MATCH(APP_RISK_TIER,CRIT_MATRIX_COLS,0)))</f>
        <v/>
      </c>
      <c r="Q18" s="40" t="n"/>
      <c r="R18" s="40" cm="1">
        <f t="array" ref="R18">COUNTIFS(tblThreatControls[Control ID],$A18,tblThreatControls[Threat applies],"Applies")</f>
        <v/>
      </c>
      <c r="S18" s="40" cm="1">
        <f t="array" ref="S18">IF(R18=0,"",INDEX(RISK_SCALE_NAMES,_xlfn.MAXIFS(tblThreatControls[Threat risk score],tblThreatControls[Control ID],$A18)))</f>
        <v/>
      </c>
      <c r="T18" s="40" cm="1">
        <f t="array" ref="T18">IF(AND(H18="Applicable",OR(L18="Not assessed",L18=""),R18&gt;0),"Yes","No")</f>
        <v/>
      </c>
      <c r="U18" s="40" cm="1">
        <f t="array" ref="U18">IF(AND(H18="Applicable",OR(L18="Gap",L18="Partial coverage")),INDEX(RISK_SCALE_NAMES,MAX(IFERROR(MATCH(P18,RISK_SCALE_NAMES,0),1),IFERROR(MATCH(S18,RISK_SCALE_NAMES,0),0))),"")</f>
        <v/>
      </c>
      <c r="V18" s="40" cm="1">
        <f t="array" ref="V18">_xlfn.TEXTJOIN("; ",TRUE,_xlfn._xlws.FILTER(tblThreatControls[Threat ID],(tblThreatControls[Control ID]=$A18)*(tblThreatControls[Threat applies]="Applies"),""))</f>
        <v/>
      </c>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0" t="inlineStr">
        <is>
          <t>SAST + DAST</t>
        </is>
      </c>
      <c r="J19" s="40" t="inlineStr">
        <is>
          <t>Deterministic, continuous</t>
        </is>
      </c>
      <c r="K19" s="42" t="inlineStr">
        <is>
          <t>Pipeline</t>
        </is>
      </c>
      <c r="L19" s="42" t="inlineStr">
        <is>
          <t>Not assessed</t>
        </is>
      </c>
      <c r="M19" s="40" t="n"/>
      <c r="N19" s="40" t="n"/>
      <c r="O19" s="42" t="inlineStr">
        <is>
          <t>High</t>
        </is>
      </c>
      <c r="P19" s="43">
        <f>IF(H19="N/A","N/A",INDEX(CRIT_MATRIX,MATCH(O19,CRIT_MATRIX_ROWS,0),MATCH(APP_RISK_TIER,CRIT_MATRIX_COLS,0)))</f>
        <v/>
      </c>
      <c r="Q19" s="40" t="n"/>
      <c r="R19" s="40" cm="1">
        <f t="array" ref="R19">COUNTIFS(tblThreatControls[Control ID],$A19,tblThreatControls[Threat applies],"Applies")</f>
        <v/>
      </c>
      <c r="S19" s="40" cm="1">
        <f t="array" ref="S19">IF(R19=0,"",INDEX(RISK_SCALE_NAMES,_xlfn.MAXIFS(tblThreatControls[Threat risk score],tblThreatControls[Control ID],$A19)))</f>
        <v/>
      </c>
      <c r="T19" s="40" cm="1">
        <f t="array" ref="T19">IF(AND(H19="Applicable",OR(L19="Not assessed",L19=""),R19&gt;0),"Yes","No")</f>
        <v/>
      </c>
      <c r="U19" s="40" cm="1">
        <f t="array" ref="U19">IF(AND(H19="Applicable",OR(L19="Gap",L19="Partial coverage")),INDEX(RISK_SCALE_NAMES,MAX(IFERROR(MATCH(P19,RISK_SCALE_NAMES,0),1),IFERROR(MATCH(S19,RISK_SCALE_NAMES,0),0))),"")</f>
        <v/>
      </c>
      <c r="V19" s="40" cm="1">
        <f t="array" ref="V19">_xlfn.TEXTJOIN("; ",TRUE,_xlfn._xlws.FILTER(tblThreatControls[Threat ID],(tblThreatControls[Control ID]=$A19)*(tblThreatControls[Threat applies]="Applies"),""))</f>
        <v/>
      </c>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0" t="inlineStr">
        <is>
          <t>SAST + DAST</t>
        </is>
      </c>
      <c r="J20" s="40" t="inlineStr">
        <is>
          <t>Deterministic, continuous</t>
        </is>
      </c>
      <c r="K20" s="42" t="inlineStr">
        <is>
          <t>Pipeline</t>
        </is>
      </c>
      <c r="L20" s="42" t="inlineStr">
        <is>
          <t>Not assessed</t>
        </is>
      </c>
      <c r="M20" s="40" t="n"/>
      <c r="N20" s="40" t="n"/>
      <c r="O20" s="42" t="inlineStr">
        <is>
          <t>High</t>
        </is>
      </c>
      <c r="P20" s="43">
        <f>IF(H20="N/A","N/A",INDEX(CRIT_MATRIX,MATCH(O20,CRIT_MATRIX_ROWS,0),MATCH(APP_RISK_TIER,CRIT_MATRIX_COLS,0)))</f>
        <v/>
      </c>
      <c r="Q20" s="40" t="n"/>
      <c r="R20" s="40" cm="1">
        <f t="array" ref="R20">COUNTIFS(tblThreatControls[Control ID],$A20,tblThreatControls[Threat applies],"Applies")</f>
        <v/>
      </c>
      <c r="S20" s="40" cm="1">
        <f t="array" ref="S20">IF(R20=0,"",INDEX(RISK_SCALE_NAMES,_xlfn.MAXIFS(tblThreatControls[Threat risk score],tblThreatControls[Control ID],$A20)))</f>
        <v/>
      </c>
      <c r="T20" s="40" cm="1">
        <f t="array" ref="T20">IF(AND(H20="Applicable",OR(L20="Not assessed",L20=""),R20&gt;0),"Yes","No")</f>
        <v/>
      </c>
      <c r="U20" s="40" cm="1">
        <f t="array" ref="U20">IF(AND(H20="Applicable",OR(L20="Gap",L20="Partial coverage")),INDEX(RISK_SCALE_NAMES,MAX(IFERROR(MATCH(P20,RISK_SCALE_NAMES,0),1),IFERROR(MATCH(S20,RISK_SCALE_NAMES,0),0))),"")</f>
        <v/>
      </c>
      <c r="V20" s="40" cm="1">
        <f t="array" ref="V20">_xlfn.TEXTJOIN("; ",TRUE,_xlfn._xlws.FILTER(tblThreatControls[Threat ID],(tblThreatControls[Control ID]=$A20)*(tblThreatControls[Threat applies]="Applies"),""))</f>
        <v/>
      </c>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0" t="inlineStr">
        <is>
          <t>SAST + DAST</t>
        </is>
      </c>
      <c r="J21" s="40" t="inlineStr">
        <is>
          <t>Deterministic, continuous</t>
        </is>
      </c>
      <c r="K21" s="42" t="inlineStr">
        <is>
          <t>Pipeline</t>
        </is>
      </c>
      <c r="L21" s="42" t="inlineStr">
        <is>
          <t>Not assessed</t>
        </is>
      </c>
      <c r="M21" s="40" t="n"/>
      <c r="N21" s="40" t="n"/>
      <c r="O21" s="42" t="inlineStr">
        <is>
          <t>High</t>
        </is>
      </c>
      <c r="P21" s="43">
        <f>IF(H21="N/A","N/A",INDEX(CRIT_MATRIX,MATCH(O21,CRIT_MATRIX_ROWS,0),MATCH(APP_RISK_TIER,CRIT_MATRIX_COLS,0)))</f>
        <v/>
      </c>
      <c r="Q21" s="40" t="n"/>
      <c r="R21" s="40" cm="1">
        <f t="array" ref="R21">COUNTIFS(tblThreatControls[Control ID],$A21,tblThreatControls[Threat applies],"Applies")</f>
        <v/>
      </c>
      <c r="S21" s="40" cm="1">
        <f t="array" ref="S21">IF(R21=0,"",INDEX(RISK_SCALE_NAMES,_xlfn.MAXIFS(tblThreatControls[Threat risk score],tblThreatControls[Control ID],$A21)))</f>
        <v/>
      </c>
      <c r="T21" s="40" cm="1">
        <f t="array" ref="T21">IF(AND(H21="Applicable",OR(L21="Not assessed",L21=""),R21&gt;0),"Yes","No")</f>
        <v/>
      </c>
      <c r="U21" s="40" cm="1">
        <f t="array" ref="U21">IF(AND(H21="Applicable",OR(L21="Gap",L21="Partial coverage")),INDEX(RISK_SCALE_NAMES,MAX(IFERROR(MATCH(P21,RISK_SCALE_NAMES,0),1),IFERROR(MATCH(S21,RISK_SCALE_NAMES,0),0))),"")</f>
        <v/>
      </c>
      <c r="V21" s="40" cm="1">
        <f t="array" ref="V21">_xlfn.TEXTJOIN("; ",TRUE,_xlfn._xlws.FILTER(tblThreatControls[Threat ID],(tblThreatControls[Control ID]=$A21)*(tblThreatControls[Threat applies]="Applies"),""))</f>
        <v/>
      </c>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0" t="inlineStr">
        <is>
          <t>SAST + DAST</t>
        </is>
      </c>
      <c r="J22" s="40" t="inlineStr">
        <is>
          <t>Deterministic, continuous</t>
        </is>
      </c>
      <c r="K22" s="42" t="inlineStr">
        <is>
          <t>Pipeline</t>
        </is>
      </c>
      <c r="L22" s="42" t="inlineStr">
        <is>
          <t>Not assessed</t>
        </is>
      </c>
      <c r="M22" s="40" t="n"/>
      <c r="N22" s="40" t="n"/>
      <c r="O22" s="42" t="inlineStr">
        <is>
          <t>High</t>
        </is>
      </c>
      <c r="P22" s="43">
        <f>IF(H22="N/A","N/A",INDEX(CRIT_MATRIX,MATCH(O22,CRIT_MATRIX_ROWS,0),MATCH(APP_RISK_TIER,CRIT_MATRIX_COLS,0)))</f>
        <v/>
      </c>
      <c r="Q22" s="40" t="n"/>
      <c r="R22" s="40" cm="1">
        <f t="array" ref="R22">COUNTIFS(tblThreatControls[Control ID],$A22,tblThreatControls[Threat applies],"Applies")</f>
        <v/>
      </c>
      <c r="S22" s="40" cm="1">
        <f t="array" ref="S22">IF(R22=0,"",INDEX(RISK_SCALE_NAMES,_xlfn.MAXIFS(tblThreatControls[Threat risk score],tblThreatControls[Control ID],$A22)))</f>
        <v/>
      </c>
      <c r="T22" s="40" cm="1">
        <f t="array" ref="T22">IF(AND(H22="Applicable",OR(L22="Not assessed",L22=""),R22&gt;0),"Yes","No")</f>
        <v/>
      </c>
      <c r="U22" s="40" cm="1">
        <f t="array" ref="U22">IF(AND(H22="Applicable",OR(L22="Gap",L22="Partial coverage")),INDEX(RISK_SCALE_NAMES,MAX(IFERROR(MATCH(P22,RISK_SCALE_NAMES,0),1),IFERROR(MATCH(S22,RISK_SCALE_NAMES,0),0))),"")</f>
        <v/>
      </c>
      <c r="V22" s="40" cm="1">
        <f t="array" ref="V22">_xlfn.TEXTJOIN("; ",TRUE,_xlfn._xlws.FILTER(tblThreatControls[Threat ID],(tblThreatControls[Control ID]=$A22)*(tblThreatControls[Threat applies]="Applies"),""))</f>
        <v/>
      </c>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0" t="inlineStr">
        <is>
          <t>SAST + DAST</t>
        </is>
      </c>
      <c r="J23" s="40" t="inlineStr">
        <is>
          <t>Deterministic, continuous</t>
        </is>
      </c>
      <c r="K23" s="42" t="inlineStr">
        <is>
          <t>Pipeline</t>
        </is>
      </c>
      <c r="L23" s="42" t="inlineStr">
        <is>
          <t>Not assessed</t>
        </is>
      </c>
      <c r="M23" s="40" t="n"/>
      <c r="N23" s="40" t="n"/>
      <c r="O23" s="42" t="inlineStr">
        <is>
          <t>High</t>
        </is>
      </c>
      <c r="P23" s="43">
        <f>IF(H23="N/A","N/A",INDEX(CRIT_MATRIX,MATCH(O23,CRIT_MATRIX_ROWS,0),MATCH(APP_RISK_TIER,CRIT_MATRIX_COLS,0)))</f>
        <v/>
      </c>
      <c r="Q23" s="40" t="n"/>
      <c r="R23" s="40" cm="1">
        <f t="array" ref="R23">COUNTIFS(tblThreatControls[Control ID],$A23,tblThreatControls[Threat applies],"Applies")</f>
        <v/>
      </c>
      <c r="S23" s="40" cm="1">
        <f t="array" ref="S23">IF(R23=0,"",INDEX(RISK_SCALE_NAMES,_xlfn.MAXIFS(tblThreatControls[Threat risk score],tblThreatControls[Control ID],$A23)))</f>
        <v/>
      </c>
      <c r="T23" s="40" cm="1">
        <f t="array" ref="T23">IF(AND(H23="Applicable",OR(L23="Not assessed",L23=""),R23&gt;0),"Yes","No")</f>
        <v/>
      </c>
      <c r="U23" s="40" cm="1">
        <f t="array" ref="U23">IF(AND(H23="Applicable",OR(L23="Gap",L23="Partial coverage")),INDEX(RISK_SCALE_NAMES,MAX(IFERROR(MATCH(P23,RISK_SCALE_NAMES,0),1),IFERROR(MATCH(S23,RISK_SCALE_NAMES,0),0))),"")</f>
        <v/>
      </c>
      <c r="V23" s="40" cm="1">
        <f t="array" ref="V23">_xlfn.TEXTJOIN("; ",TRUE,_xlfn._xlws.FILTER(tblThreatControls[Threat ID],(tblThreatControls[Control ID]=$A23)*(tblThreatControls[Threat applies]="Applies"),""))</f>
        <v/>
      </c>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0" t="inlineStr">
        <is>
          <t>SAST + DAST</t>
        </is>
      </c>
      <c r="J24" s="40" t="inlineStr">
        <is>
          <t>Deterministic, continuous</t>
        </is>
      </c>
      <c r="K24" s="42" t="inlineStr">
        <is>
          <t>Pipeline</t>
        </is>
      </c>
      <c r="L24" s="42" t="inlineStr">
        <is>
          <t>Not assessed</t>
        </is>
      </c>
      <c r="M24" s="40" t="n"/>
      <c r="N24" s="40" t="n"/>
      <c r="O24" s="42" t="inlineStr">
        <is>
          <t>High</t>
        </is>
      </c>
      <c r="P24" s="43">
        <f>IF(H24="N/A","N/A",INDEX(CRIT_MATRIX,MATCH(O24,CRIT_MATRIX_ROWS,0),MATCH(APP_RISK_TIER,CRIT_MATRIX_COLS,0)))</f>
        <v/>
      </c>
      <c r="Q24" s="40" t="n"/>
      <c r="R24" s="40" cm="1">
        <f t="array" ref="R24">COUNTIFS(tblThreatControls[Control ID],$A24,tblThreatControls[Threat applies],"Applies")</f>
        <v/>
      </c>
      <c r="S24" s="40" cm="1">
        <f t="array" ref="S24">IF(R24=0,"",INDEX(RISK_SCALE_NAMES,_xlfn.MAXIFS(tblThreatControls[Threat risk score],tblThreatControls[Control ID],$A24)))</f>
        <v/>
      </c>
      <c r="T24" s="40" cm="1">
        <f t="array" ref="T24">IF(AND(H24="Applicable",OR(L24="Not assessed",L24=""),R24&gt;0),"Yes","No")</f>
        <v/>
      </c>
      <c r="U24" s="40" cm="1">
        <f t="array" ref="U24">IF(AND(H24="Applicable",OR(L24="Gap",L24="Partial coverage")),INDEX(RISK_SCALE_NAMES,MAX(IFERROR(MATCH(P24,RISK_SCALE_NAMES,0),1),IFERROR(MATCH(S24,RISK_SCALE_NAMES,0),0))),"")</f>
        <v/>
      </c>
      <c r="V24" s="40" cm="1">
        <f t="array" ref="V24">_xlfn.TEXTJOIN("; ",TRUE,_xlfn._xlws.FILTER(tblThreatControls[Threat ID],(tblThreatControls[Control ID]=$A24)*(tblThreatControls[Threat applies]="Applies"),""))</f>
        <v/>
      </c>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0" t="inlineStr">
        <is>
          <t>SAST + DAST</t>
        </is>
      </c>
      <c r="J25" s="40" t="inlineStr">
        <is>
          <t>Deterministic, continuous</t>
        </is>
      </c>
      <c r="K25" s="42" t="inlineStr">
        <is>
          <t>Pipeline</t>
        </is>
      </c>
      <c r="L25" s="42" t="inlineStr">
        <is>
          <t>Not assessed</t>
        </is>
      </c>
      <c r="M25" s="40" t="n"/>
      <c r="N25" s="40" t="n"/>
      <c r="O25" s="42" t="inlineStr">
        <is>
          <t>High</t>
        </is>
      </c>
      <c r="P25" s="43">
        <f>IF(H25="N/A","N/A",INDEX(CRIT_MATRIX,MATCH(O25,CRIT_MATRIX_ROWS,0),MATCH(APP_RISK_TIER,CRIT_MATRIX_COLS,0)))</f>
        <v/>
      </c>
      <c r="Q25" s="40" t="n"/>
      <c r="R25" s="40" cm="1">
        <f t="array" ref="R25">COUNTIFS(tblThreatControls[Control ID],$A25,tblThreatControls[Threat applies],"Applies")</f>
        <v/>
      </c>
      <c r="S25" s="40" cm="1">
        <f t="array" ref="S25">IF(R25=0,"",INDEX(RISK_SCALE_NAMES,_xlfn.MAXIFS(tblThreatControls[Threat risk score],tblThreatControls[Control ID],$A25)))</f>
        <v/>
      </c>
      <c r="T25" s="40" cm="1">
        <f t="array" ref="T25">IF(AND(H25="Applicable",OR(L25="Not assessed",L25=""),R25&gt;0),"Yes","No")</f>
        <v/>
      </c>
      <c r="U25" s="40" cm="1">
        <f t="array" ref="U25">IF(AND(H25="Applicable",OR(L25="Gap",L25="Partial coverage")),INDEX(RISK_SCALE_NAMES,MAX(IFERROR(MATCH(P25,RISK_SCALE_NAMES,0),1),IFERROR(MATCH(S25,RISK_SCALE_NAMES,0),0))),"")</f>
        <v/>
      </c>
      <c r="V25" s="40" cm="1">
        <f t="array" ref="V25">_xlfn.TEXTJOIN("; ",TRUE,_xlfn._xlws.FILTER(tblThreatControls[Threat ID],(tblThreatControls[Control ID]=$A25)*(tblThreatControls[Threat applies]="Applies"),""))</f>
        <v/>
      </c>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0" t="inlineStr">
        <is>
          <t>SAST + DAST</t>
        </is>
      </c>
      <c r="J26" s="40" t="inlineStr">
        <is>
          <t>Deterministic, continuous</t>
        </is>
      </c>
      <c r="K26" s="42" t="inlineStr">
        <is>
          <t>Pipeline</t>
        </is>
      </c>
      <c r="L26" s="42" t="inlineStr">
        <is>
          <t>Not assessed</t>
        </is>
      </c>
      <c r="M26" s="40" t="n"/>
      <c r="N26" s="40" t="n"/>
      <c r="O26" s="42" t="inlineStr">
        <is>
          <t>High</t>
        </is>
      </c>
      <c r="P26" s="43">
        <f>IF(H26="N/A","N/A",INDEX(CRIT_MATRIX,MATCH(O26,CRIT_MATRIX_ROWS,0),MATCH(APP_RISK_TIER,CRIT_MATRIX_COLS,0)))</f>
        <v/>
      </c>
      <c r="Q26" s="40" t="n"/>
      <c r="R26" s="40" cm="1">
        <f t="array" ref="R26">COUNTIFS(tblThreatControls[Control ID],$A26,tblThreatControls[Threat applies],"Applies")</f>
        <v/>
      </c>
      <c r="S26" s="40" cm="1">
        <f t="array" ref="S26">IF(R26=0,"",INDEX(RISK_SCALE_NAMES,_xlfn.MAXIFS(tblThreatControls[Threat risk score],tblThreatControls[Control ID],$A26)))</f>
        <v/>
      </c>
      <c r="T26" s="40" cm="1">
        <f t="array" ref="T26">IF(AND(H26="Applicable",OR(L26="Not assessed",L26=""),R26&gt;0),"Yes","No")</f>
        <v/>
      </c>
      <c r="U26" s="40" cm="1">
        <f t="array" ref="U26">IF(AND(H26="Applicable",OR(L26="Gap",L26="Partial coverage")),INDEX(RISK_SCALE_NAMES,MAX(IFERROR(MATCH(P26,RISK_SCALE_NAMES,0),1),IFERROR(MATCH(S26,RISK_SCALE_NAMES,0),0))),"")</f>
        <v/>
      </c>
      <c r="V26" s="40" cm="1">
        <f t="array" ref="V26">_xlfn.TEXTJOIN("; ",TRUE,_xlfn._xlws.FILTER(tblThreatControls[Threat ID],(tblThreatControls[Control ID]=$A26)*(tblThreatControls[Threat applies]="Applies"),""))</f>
        <v/>
      </c>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0" t="inlineStr">
        <is>
          <t>SAST + DAST</t>
        </is>
      </c>
      <c r="J27" s="40" t="inlineStr">
        <is>
          <t>Deterministic, continuous</t>
        </is>
      </c>
      <c r="K27" s="42" t="inlineStr">
        <is>
          <t>Pipeline</t>
        </is>
      </c>
      <c r="L27" s="42" t="inlineStr">
        <is>
          <t>Not assessed</t>
        </is>
      </c>
      <c r="M27" s="40" t="n"/>
      <c r="N27" s="40" t="n"/>
      <c r="O27" s="42" t="inlineStr">
        <is>
          <t>High</t>
        </is>
      </c>
      <c r="P27" s="43">
        <f>IF(H27="N/A","N/A",INDEX(CRIT_MATRIX,MATCH(O27,CRIT_MATRIX_ROWS,0),MATCH(APP_RISK_TIER,CRIT_MATRIX_COLS,0)))</f>
        <v/>
      </c>
      <c r="Q27" s="40" t="n"/>
      <c r="R27" s="40" cm="1">
        <f t="array" ref="R27">COUNTIFS(tblThreatControls[Control ID],$A27,tblThreatControls[Threat applies],"Applies")</f>
        <v/>
      </c>
      <c r="S27" s="40" cm="1">
        <f t="array" ref="S27">IF(R27=0,"",INDEX(RISK_SCALE_NAMES,_xlfn.MAXIFS(tblThreatControls[Threat risk score],tblThreatControls[Control ID],$A27)))</f>
        <v/>
      </c>
      <c r="T27" s="40" cm="1">
        <f t="array" ref="T27">IF(AND(H27="Applicable",OR(L27="Not assessed",L27=""),R27&gt;0),"Yes","No")</f>
        <v/>
      </c>
      <c r="U27" s="40" cm="1">
        <f t="array" ref="U27">IF(AND(H27="Applicable",OR(L27="Gap",L27="Partial coverage")),INDEX(RISK_SCALE_NAMES,MAX(IFERROR(MATCH(P27,RISK_SCALE_NAMES,0),1),IFERROR(MATCH(S27,RISK_SCALE_NAMES,0),0))),"")</f>
        <v/>
      </c>
      <c r="V27" s="40" cm="1">
        <f t="array" ref="V27">_xlfn.TEXTJOIN("; ",TRUE,_xlfn._xlws.FILTER(tblThreatControls[Threat ID],(tblThreatControls[Control ID]=$A27)*(tblThreatControls[Threat applies]="Applies"),""))</f>
        <v/>
      </c>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0" t="inlineStr">
        <is>
          <t>SAST + DAST</t>
        </is>
      </c>
      <c r="J28" s="40" t="inlineStr">
        <is>
          <t>Deterministic, continuous</t>
        </is>
      </c>
      <c r="K28" s="42" t="inlineStr">
        <is>
          <t>Pipeline</t>
        </is>
      </c>
      <c r="L28" s="42" t="inlineStr">
        <is>
          <t>Not assessed</t>
        </is>
      </c>
      <c r="M28" s="40" t="n"/>
      <c r="N28" s="40" t="n"/>
      <c r="O28" s="42" t="inlineStr">
        <is>
          <t>High</t>
        </is>
      </c>
      <c r="P28" s="43">
        <f>IF(H28="N/A","N/A",INDEX(CRIT_MATRIX,MATCH(O28,CRIT_MATRIX_ROWS,0),MATCH(APP_RISK_TIER,CRIT_MATRIX_COLS,0)))</f>
        <v/>
      </c>
      <c r="Q28" s="40" t="n"/>
      <c r="R28" s="40" cm="1">
        <f t="array" ref="R28">COUNTIFS(tblThreatControls[Control ID],$A28,tblThreatControls[Threat applies],"Applies")</f>
        <v/>
      </c>
      <c r="S28" s="40" cm="1">
        <f t="array" ref="S28">IF(R28=0,"",INDEX(RISK_SCALE_NAMES,_xlfn.MAXIFS(tblThreatControls[Threat risk score],tblThreatControls[Control ID],$A28)))</f>
        <v/>
      </c>
      <c r="T28" s="40" cm="1">
        <f t="array" ref="T28">IF(AND(H28="Applicable",OR(L28="Not assessed",L28=""),R28&gt;0),"Yes","No")</f>
        <v/>
      </c>
      <c r="U28" s="40" cm="1">
        <f t="array" ref="U28">IF(AND(H28="Applicable",OR(L28="Gap",L28="Partial coverage")),INDEX(RISK_SCALE_NAMES,MAX(IFERROR(MATCH(P28,RISK_SCALE_NAMES,0),1),IFERROR(MATCH(S28,RISK_SCALE_NAMES,0),0))),"")</f>
        <v/>
      </c>
      <c r="V28" s="40" cm="1">
        <f t="array" ref="V28">_xlfn.TEXTJOIN("; ",TRUE,_xlfn._xlws.FILTER(tblThreatControls[Threat ID],(tblThreatControls[Control ID]=$A28)*(tblThreatControls[Threat applies]="Applies"),""))</f>
        <v/>
      </c>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0" t="inlineStr">
        <is>
          <t>SAST + DAST</t>
        </is>
      </c>
      <c r="J29" s="40" t="inlineStr">
        <is>
          <t>Deterministic, continuous</t>
        </is>
      </c>
      <c r="K29" s="42" t="inlineStr">
        <is>
          <t>Pipeline</t>
        </is>
      </c>
      <c r="L29" s="42" t="inlineStr">
        <is>
          <t>Not assessed</t>
        </is>
      </c>
      <c r="M29" s="40" t="n"/>
      <c r="N29" s="40" t="n"/>
      <c r="O29" s="42" t="inlineStr">
        <is>
          <t>High</t>
        </is>
      </c>
      <c r="P29" s="43">
        <f>IF(H29="N/A","N/A",INDEX(CRIT_MATRIX,MATCH(O29,CRIT_MATRIX_ROWS,0),MATCH(APP_RISK_TIER,CRIT_MATRIX_COLS,0)))</f>
        <v/>
      </c>
      <c r="Q29" s="40" t="n"/>
      <c r="R29" s="40" cm="1">
        <f t="array" ref="R29">COUNTIFS(tblThreatControls[Control ID],$A29,tblThreatControls[Threat applies],"Applies")</f>
        <v/>
      </c>
      <c r="S29" s="40" cm="1">
        <f t="array" ref="S29">IF(R29=0,"",INDEX(RISK_SCALE_NAMES,_xlfn.MAXIFS(tblThreatControls[Threat risk score],tblThreatControls[Control ID],$A29)))</f>
        <v/>
      </c>
      <c r="T29" s="40" cm="1">
        <f t="array" ref="T29">IF(AND(H29="Applicable",OR(L29="Not assessed",L29=""),R29&gt;0),"Yes","No")</f>
        <v/>
      </c>
      <c r="U29" s="40" cm="1">
        <f t="array" ref="U29">IF(AND(H29="Applicable",OR(L29="Gap",L29="Partial coverage")),INDEX(RISK_SCALE_NAMES,MAX(IFERROR(MATCH(P29,RISK_SCALE_NAMES,0),1),IFERROR(MATCH(S29,RISK_SCALE_NAMES,0),0))),"")</f>
        <v/>
      </c>
      <c r="V29" s="40" cm="1">
        <f t="array" ref="V29">_xlfn.TEXTJOIN("; ",TRUE,_xlfn._xlws.FILTER(tblThreatControls[Threat ID],(tblThreatControls[Control ID]=$A29)*(tblThreatControls[Threat applies]="Applies"),""))</f>
        <v/>
      </c>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0" t="inlineStr">
        <is>
          <t>SAST + DAST</t>
        </is>
      </c>
      <c r="J30" s="40" t="inlineStr">
        <is>
          <t>Deterministic, continuous</t>
        </is>
      </c>
      <c r="K30" s="42" t="inlineStr">
        <is>
          <t>Pipeline</t>
        </is>
      </c>
      <c r="L30" s="42" t="inlineStr">
        <is>
          <t>Not assessed</t>
        </is>
      </c>
      <c r="M30" s="40" t="n"/>
      <c r="N30" s="40" t="n"/>
      <c r="O30" s="42" t="inlineStr">
        <is>
          <t>High</t>
        </is>
      </c>
      <c r="P30" s="43">
        <f>IF(H30="N/A","N/A",INDEX(CRIT_MATRIX,MATCH(O30,CRIT_MATRIX_ROWS,0),MATCH(APP_RISK_TIER,CRIT_MATRIX_COLS,0)))</f>
        <v/>
      </c>
      <c r="Q30" s="40" t="n"/>
      <c r="R30" s="40" cm="1">
        <f t="array" ref="R30">COUNTIFS(tblThreatControls[Control ID],$A30,tblThreatControls[Threat applies],"Applies")</f>
        <v/>
      </c>
      <c r="S30" s="40" cm="1">
        <f t="array" ref="S30">IF(R30=0,"",INDEX(RISK_SCALE_NAMES,_xlfn.MAXIFS(tblThreatControls[Threat risk score],tblThreatControls[Control ID],$A30)))</f>
        <v/>
      </c>
      <c r="T30" s="40" cm="1">
        <f t="array" ref="T30">IF(AND(H30="Applicable",OR(L30="Not assessed",L30=""),R30&gt;0),"Yes","No")</f>
        <v/>
      </c>
      <c r="U30" s="40" cm="1">
        <f t="array" ref="U30">IF(AND(H30="Applicable",OR(L30="Gap",L30="Partial coverage")),INDEX(RISK_SCALE_NAMES,MAX(IFERROR(MATCH(P30,RISK_SCALE_NAMES,0),1),IFERROR(MATCH(S30,RISK_SCALE_NAMES,0),0))),"")</f>
        <v/>
      </c>
      <c r="V30" s="40" cm="1">
        <f t="array" ref="V30">_xlfn.TEXTJOIN("; ",TRUE,_xlfn._xlws.FILTER(tblThreatControls[Threat ID],(tblThreatControls[Control ID]=$A30)*(tblThreatControls[Threat applies]="Applies"),""))</f>
        <v/>
      </c>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0" t="inlineStr">
        <is>
          <t>SAST + DAST</t>
        </is>
      </c>
      <c r="J31" s="40" t="inlineStr">
        <is>
          <t>Deterministic, continuous</t>
        </is>
      </c>
      <c r="K31" s="42" t="inlineStr">
        <is>
          <t>Pipeline</t>
        </is>
      </c>
      <c r="L31" s="42" t="inlineStr">
        <is>
          <t>Not assessed</t>
        </is>
      </c>
      <c r="M31" s="40" t="n"/>
      <c r="N31" s="40" t="n"/>
      <c r="O31" s="42" t="inlineStr">
        <is>
          <t>High</t>
        </is>
      </c>
      <c r="P31" s="43">
        <f>IF(H31="N/A","N/A",INDEX(CRIT_MATRIX,MATCH(O31,CRIT_MATRIX_ROWS,0),MATCH(APP_RISK_TIER,CRIT_MATRIX_COLS,0)))</f>
        <v/>
      </c>
      <c r="Q31" s="40" t="n"/>
      <c r="R31" s="40" cm="1">
        <f t="array" ref="R31">COUNTIFS(tblThreatControls[Control ID],$A31,tblThreatControls[Threat applies],"Applies")</f>
        <v/>
      </c>
      <c r="S31" s="40" cm="1">
        <f t="array" ref="S31">IF(R31=0,"",INDEX(RISK_SCALE_NAMES,_xlfn.MAXIFS(tblThreatControls[Threat risk score],tblThreatControls[Control ID],$A31)))</f>
        <v/>
      </c>
      <c r="T31" s="40" cm="1">
        <f t="array" ref="T31">IF(AND(H31="Applicable",OR(L31="Not assessed",L31=""),R31&gt;0),"Yes","No")</f>
        <v/>
      </c>
      <c r="U31" s="40" cm="1">
        <f t="array" ref="U31">IF(AND(H31="Applicable",OR(L31="Gap",L31="Partial coverage")),INDEX(RISK_SCALE_NAMES,MAX(IFERROR(MATCH(P31,RISK_SCALE_NAMES,0),1),IFERROR(MATCH(S31,RISK_SCALE_NAMES,0),0))),"")</f>
        <v/>
      </c>
      <c r="V31" s="40" cm="1">
        <f t="array" ref="V31">_xlfn.TEXTJOIN("; ",TRUE,_xlfn._xlws.FILTER(tblThreatControls[Threat ID],(tblThreatControls[Control ID]=$A31)*(tblThreatControls[Threat applies]="Applies"),""))</f>
        <v/>
      </c>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0" t="inlineStr">
        <is>
          <t>SAST + DAST</t>
        </is>
      </c>
      <c r="J32" s="40" t="inlineStr">
        <is>
          <t>Deterministic, continuous</t>
        </is>
      </c>
      <c r="K32" s="42" t="inlineStr">
        <is>
          <t>Pipeline</t>
        </is>
      </c>
      <c r="L32" s="42" t="inlineStr">
        <is>
          <t>Not assessed</t>
        </is>
      </c>
      <c r="M32" s="40" t="n"/>
      <c r="N32" s="40" t="n"/>
      <c r="O32" s="42" t="inlineStr">
        <is>
          <t>High</t>
        </is>
      </c>
      <c r="P32" s="43">
        <f>IF(H32="N/A","N/A",INDEX(CRIT_MATRIX,MATCH(O32,CRIT_MATRIX_ROWS,0),MATCH(APP_RISK_TIER,CRIT_MATRIX_COLS,0)))</f>
        <v/>
      </c>
      <c r="Q32" s="40" t="n"/>
      <c r="R32" s="40" cm="1">
        <f t="array" ref="R32">COUNTIFS(tblThreatControls[Control ID],$A32,tblThreatControls[Threat applies],"Applies")</f>
        <v/>
      </c>
      <c r="S32" s="40" cm="1">
        <f t="array" ref="S32">IF(R32=0,"",INDEX(RISK_SCALE_NAMES,_xlfn.MAXIFS(tblThreatControls[Threat risk score],tblThreatControls[Control ID],$A32)))</f>
        <v/>
      </c>
      <c r="T32" s="40" cm="1">
        <f t="array" ref="T32">IF(AND(H32="Applicable",OR(L32="Not assessed",L32=""),R32&gt;0),"Yes","No")</f>
        <v/>
      </c>
      <c r="U32" s="40" cm="1">
        <f t="array" ref="U32">IF(AND(H32="Applicable",OR(L32="Gap",L32="Partial coverage")),INDEX(RISK_SCALE_NAMES,MAX(IFERROR(MATCH(P32,RISK_SCALE_NAMES,0),1),IFERROR(MATCH(S32,RISK_SCALE_NAMES,0),0))),"")</f>
        <v/>
      </c>
      <c r="V32" s="40" cm="1">
        <f t="array" ref="V32">_xlfn.TEXTJOIN("; ",TRUE,_xlfn._xlws.FILTER(tblThreatControls[Threat ID],(tblThreatControls[Control ID]=$A32)*(tblThreatControls[Threat applies]="Applies"),""))</f>
        <v/>
      </c>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0" t="inlineStr">
        <is>
          <t>SAST + DAST</t>
        </is>
      </c>
      <c r="J33" s="40" t="inlineStr">
        <is>
          <t>Deterministic, continuous</t>
        </is>
      </c>
      <c r="K33" s="42" t="inlineStr">
        <is>
          <t>Pipeline</t>
        </is>
      </c>
      <c r="L33" s="42" t="inlineStr">
        <is>
          <t>Not assessed</t>
        </is>
      </c>
      <c r="M33" s="40" t="n"/>
      <c r="N33" s="40" t="n"/>
      <c r="O33" s="42" t="inlineStr">
        <is>
          <t>High</t>
        </is>
      </c>
      <c r="P33" s="43">
        <f>IF(H33="N/A","N/A",INDEX(CRIT_MATRIX,MATCH(O33,CRIT_MATRIX_ROWS,0),MATCH(APP_RISK_TIER,CRIT_MATRIX_COLS,0)))</f>
        <v/>
      </c>
      <c r="Q33" s="40" t="n"/>
      <c r="R33" s="40" cm="1">
        <f t="array" ref="R33">COUNTIFS(tblThreatControls[Control ID],$A33,tblThreatControls[Threat applies],"Applies")</f>
        <v/>
      </c>
      <c r="S33" s="40" cm="1">
        <f t="array" ref="S33">IF(R33=0,"",INDEX(RISK_SCALE_NAMES,_xlfn.MAXIFS(tblThreatControls[Threat risk score],tblThreatControls[Control ID],$A33)))</f>
        <v/>
      </c>
      <c r="T33" s="40" cm="1">
        <f t="array" ref="T33">IF(AND(H33="Applicable",OR(L33="Not assessed",L33=""),R33&gt;0),"Yes","No")</f>
        <v/>
      </c>
      <c r="U33" s="40" cm="1">
        <f t="array" ref="U33">IF(AND(H33="Applicable",OR(L33="Gap",L33="Partial coverage")),INDEX(RISK_SCALE_NAMES,MAX(IFERROR(MATCH(P33,RISK_SCALE_NAMES,0),1),IFERROR(MATCH(S33,RISK_SCALE_NAMES,0),0))),"")</f>
        <v/>
      </c>
      <c r="V33" s="40" cm="1">
        <f t="array" ref="V33">_xlfn.TEXTJOIN("; ",TRUE,_xlfn._xlws.FILTER(tblThreatControls[Threat ID],(tblThreatControls[Control ID]=$A33)*(tblThreatControls[Threat applies]="Applies"),""))</f>
        <v/>
      </c>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0" t="inlineStr">
        <is>
          <t>SAST + DAST</t>
        </is>
      </c>
      <c r="J34" s="40" t="inlineStr">
        <is>
          <t>Deterministic, continuous</t>
        </is>
      </c>
      <c r="K34" s="42" t="inlineStr">
        <is>
          <t>Pipeline</t>
        </is>
      </c>
      <c r="L34" s="42" t="inlineStr">
        <is>
          <t>Not assessed</t>
        </is>
      </c>
      <c r="M34" s="40" t="n"/>
      <c r="N34" s="40" t="n"/>
      <c r="O34" s="42" t="inlineStr">
        <is>
          <t>High</t>
        </is>
      </c>
      <c r="P34" s="43">
        <f>IF(H34="N/A","N/A",INDEX(CRIT_MATRIX,MATCH(O34,CRIT_MATRIX_ROWS,0),MATCH(APP_RISK_TIER,CRIT_MATRIX_COLS,0)))</f>
        <v/>
      </c>
      <c r="Q34" s="40" t="n"/>
      <c r="R34" s="40" cm="1">
        <f t="array" ref="R34">COUNTIFS(tblThreatControls[Control ID],$A34,tblThreatControls[Threat applies],"Applies")</f>
        <v/>
      </c>
      <c r="S34" s="40" cm="1">
        <f t="array" ref="S34">IF(R34=0,"",INDEX(RISK_SCALE_NAMES,_xlfn.MAXIFS(tblThreatControls[Threat risk score],tblThreatControls[Control ID],$A34)))</f>
        <v/>
      </c>
      <c r="T34" s="40" cm="1">
        <f t="array" ref="T34">IF(AND(H34="Applicable",OR(L34="Not assessed",L34=""),R34&gt;0),"Yes","No")</f>
        <v/>
      </c>
      <c r="U34" s="40" cm="1">
        <f t="array" ref="U34">IF(AND(H34="Applicable",OR(L34="Gap",L34="Partial coverage")),INDEX(RISK_SCALE_NAMES,MAX(IFERROR(MATCH(P34,RISK_SCALE_NAMES,0),1),IFERROR(MATCH(S34,RISK_SCALE_NAMES,0),0))),"")</f>
        <v/>
      </c>
      <c r="V34" s="40" cm="1">
        <f t="array" ref="V34">_xlfn.TEXTJOIN("; ",TRUE,_xlfn._xlws.FILTER(tblThreatControls[Threat ID],(tblThreatControls[Control ID]=$A34)*(tblThreatControls[Threat applies]="Applies"),""))</f>
        <v/>
      </c>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0" t="inlineStr">
        <is>
          <t>Architecture / documentation review</t>
        </is>
      </c>
      <c r="J35" s="40" t="inlineStr">
        <is>
          <t>Sampled, periodic</t>
        </is>
      </c>
      <c r="K35" s="42" t="inlineStr">
        <is>
          <t>Design/Governance</t>
        </is>
      </c>
      <c r="L35" s="42" t="inlineStr">
        <is>
          <t>Not assessed</t>
        </is>
      </c>
      <c r="M35" s="40" t="n"/>
      <c r="N35" s="40" t="n"/>
      <c r="O35" s="42" t="inlineStr">
        <is>
          <t>High</t>
        </is>
      </c>
      <c r="P35" s="43">
        <f>IF(H35="N/A","N/A",INDEX(CRIT_MATRIX,MATCH(O35,CRIT_MATRIX_ROWS,0),MATCH(APP_RISK_TIER,CRIT_MATRIX_COLS,0)))</f>
        <v/>
      </c>
      <c r="Q35" s="40" t="n"/>
      <c r="R35" s="40" cm="1">
        <f t="array" ref="R35">COUNTIFS(tblThreatControls[Control ID],$A35,tblThreatControls[Threat applies],"Applies")</f>
        <v/>
      </c>
      <c r="S35" s="40" cm="1">
        <f t="array" ref="S35">IF(R35=0,"",INDEX(RISK_SCALE_NAMES,_xlfn.MAXIFS(tblThreatControls[Threat risk score],tblThreatControls[Control ID],$A35)))</f>
        <v/>
      </c>
      <c r="T35" s="40" cm="1">
        <f t="array" ref="T35">IF(AND(H35="Applicable",OR(L35="Not assessed",L35=""),R35&gt;0),"Yes","No")</f>
        <v/>
      </c>
      <c r="U35" s="40" cm="1">
        <f t="array" ref="U35">IF(AND(H35="Applicable",OR(L35="Gap",L35="Partial coverage")),INDEX(RISK_SCALE_NAMES,MAX(IFERROR(MATCH(P35,RISK_SCALE_NAMES,0),1),IFERROR(MATCH(S35,RISK_SCALE_NAMES,0),0))),"")</f>
        <v/>
      </c>
      <c r="V35" s="40" cm="1">
        <f t="array" ref="V35">_xlfn.TEXTJOIN("; ",TRUE,_xlfn._xlws.FILTER(tblThreatControls[Threat ID],(tblThreatControls[Control ID]=$A35)*(tblThreatControls[Threat applies]="Applies"),""))</f>
        <v/>
      </c>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0" t="inlineStr">
        <is>
          <t>Architecture / documentation review</t>
        </is>
      </c>
      <c r="J36" s="40" t="inlineStr">
        <is>
          <t>Sampled, periodic</t>
        </is>
      </c>
      <c r="K36" s="42" t="inlineStr">
        <is>
          <t>Design/Governance</t>
        </is>
      </c>
      <c r="L36" s="42" t="inlineStr">
        <is>
          <t>Not assessed</t>
        </is>
      </c>
      <c r="M36" s="40" t="n"/>
      <c r="N36" s="40" t="n"/>
      <c r="O36" s="42" t="inlineStr">
        <is>
          <t>High</t>
        </is>
      </c>
      <c r="P36" s="43">
        <f>IF(H36="N/A","N/A",INDEX(CRIT_MATRIX,MATCH(O36,CRIT_MATRIX_ROWS,0),MATCH(APP_RISK_TIER,CRIT_MATRIX_COLS,0)))</f>
        <v/>
      </c>
      <c r="Q36" s="40" t="n"/>
      <c r="R36" s="40" cm="1">
        <f t="array" ref="R36">COUNTIFS(tblThreatControls[Control ID],$A36,tblThreatControls[Threat applies],"Applies")</f>
        <v/>
      </c>
      <c r="S36" s="40" cm="1">
        <f t="array" ref="S36">IF(R36=0,"",INDEX(RISK_SCALE_NAMES,_xlfn.MAXIFS(tblThreatControls[Threat risk score],tblThreatControls[Control ID],$A36)))</f>
        <v/>
      </c>
      <c r="T36" s="40" cm="1">
        <f t="array" ref="T36">IF(AND(H36="Applicable",OR(L36="Not assessed",L36=""),R36&gt;0),"Yes","No")</f>
        <v/>
      </c>
      <c r="U36" s="40" cm="1">
        <f t="array" ref="U36">IF(AND(H36="Applicable",OR(L36="Gap",L36="Partial coverage")),INDEX(RISK_SCALE_NAMES,MAX(IFERROR(MATCH(P36,RISK_SCALE_NAMES,0),1),IFERROR(MATCH(S36,RISK_SCALE_NAMES,0),0))),"")</f>
        <v/>
      </c>
      <c r="V36" s="40" cm="1">
        <f t="array" ref="V36">_xlfn.TEXTJOIN("; ",TRUE,_xlfn._xlws.FILTER(tblThreatControls[Threat ID],(tblThreatControls[Control ID]=$A36)*(tblThreatControls[Threat applies]="Applies"),""))</f>
        <v/>
      </c>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0" t="inlineStr">
        <is>
          <t>Architecture / documentation review</t>
        </is>
      </c>
      <c r="J37" s="40" t="inlineStr">
        <is>
          <t>Sampled, periodic</t>
        </is>
      </c>
      <c r="K37" s="42" t="inlineStr">
        <is>
          <t>Design/Governance</t>
        </is>
      </c>
      <c r="L37" s="42" t="inlineStr">
        <is>
          <t>Not assessed</t>
        </is>
      </c>
      <c r="M37" s="40" t="n"/>
      <c r="N37" s="40" t="n"/>
      <c r="O37" s="42" t="inlineStr">
        <is>
          <t>High</t>
        </is>
      </c>
      <c r="P37" s="43">
        <f>IF(H37="N/A","N/A",INDEX(CRIT_MATRIX,MATCH(O37,CRIT_MATRIX_ROWS,0),MATCH(APP_RISK_TIER,CRIT_MATRIX_COLS,0)))</f>
        <v/>
      </c>
      <c r="Q37" s="40" t="n"/>
      <c r="R37" s="40" cm="1">
        <f t="array" ref="R37">COUNTIFS(tblThreatControls[Control ID],$A37,tblThreatControls[Threat applies],"Applies")</f>
        <v/>
      </c>
      <c r="S37" s="40" cm="1">
        <f t="array" ref="S37">IF(R37=0,"",INDEX(RISK_SCALE_NAMES,_xlfn.MAXIFS(tblThreatControls[Threat risk score],tblThreatControls[Control ID],$A37)))</f>
        <v/>
      </c>
      <c r="T37" s="40" cm="1">
        <f t="array" ref="T37">IF(AND(H37="Applicable",OR(L37="Not assessed",L37=""),R37&gt;0),"Yes","No")</f>
        <v/>
      </c>
      <c r="U37" s="40" cm="1">
        <f t="array" ref="U37">IF(AND(H37="Applicable",OR(L37="Gap",L37="Partial coverage")),INDEX(RISK_SCALE_NAMES,MAX(IFERROR(MATCH(P37,RISK_SCALE_NAMES,0),1),IFERROR(MATCH(S37,RISK_SCALE_NAMES,0),0))),"")</f>
        <v/>
      </c>
      <c r="V37" s="40" cm="1">
        <f t="array" ref="V37">_xlfn.TEXTJOIN("; ",TRUE,_xlfn._xlws.FILTER(tblThreatControls[Threat ID],(tblThreatControls[Control ID]=$A37)*(tblThreatControls[Threat applies]="Applies"),""))</f>
        <v/>
      </c>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0" t="inlineStr">
        <is>
          <t>SAST + DAST</t>
        </is>
      </c>
      <c r="J38" s="40" t="inlineStr">
        <is>
          <t>Deterministic, continuous</t>
        </is>
      </c>
      <c r="K38" s="42" t="inlineStr">
        <is>
          <t>Pipeline</t>
        </is>
      </c>
      <c r="L38" s="42" t="inlineStr">
        <is>
          <t>Not assessed</t>
        </is>
      </c>
      <c r="M38" s="40" t="n"/>
      <c r="N38" s="40" t="n"/>
      <c r="O38" s="42" t="inlineStr">
        <is>
          <t>High</t>
        </is>
      </c>
      <c r="P38" s="43">
        <f>IF(H38="N/A","N/A",INDEX(CRIT_MATRIX,MATCH(O38,CRIT_MATRIX_ROWS,0),MATCH(APP_RISK_TIER,CRIT_MATRIX_COLS,0)))</f>
        <v/>
      </c>
      <c r="Q38" s="40" t="n"/>
      <c r="R38" s="40" cm="1">
        <f t="array" ref="R38">COUNTIFS(tblThreatControls[Control ID],$A38,tblThreatControls[Threat applies],"Applies")</f>
        <v/>
      </c>
      <c r="S38" s="40" cm="1">
        <f t="array" ref="S38">IF(R38=0,"",INDEX(RISK_SCALE_NAMES,_xlfn.MAXIFS(tblThreatControls[Threat risk score],tblThreatControls[Control ID],$A38)))</f>
        <v/>
      </c>
      <c r="T38" s="40" cm="1">
        <f t="array" ref="T38">IF(AND(H38="Applicable",OR(L38="Not assessed",L38=""),R38&gt;0),"Yes","No")</f>
        <v/>
      </c>
      <c r="U38" s="40" cm="1">
        <f t="array" ref="U38">IF(AND(H38="Applicable",OR(L38="Gap",L38="Partial coverage")),INDEX(RISK_SCALE_NAMES,MAX(IFERROR(MATCH(P38,RISK_SCALE_NAMES,0),1),IFERROR(MATCH(S38,RISK_SCALE_NAMES,0),0))),"")</f>
        <v/>
      </c>
      <c r="V38" s="40" cm="1">
        <f t="array" ref="V38">_xlfn.TEXTJOIN("; ",TRUE,_xlfn._xlws.FILTER(tblThreatControls[Threat ID],(tblThreatControls[Control ID]=$A38)*(tblThreatControls[Threat applies]="Applies"),""))</f>
        <v/>
      </c>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0" t="inlineStr">
        <is>
          <t>SAST + DAST</t>
        </is>
      </c>
      <c r="J39" s="40" t="inlineStr">
        <is>
          <t>Deterministic, continuous</t>
        </is>
      </c>
      <c r="K39" s="42" t="inlineStr">
        <is>
          <t>Pipeline</t>
        </is>
      </c>
      <c r="L39" s="42" t="inlineStr">
        <is>
          <t>Not assessed</t>
        </is>
      </c>
      <c r="M39" s="40" t="n"/>
      <c r="N39" s="40" t="n"/>
      <c r="O39" s="42" t="inlineStr">
        <is>
          <t>High</t>
        </is>
      </c>
      <c r="P39" s="43">
        <f>IF(H39="N/A","N/A",INDEX(CRIT_MATRIX,MATCH(O39,CRIT_MATRIX_ROWS,0),MATCH(APP_RISK_TIER,CRIT_MATRIX_COLS,0)))</f>
        <v/>
      </c>
      <c r="Q39" s="40" t="n"/>
      <c r="R39" s="40" cm="1">
        <f t="array" ref="R39">COUNTIFS(tblThreatControls[Control ID],$A39,tblThreatControls[Threat applies],"Applies")</f>
        <v/>
      </c>
      <c r="S39" s="40" cm="1">
        <f t="array" ref="S39">IF(R39=0,"",INDEX(RISK_SCALE_NAMES,_xlfn.MAXIFS(tblThreatControls[Threat risk score],tblThreatControls[Control ID],$A39)))</f>
        <v/>
      </c>
      <c r="T39" s="40" cm="1">
        <f t="array" ref="T39">IF(AND(H39="Applicable",OR(L39="Not assessed",L39=""),R39&gt;0),"Yes","No")</f>
        <v/>
      </c>
      <c r="U39" s="40" cm="1">
        <f t="array" ref="U39">IF(AND(H39="Applicable",OR(L39="Gap",L39="Partial coverage")),INDEX(RISK_SCALE_NAMES,MAX(IFERROR(MATCH(P39,RISK_SCALE_NAMES,0),1),IFERROR(MATCH(S39,RISK_SCALE_NAMES,0),0))),"")</f>
        <v/>
      </c>
      <c r="V39" s="40" cm="1">
        <f t="array" ref="V39">_xlfn.TEXTJOIN("; ",TRUE,_xlfn._xlws.FILTER(tblThreatControls[Threat ID],(tblThreatControls[Control ID]=$A39)*(tblThreatControls[Threat applies]="Applies"),""))</f>
        <v/>
      </c>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0" t="inlineStr">
        <is>
          <t>SAST + DAST</t>
        </is>
      </c>
      <c r="J40" s="40" t="inlineStr">
        <is>
          <t>Deterministic, continuous</t>
        </is>
      </c>
      <c r="K40" s="42" t="inlineStr">
        <is>
          <t>Pipeline</t>
        </is>
      </c>
      <c r="L40" s="42" t="inlineStr">
        <is>
          <t>Not assessed</t>
        </is>
      </c>
      <c r="M40" s="40" t="n"/>
      <c r="N40" s="40" t="n"/>
      <c r="O40" s="42" t="inlineStr">
        <is>
          <t>High</t>
        </is>
      </c>
      <c r="P40" s="43">
        <f>IF(H40="N/A","N/A",INDEX(CRIT_MATRIX,MATCH(O40,CRIT_MATRIX_ROWS,0),MATCH(APP_RISK_TIER,CRIT_MATRIX_COLS,0)))</f>
        <v/>
      </c>
      <c r="Q40" s="40" t="n"/>
      <c r="R40" s="40" cm="1">
        <f t="array" ref="R40">COUNTIFS(tblThreatControls[Control ID],$A40,tblThreatControls[Threat applies],"Applies")</f>
        <v/>
      </c>
      <c r="S40" s="40" cm="1">
        <f t="array" ref="S40">IF(R40=0,"",INDEX(RISK_SCALE_NAMES,_xlfn.MAXIFS(tblThreatControls[Threat risk score],tblThreatControls[Control ID],$A40)))</f>
        <v/>
      </c>
      <c r="T40" s="40" cm="1">
        <f t="array" ref="T40">IF(AND(H40="Applicable",OR(L40="Not assessed",L40=""),R40&gt;0),"Yes","No")</f>
        <v/>
      </c>
      <c r="U40" s="40" cm="1">
        <f t="array" ref="U40">IF(AND(H40="Applicable",OR(L40="Gap",L40="Partial coverage")),INDEX(RISK_SCALE_NAMES,MAX(IFERROR(MATCH(P40,RISK_SCALE_NAMES,0),1),IFERROR(MATCH(S40,RISK_SCALE_NAMES,0),0))),"")</f>
        <v/>
      </c>
      <c r="V40" s="40" cm="1">
        <f t="array" ref="V40">_xlfn.TEXTJOIN("; ",TRUE,_xlfn._xlws.FILTER(tblThreatControls[Threat ID],(tblThreatControls[Control ID]=$A40)*(tblThreatControls[Threat applies]="Applies"),""))</f>
        <v/>
      </c>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0" t="inlineStr">
        <is>
          <t>Pentest / manual review</t>
        </is>
      </c>
      <c r="J41" s="40" t="inlineStr">
        <is>
          <t>Sampled, periodic</t>
        </is>
      </c>
      <c r="K41" s="42" t="inlineStr">
        <is>
          <t>Periodic</t>
        </is>
      </c>
      <c r="L41" s="42" t="inlineStr">
        <is>
          <t>Not assessed</t>
        </is>
      </c>
      <c r="M41" s="40" t="n"/>
      <c r="N41" s="40" t="n"/>
      <c r="O41" s="42" t="inlineStr">
        <is>
          <t>High</t>
        </is>
      </c>
      <c r="P41" s="43">
        <f>IF(H41="N/A","N/A",INDEX(CRIT_MATRIX,MATCH(O41,CRIT_MATRIX_ROWS,0),MATCH(APP_RISK_TIER,CRIT_MATRIX_COLS,0)))</f>
        <v/>
      </c>
      <c r="Q41" s="40" t="n"/>
      <c r="R41" s="40" cm="1">
        <f t="array" ref="R41">COUNTIFS(tblThreatControls[Control ID],$A41,tblThreatControls[Threat applies],"Applies")</f>
        <v/>
      </c>
      <c r="S41" s="40" cm="1">
        <f t="array" ref="S41">IF(R41=0,"",INDEX(RISK_SCALE_NAMES,_xlfn.MAXIFS(tblThreatControls[Threat risk score],tblThreatControls[Control ID],$A41)))</f>
        <v/>
      </c>
      <c r="T41" s="40" cm="1">
        <f t="array" ref="T41">IF(AND(H41="Applicable",OR(L41="Not assessed",L41=""),R41&gt;0),"Yes","No")</f>
        <v/>
      </c>
      <c r="U41" s="40" cm="1">
        <f t="array" ref="U41">IF(AND(H41="Applicable",OR(L41="Gap",L41="Partial coverage")),INDEX(RISK_SCALE_NAMES,MAX(IFERROR(MATCH(P41,RISK_SCALE_NAMES,0),1),IFERROR(MATCH(S41,RISK_SCALE_NAMES,0),0))),"")</f>
        <v/>
      </c>
      <c r="V41" s="40" cm="1">
        <f t="array" ref="V41">_xlfn.TEXTJOIN("; ",TRUE,_xlfn._xlws.FILTER(tblThreatControls[Threat ID],(tblThreatControls[Control ID]=$A41)*(tblThreatControls[Threat applies]="Applies"),""))</f>
        <v/>
      </c>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0" t="inlineStr">
        <is>
          <t>Pentest / manual review</t>
        </is>
      </c>
      <c r="J42" s="40" t="inlineStr">
        <is>
          <t>Sampled, periodic</t>
        </is>
      </c>
      <c r="K42" s="42" t="inlineStr">
        <is>
          <t>Periodic</t>
        </is>
      </c>
      <c r="L42" s="42" t="inlineStr">
        <is>
          <t>Not assessed</t>
        </is>
      </c>
      <c r="M42" s="40" t="n"/>
      <c r="N42" s="40" t="n"/>
      <c r="O42" s="42" t="inlineStr">
        <is>
          <t>High</t>
        </is>
      </c>
      <c r="P42" s="43">
        <f>IF(H42="N/A","N/A",INDEX(CRIT_MATRIX,MATCH(O42,CRIT_MATRIX_ROWS,0),MATCH(APP_RISK_TIER,CRIT_MATRIX_COLS,0)))</f>
        <v/>
      </c>
      <c r="Q42" s="40" t="n"/>
      <c r="R42" s="40" cm="1">
        <f t="array" ref="R42">COUNTIFS(tblThreatControls[Control ID],$A42,tblThreatControls[Threat applies],"Applies")</f>
        <v/>
      </c>
      <c r="S42" s="40" cm="1">
        <f t="array" ref="S42">IF(R42=0,"",INDEX(RISK_SCALE_NAMES,_xlfn.MAXIFS(tblThreatControls[Threat risk score],tblThreatControls[Control ID],$A42)))</f>
        <v/>
      </c>
      <c r="T42" s="40" cm="1">
        <f t="array" ref="T42">IF(AND(H42="Applicable",OR(L42="Not assessed",L42=""),R42&gt;0),"Yes","No")</f>
        <v/>
      </c>
      <c r="U42" s="40" cm="1">
        <f t="array" ref="U42">IF(AND(H42="Applicable",OR(L42="Gap",L42="Partial coverage")),INDEX(RISK_SCALE_NAMES,MAX(IFERROR(MATCH(P42,RISK_SCALE_NAMES,0),1),IFERROR(MATCH(S42,RISK_SCALE_NAMES,0),0))),"")</f>
        <v/>
      </c>
      <c r="V42" s="40" cm="1">
        <f t="array" ref="V42">_xlfn.TEXTJOIN("; ",TRUE,_xlfn._xlws.FILTER(tblThreatControls[Threat ID],(tblThreatControls[Control ID]=$A42)*(tblThreatControls[Threat applies]="Applies"),""))</f>
        <v/>
      </c>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0" t="inlineStr">
        <is>
          <t>Pentest / manual review</t>
        </is>
      </c>
      <c r="J43" s="40" t="inlineStr">
        <is>
          <t>Sampled, periodic</t>
        </is>
      </c>
      <c r="K43" s="42" t="inlineStr">
        <is>
          <t>Periodic</t>
        </is>
      </c>
      <c r="L43" s="42" t="inlineStr">
        <is>
          <t>Not assessed</t>
        </is>
      </c>
      <c r="M43" s="40" t="n"/>
      <c r="N43" s="40" t="n"/>
      <c r="O43" s="42" t="inlineStr">
        <is>
          <t>High</t>
        </is>
      </c>
      <c r="P43" s="43">
        <f>IF(H43="N/A","N/A",INDEX(CRIT_MATRIX,MATCH(O43,CRIT_MATRIX_ROWS,0),MATCH(APP_RISK_TIER,CRIT_MATRIX_COLS,0)))</f>
        <v/>
      </c>
      <c r="Q43" s="40" t="n"/>
      <c r="R43" s="40" cm="1">
        <f t="array" ref="R43">COUNTIFS(tblThreatControls[Control ID],$A43,tblThreatControls[Threat applies],"Applies")</f>
        <v/>
      </c>
      <c r="S43" s="40" cm="1">
        <f t="array" ref="S43">IF(R43=0,"",INDEX(RISK_SCALE_NAMES,_xlfn.MAXIFS(tblThreatControls[Threat risk score],tblThreatControls[Control ID],$A43)))</f>
        <v/>
      </c>
      <c r="T43" s="40" cm="1">
        <f t="array" ref="T43">IF(AND(H43="Applicable",OR(L43="Not assessed",L43=""),R43&gt;0),"Yes","No")</f>
        <v/>
      </c>
      <c r="U43" s="40" cm="1">
        <f t="array" ref="U43">IF(AND(H43="Applicable",OR(L43="Gap",L43="Partial coverage")),INDEX(RISK_SCALE_NAMES,MAX(IFERROR(MATCH(P43,RISK_SCALE_NAMES,0),1),IFERROR(MATCH(S43,RISK_SCALE_NAMES,0),0))),"")</f>
        <v/>
      </c>
      <c r="V43" s="40" cm="1">
        <f t="array" ref="V43">_xlfn.TEXTJOIN("; ",TRUE,_xlfn._xlws.FILTER(tblThreatControls[Threat ID],(tblThreatControls[Control ID]=$A43)*(tblThreatControls[Threat applies]="Applies"),""))</f>
        <v/>
      </c>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0" t="inlineStr">
        <is>
          <t>Pentest / manual review</t>
        </is>
      </c>
      <c r="J44" s="40" t="inlineStr">
        <is>
          <t>Sampled, periodic</t>
        </is>
      </c>
      <c r="K44" s="42" t="inlineStr">
        <is>
          <t>Periodic</t>
        </is>
      </c>
      <c r="L44" s="42" t="inlineStr">
        <is>
          <t>Not assessed</t>
        </is>
      </c>
      <c r="M44" s="40" t="n"/>
      <c r="N44" s="40" t="n"/>
      <c r="O44" s="42" t="inlineStr">
        <is>
          <t>High</t>
        </is>
      </c>
      <c r="P44" s="43">
        <f>IF(H44="N/A","N/A",INDEX(CRIT_MATRIX,MATCH(O44,CRIT_MATRIX_ROWS,0),MATCH(APP_RISK_TIER,CRIT_MATRIX_COLS,0)))</f>
        <v/>
      </c>
      <c r="Q44" s="40" t="n"/>
      <c r="R44" s="40" cm="1">
        <f t="array" ref="R44">COUNTIFS(tblThreatControls[Control ID],$A44,tblThreatControls[Threat applies],"Applies")</f>
        <v/>
      </c>
      <c r="S44" s="40" cm="1">
        <f t="array" ref="S44">IF(R44=0,"",INDEX(RISK_SCALE_NAMES,_xlfn.MAXIFS(tblThreatControls[Threat risk score],tblThreatControls[Control ID],$A44)))</f>
        <v/>
      </c>
      <c r="T44" s="40" cm="1">
        <f t="array" ref="T44">IF(AND(H44="Applicable",OR(L44="Not assessed",L44=""),R44&gt;0),"Yes","No")</f>
        <v/>
      </c>
      <c r="U44" s="40" cm="1">
        <f t="array" ref="U44">IF(AND(H44="Applicable",OR(L44="Gap",L44="Partial coverage")),INDEX(RISK_SCALE_NAMES,MAX(IFERROR(MATCH(P44,RISK_SCALE_NAMES,0),1),IFERROR(MATCH(S44,RISK_SCALE_NAMES,0),0))),"")</f>
        <v/>
      </c>
      <c r="V44" s="40" cm="1">
        <f t="array" ref="V44">_xlfn.TEXTJOIN("; ",TRUE,_xlfn._xlws.FILTER(tblThreatControls[Threat ID],(tblThreatControls[Control ID]=$A44)*(tblThreatControls[Threat applies]="Applies"),""))</f>
        <v/>
      </c>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0" t="inlineStr">
        <is>
          <t>Pentest / manual review</t>
        </is>
      </c>
      <c r="J45" s="40" t="inlineStr">
        <is>
          <t>Sampled, periodic</t>
        </is>
      </c>
      <c r="K45" s="42" t="inlineStr">
        <is>
          <t>Periodic</t>
        </is>
      </c>
      <c r="L45" s="42" t="inlineStr">
        <is>
          <t>Not assessed</t>
        </is>
      </c>
      <c r="M45" s="40" t="n"/>
      <c r="N45" s="40" t="n"/>
      <c r="O45" s="42" t="inlineStr">
        <is>
          <t>High</t>
        </is>
      </c>
      <c r="P45" s="43">
        <f>IF(H45="N/A","N/A",INDEX(CRIT_MATRIX,MATCH(O45,CRIT_MATRIX_ROWS,0),MATCH(APP_RISK_TIER,CRIT_MATRIX_COLS,0)))</f>
        <v/>
      </c>
      <c r="Q45" s="40" t="n"/>
      <c r="R45" s="40" cm="1">
        <f t="array" ref="R45">COUNTIFS(tblThreatControls[Control ID],$A45,tblThreatControls[Threat applies],"Applies")</f>
        <v/>
      </c>
      <c r="S45" s="40" cm="1">
        <f t="array" ref="S45">IF(R45=0,"",INDEX(RISK_SCALE_NAMES,_xlfn.MAXIFS(tblThreatControls[Threat risk score],tblThreatControls[Control ID],$A45)))</f>
        <v/>
      </c>
      <c r="T45" s="40" cm="1">
        <f t="array" ref="T45">IF(AND(H45="Applicable",OR(L45="Not assessed",L45=""),R45&gt;0),"Yes","No")</f>
        <v/>
      </c>
      <c r="U45" s="40" cm="1">
        <f t="array" ref="U45">IF(AND(H45="Applicable",OR(L45="Gap",L45="Partial coverage")),INDEX(RISK_SCALE_NAMES,MAX(IFERROR(MATCH(P45,RISK_SCALE_NAMES,0),1),IFERROR(MATCH(S45,RISK_SCALE_NAMES,0),0))),"")</f>
        <v/>
      </c>
      <c r="V45" s="40" cm="1">
        <f t="array" ref="V45">_xlfn.TEXTJOIN("; ",TRUE,_xlfn._xlws.FILTER(tblThreatControls[Threat ID],(tblThreatControls[Control ID]=$A45)*(tblThreatControls[Threat applies]="Applies"),""))</f>
        <v/>
      </c>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0" t="inlineStr">
        <is>
          <t>SAST + DAST</t>
        </is>
      </c>
      <c r="J46" s="40" t="inlineStr">
        <is>
          <t>Deterministic, continuous</t>
        </is>
      </c>
      <c r="K46" s="42" t="inlineStr">
        <is>
          <t>Pipeline</t>
        </is>
      </c>
      <c r="L46" s="42" t="inlineStr">
        <is>
          <t>Not assessed</t>
        </is>
      </c>
      <c r="M46" s="40" t="n"/>
      <c r="N46" s="40" t="n"/>
      <c r="O46" s="42" t="inlineStr">
        <is>
          <t>High</t>
        </is>
      </c>
      <c r="P46" s="43">
        <f>IF(H46="N/A","N/A",INDEX(CRIT_MATRIX,MATCH(O46,CRIT_MATRIX_ROWS,0),MATCH(APP_RISK_TIER,CRIT_MATRIX_COLS,0)))</f>
        <v/>
      </c>
      <c r="Q46" s="40" t="n"/>
      <c r="R46" s="40" cm="1">
        <f t="array" ref="R46">COUNTIFS(tblThreatControls[Control ID],$A46,tblThreatControls[Threat applies],"Applies")</f>
        <v/>
      </c>
      <c r="S46" s="40" cm="1">
        <f t="array" ref="S46">IF(R46=0,"",INDEX(RISK_SCALE_NAMES,_xlfn.MAXIFS(tblThreatControls[Threat risk score],tblThreatControls[Control ID],$A46)))</f>
        <v/>
      </c>
      <c r="T46" s="40" cm="1">
        <f t="array" ref="T46">IF(AND(H46="Applicable",OR(L46="Not assessed",L46=""),R46&gt;0),"Yes","No")</f>
        <v/>
      </c>
      <c r="U46" s="40" cm="1">
        <f t="array" ref="U46">IF(AND(H46="Applicable",OR(L46="Gap",L46="Partial coverage")),INDEX(RISK_SCALE_NAMES,MAX(IFERROR(MATCH(P46,RISK_SCALE_NAMES,0),1),IFERROR(MATCH(S46,RISK_SCALE_NAMES,0),0))),"")</f>
        <v/>
      </c>
      <c r="V46" s="40" cm="1">
        <f t="array" ref="V46">_xlfn.TEXTJOIN("; ",TRUE,_xlfn._xlws.FILTER(tblThreatControls[Threat ID],(tblThreatControls[Control ID]=$A46)*(tblThreatControls[Threat applies]="Applies"),""))</f>
        <v/>
      </c>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0" t="inlineStr">
        <is>
          <t>SAST + DAST</t>
        </is>
      </c>
      <c r="J47" s="40" t="inlineStr">
        <is>
          <t>Deterministic, continuous</t>
        </is>
      </c>
      <c r="K47" s="42" t="inlineStr">
        <is>
          <t>Pipeline</t>
        </is>
      </c>
      <c r="L47" s="42" t="inlineStr">
        <is>
          <t>Not assessed</t>
        </is>
      </c>
      <c r="M47" s="40" t="n"/>
      <c r="N47" s="40" t="n"/>
      <c r="O47" s="42" t="inlineStr">
        <is>
          <t>High</t>
        </is>
      </c>
      <c r="P47" s="43">
        <f>IF(H47="N/A","N/A",INDEX(CRIT_MATRIX,MATCH(O47,CRIT_MATRIX_ROWS,0),MATCH(APP_RISK_TIER,CRIT_MATRIX_COLS,0)))</f>
        <v/>
      </c>
      <c r="Q47" s="40" t="n"/>
      <c r="R47" s="40" cm="1">
        <f t="array" ref="R47">COUNTIFS(tblThreatControls[Control ID],$A47,tblThreatControls[Threat applies],"Applies")</f>
        <v/>
      </c>
      <c r="S47" s="40" cm="1">
        <f t="array" ref="S47">IF(R47=0,"",INDEX(RISK_SCALE_NAMES,_xlfn.MAXIFS(tblThreatControls[Threat risk score],tblThreatControls[Control ID],$A47)))</f>
        <v/>
      </c>
      <c r="T47" s="40" cm="1">
        <f t="array" ref="T47">IF(AND(H47="Applicable",OR(L47="Not assessed",L47=""),R47&gt;0),"Yes","No")</f>
        <v/>
      </c>
      <c r="U47" s="40" cm="1">
        <f t="array" ref="U47">IF(AND(H47="Applicable",OR(L47="Gap",L47="Partial coverage")),INDEX(RISK_SCALE_NAMES,MAX(IFERROR(MATCH(P47,RISK_SCALE_NAMES,0),1),IFERROR(MATCH(S47,RISK_SCALE_NAMES,0),0))),"")</f>
        <v/>
      </c>
      <c r="V47" s="40" cm="1">
        <f t="array" ref="V47">_xlfn.TEXTJOIN("; ",TRUE,_xlfn._xlws.FILTER(tblThreatControls[Threat ID],(tblThreatControls[Control ID]=$A47)*(tblThreatControls[Threat applies]="Applies"),""))</f>
        <v/>
      </c>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0" t="inlineStr">
        <is>
          <t>Architecture / documentation review</t>
        </is>
      </c>
      <c r="J48" s="40" t="inlineStr">
        <is>
          <t>Sampled, periodic</t>
        </is>
      </c>
      <c r="K48" s="42" t="inlineStr">
        <is>
          <t>Design/Governance</t>
        </is>
      </c>
      <c r="L48" s="42" t="inlineStr">
        <is>
          <t>Not assessed</t>
        </is>
      </c>
      <c r="M48" s="40" t="n"/>
      <c r="N48" s="40" t="n"/>
      <c r="O48" s="42" t="inlineStr">
        <is>
          <t>Medium</t>
        </is>
      </c>
      <c r="P48" s="43">
        <f>IF(H48="N/A","N/A",INDEX(CRIT_MATRIX,MATCH(O48,CRIT_MATRIX_ROWS,0),MATCH(APP_RISK_TIER,CRIT_MATRIX_COLS,0)))</f>
        <v/>
      </c>
      <c r="Q48" s="40" t="n"/>
      <c r="R48" s="40" cm="1">
        <f t="array" ref="R48">COUNTIFS(tblThreatControls[Control ID],$A48,tblThreatControls[Threat applies],"Applies")</f>
        <v/>
      </c>
      <c r="S48" s="40" cm="1">
        <f t="array" ref="S48">IF(R48=0,"",INDEX(RISK_SCALE_NAMES,_xlfn.MAXIFS(tblThreatControls[Threat risk score],tblThreatControls[Control ID],$A48)))</f>
        <v/>
      </c>
      <c r="T48" s="40" cm="1">
        <f t="array" ref="T48">IF(AND(H48="Applicable",OR(L48="Not assessed",L48=""),R48&gt;0),"Yes","No")</f>
        <v/>
      </c>
      <c r="U48" s="40" cm="1">
        <f t="array" ref="U48">IF(AND(H48="Applicable",OR(L48="Gap",L48="Partial coverage")),INDEX(RISK_SCALE_NAMES,MAX(IFERROR(MATCH(P48,RISK_SCALE_NAMES,0),1),IFERROR(MATCH(S48,RISK_SCALE_NAMES,0),0))),"")</f>
        <v/>
      </c>
      <c r="V48" s="40" cm="1">
        <f t="array" ref="V48">_xlfn.TEXTJOIN("; ",TRUE,_xlfn._xlws.FILTER(tblThreatControls[Threat ID],(tblThreatControls[Control ID]=$A48)*(tblThreatControls[Threat applies]="Applies"),""))</f>
        <v/>
      </c>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0" t="inlineStr">
        <is>
          <t>SAST + DAST / header scanner</t>
        </is>
      </c>
      <c r="J49" s="40" t="inlineStr">
        <is>
          <t>Deterministic, continuous</t>
        </is>
      </c>
      <c r="K49" s="42" t="inlineStr">
        <is>
          <t>Pipeline</t>
        </is>
      </c>
      <c r="L49" s="42" t="inlineStr">
        <is>
          <t>Not assessed</t>
        </is>
      </c>
      <c r="M49" s="40" t="n"/>
      <c r="N49" s="40" t="n"/>
      <c r="O49" s="42" t="inlineStr">
        <is>
          <t>Medium</t>
        </is>
      </c>
      <c r="P49" s="43">
        <f>IF(H49="N/A","N/A",INDEX(CRIT_MATRIX,MATCH(O49,CRIT_MATRIX_ROWS,0),MATCH(APP_RISK_TIER,CRIT_MATRIX_COLS,0)))</f>
        <v/>
      </c>
      <c r="Q49" s="40" t="n"/>
      <c r="R49" s="40" cm="1">
        <f t="array" ref="R49">COUNTIFS(tblThreatControls[Control ID],$A49,tblThreatControls[Threat applies],"Applies")</f>
        <v/>
      </c>
      <c r="S49" s="40" cm="1">
        <f t="array" ref="S49">IF(R49=0,"",INDEX(RISK_SCALE_NAMES,_xlfn.MAXIFS(tblThreatControls[Threat risk score],tblThreatControls[Control ID],$A49)))</f>
        <v/>
      </c>
      <c r="T49" s="40" cm="1">
        <f t="array" ref="T49">IF(AND(H49="Applicable",OR(L49="Not assessed",L49=""),R49&gt;0),"Yes","No")</f>
        <v/>
      </c>
      <c r="U49" s="40" cm="1">
        <f t="array" ref="U49">IF(AND(H49="Applicable",OR(L49="Gap",L49="Partial coverage")),INDEX(RISK_SCALE_NAMES,MAX(IFERROR(MATCH(P49,RISK_SCALE_NAMES,0),1),IFERROR(MATCH(S49,RISK_SCALE_NAMES,0),0))),"")</f>
        <v/>
      </c>
      <c r="V49" s="40" cm="1">
        <f t="array" ref="V49">_xlfn.TEXTJOIN("; ",TRUE,_xlfn._xlws.FILTER(tblThreatControls[Threat ID],(tblThreatControls[Control ID]=$A49)*(tblThreatControls[Threat applies]="Applies"),""))</f>
        <v/>
      </c>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0" t="inlineStr">
        <is>
          <t>SAST + DAST / header scanner</t>
        </is>
      </c>
      <c r="J50" s="40" t="inlineStr">
        <is>
          <t>Deterministic, continuous</t>
        </is>
      </c>
      <c r="K50" s="42" t="inlineStr">
        <is>
          <t>Pipeline</t>
        </is>
      </c>
      <c r="L50" s="42" t="inlineStr">
        <is>
          <t>Not assessed</t>
        </is>
      </c>
      <c r="M50" s="40" t="n"/>
      <c r="N50" s="40" t="n"/>
      <c r="O50" s="42" t="inlineStr">
        <is>
          <t>Medium</t>
        </is>
      </c>
      <c r="P50" s="43">
        <f>IF(H50="N/A","N/A",INDEX(CRIT_MATRIX,MATCH(O50,CRIT_MATRIX_ROWS,0),MATCH(APP_RISK_TIER,CRIT_MATRIX_COLS,0)))</f>
        <v/>
      </c>
      <c r="Q50" s="40" t="n"/>
      <c r="R50" s="40" cm="1">
        <f t="array" ref="R50">COUNTIFS(tblThreatControls[Control ID],$A50,tblThreatControls[Threat applies],"Applies")</f>
        <v/>
      </c>
      <c r="S50" s="40" cm="1">
        <f t="array" ref="S50">IF(R50=0,"",INDEX(RISK_SCALE_NAMES,_xlfn.MAXIFS(tblThreatControls[Threat risk score],tblThreatControls[Control ID],$A50)))</f>
        <v/>
      </c>
      <c r="T50" s="40" cm="1">
        <f t="array" ref="T50">IF(AND(H50="Applicable",OR(L50="Not assessed",L50=""),R50&gt;0),"Yes","No")</f>
        <v/>
      </c>
      <c r="U50" s="40" cm="1">
        <f t="array" ref="U50">IF(AND(H50="Applicable",OR(L50="Gap",L50="Partial coverage")),INDEX(RISK_SCALE_NAMES,MAX(IFERROR(MATCH(P50,RISK_SCALE_NAMES,0),1),IFERROR(MATCH(S50,RISK_SCALE_NAMES,0),0))),"")</f>
        <v/>
      </c>
      <c r="V50" s="40" cm="1">
        <f t="array" ref="V50">_xlfn.TEXTJOIN("; ",TRUE,_xlfn._xlws.FILTER(tblThreatControls[Threat ID],(tblThreatControls[Control ID]=$A50)*(tblThreatControls[Threat applies]="Applies"),""))</f>
        <v/>
      </c>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0" t="inlineStr">
        <is>
          <t>SAST + DAST / header scanner</t>
        </is>
      </c>
      <c r="J51" s="40" t="inlineStr">
        <is>
          <t>Deterministic, continuous</t>
        </is>
      </c>
      <c r="K51" s="42" t="inlineStr">
        <is>
          <t>Pipeline</t>
        </is>
      </c>
      <c r="L51" s="42" t="inlineStr">
        <is>
          <t>Not assessed</t>
        </is>
      </c>
      <c r="M51" s="40" t="n"/>
      <c r="N51" s="40" t="n"/>
      <c r="O51" s="42" t="inlineStr">
        <is>
          <t>Medium</t>
        </is>
      </c>
      <c r="P51" s="43">
        <f>IF(H51="N/A","N/A",INDEX(CRIT_MATRIX,MATCH(O51,CRIT_MATRIX_ROWS,0),MATCH(APP_RISK_TIER,CRIT_MATRIX_COLS,0)))</f>
        <v/>
      </c>
      <c r="Q51" s="40" t="n"/>
      <c r="R51" s="40" cm="1">
        <f t="array" ref="R51">COUNTIFS(tblThreatControls[Control ID],$A51,tblThreatControls[Threat applies],"Applies")</f>
        <v/>
      </c>
      <c r="S51" s="40" cm="1">
        <f t="array" ref="S51">IF(R51=0,"",INDEX(RISK_SCALE_NAMES,_xlfn.MAXIFS(tblThreatControls[Threat risk score],tblThreatControls[Control ID],$A51)))</f>
        <v/>
      </c>
      <c r="T51" s="40" cm="1">
        <f t="array" ref="T51">IF(AND(H51="Applicable",OR(L51="Not assessed",L51=""),R51&gt;0),"Yes","No")</f>
        <v/>
      </c>
      <c r="U51" s="40" cm="1">
        <f t="array" ref="U51">IF(AND(H51="Applicable",OR(L51="Gap",L51="Partial coverage")),INDEX(RISK_SCALE_NAMES,MAX(IFERROR(MATCH(P51,RISK_SCALE_NAMES,0),1),IFERROR(MATCH(S51,RISK_SCALE_NAMES,0),0))),"")</f>
        <v/>
      </c>
      <c r="V51" s="40" cm="1">
        <f t="array" ref="V51">_xlfn.TEXTJOIN("; ",TRUE,_xlfn._xlws.FILTER(tblThreatControls[Threat ID],(tblThreatControls[Control ID]=$A51)*(tblThreatControls[Threat applies]="Applies"),""))</f>
        <v/>
      </c>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0" t="inlineStr">
        <is>
          <t>SAST + DAST / header scanner</t>
        </is>
      </c>
      <c r="J52" s="40" t="inlineStr">
        <is>
          <t>Deterministic, continuous</t>
        </is>
      </c>
      <c r="K52" s="42" t="inlineStr">
        <is>
          <t>Pipeline</t>
        </is>
      </c>
      <c r="L52" s="42" t="inlineStr">
        <is>
          <t>Not assessed</t>
        </is>
      </c>
      <c r="M52" s="40" t="n"/>
      <c r="N52" s="40" t="n"/>
      <c r="O52" s="42" t="inlineStr">
        <is>
          <t>Medium</t>
        </is>
      </c>
      <c r="P52" s="43">
        <f>IF(H52="N/A","N/A",INDEX(CRIT_MATRIX,MATCH(O52,CRIT_MATRIX_ROWS,0),MATCH(APP_RISK_TIER,CRIT_MATRIX_COLS,0)))</f>
        <v/>
      </c>
      <c r="Q52" s="40" t="n"/>
      <c r="R52" s="40" cm="1">
        <f t="array" ref="R52">COUNTIFS(tblThreatControls[Control ID],$A52,tblThreatControls[Threat applies],"Applies")</f>
        <v/>
      </c>
      <c r="S52" s="40" cm="1">
        <f t="array" ref="S52">IF(R52=0,"",INDEX(RISK_SCALE_NAMES,_xlfn.MAXIFS(tblThreatControls[Threat risk score],tblThreatControls[Control ID],$A52)))</f>
        <v/>
      </c>
      <c r="T52" s="40" cm="1">
        <f t="array" ref="T52">IF(AND(H52="Applicable",OR(L52="Not assessed",L52=""),R52&gt;0),"Yes","No")</f>
        <v/>
      </c>
      <c r="U52" s="40" cm="1">
        <f t="array" ref="U52">IF(AND(H52="Applicable",OR(L52="Gap",L52="Partial coverage")),INDEX(RISK_SCALE_NAMES,MAX(IFERROR(MATCH(P52,RISK_SCALE_NAMES,0),1),IFERROR(MATCH(S52,RISK_SCALE_NAMES,0),0))),"")</f>
        <v/>
      </c>
      <c r="V52" s="40" cm="1">
        <f t="array" ref="V52">_xlfn.TEXTJOIN("; ",TRUE,_xlfn._xlws.FILTER(tblThreatControls[Threat ID],(tblThreatControls[Control ID]=$A52)*(tblThreatControls[Threat applies]="Applies"),""))</f>
        <v/>
      </c>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0" t="inlineStr">
        <is>
          <t>SAST + DAST / header scanner</t>
        </is>
      </c>
      <c r="J53" s="40" t="inlineStr">
        <is>
          <t>Deterministic, continuous</t>
        </is>
      </c>
      <c r="K53" s="42" t="inlineStr">
        <is>
          <t>Pipeline</t>
        </is>
      </c>
      <c r="L53" s="42" t="inlineStr">
        <is>
          <t>Not assessed</t>
        </is>
      </c>
      <c r="M53" s="40" t="n"/>
      <c r="N53" s="40" t="n"/>
      <c r="O53" s="42" t="inlineStr">
        <is>
          <t>Medium</t>
        </is>
      </c>
      <c r="P53" s="43">
        <f>IF(H53="N/A","N/A",INDEX(CRIT_MATRIX,MATCH(O53,CRIT_MATRIX_ROWS,0),MATCH(APP_RISK_TIER,CRIT_MATRIX_COLS,0)))</f>
        <v/>
      </c>
      <c r="Q53" s="40" t="n"/>
      <c r="R53" s="40" cm="1">
        <f t="array" ref="R53">COUNTIFS(tblThreatControls[Control ID],$A53,tblThreatControls[Threat applies],"Applies")</f>
        <v/>
      </c>
      <c r="S53" s="40" cm="1">
        <f t="array" ref="S53">IF(R53=0,"",INDEX(RISK_SCALE_NAMES,_xlfn.MAXIFS(tblThreatControls[Threat risk score],tblThreatControls[Control ID],$A53)))</f>
        <v/>
      </c>
      <c r="T53" s="40" cm="1">
        <f t="array" ref="T53">IF(AND(H53="Applicable",OR(L53="Not assessed",L53=""),R53&gt;0),"Yes","No")</f>
        <v/>
      </c>
      <c r="U53" s="40" cm="1">
        <f t="array" ref="U53">IF(AND(H53="Applicable",OR(L53="Gap",L53="Partial coverage")),INDEX(RISK_SCALE_NAMES,MAX(IFERROR(MATCH(P53,RISK_SCALE_NAMES,0),1),IFERROR(MATCH(S53,RISK_SCALE_NAMES,0),0))),"")</f>
        <v/>
      </c>
      <c r="V53" s="40" cm="1">
        <f t="array" ref="V53">_xlfn.TEXTJOIN("; ",TRUE,_xlfn._xlws.FILTER(tblThreatControls[Threat ID],(tblThreatControls[Control ID]=$A53)*(tblThreatControls[Threat applies]="Applies"),""))</f>
        <v/>
      </c>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0" t="inlineStr">
        <is>
          <t>SAST + DAST / header scanner</t>
        </is>
      </c>
      <c r="J54" s="40" t="inlineStr">
        <is>
          <t>Deterministic, continuous</t>
        </is>
      </c>
      <c r="K54" s="42" t="inlineStr">
        <is>
          <t>Pipeline</t>
        </is>
      </c>
      <c r="L54" s="42" t="inlineStr">
        <is>
          <t>Not assessed</t>
        </is>
      </c>
      <c r="M54" s="40" t="n"/>
      <c r="N54" s="40" t="n"/>
      <c r="O54" s="42" t="inlineStr">
        <is>
          <t>Medium</t>
        </is>
      </c>
      <c r="P54" s="43">
        <f>IF(H54="N/A","N/A",INDEX(CRIT_MATRIX,MATCH(O54,CRIT_MATRIX_ROWS,0),MATCH(APP_RISK_TIER,CRIT_MATRIX_COLS,0)))</f>
        <v/>
      </c>
      <c r="Q54" s="40" t="n"/>
      <c r="R54" s="40" cm="1">
        <f t="array" ref="R54">COUNTIFS(tblThreatControls[Control ID],$A54,tblThreatControls[Threat applies],"Applies")</f>
        <v/>
      </c>
      <c r="S54" s="40" cm="1">
        <f t="array" ref="S54">IF(R54=0,"",INDEX(RISK_SCALE_NAMES,_xlfn.MAXIFS(tblThreatControls[Threat risk score],tblThreatControls[Control ID],$A54)))</f>
        <v/>
      </c>
      <c r="T54" s="40" cm="1">
        <f t="array" ref="T54">IF(AND(H54="Applicable",OR(L54="Not assessed",L54=""),R54&gt;0),"Yes","No")</f>
        <v/>
      </c>
      <c r="U54" s="40" cm="1">
        <f t="array" ref="U54">IF(AND(H54="Applicable",OR(L54="Gap",L54="Partial coverage")),INDEX(RISK_SCALE_NAMES,MAX(IFERROR(MATCH(P54,RISK_SCALE_NAMES,0),1),IFERROR(MATCH(S54,RISK_SCALE_NAMES,0),0))),"")</f>
        <v/>
      </c>
      <c r="V54" s="40" cm="1">
        <f t="array" ref="V54">_xlfn.TEXTJOIN("; ",TRUE,_xlfn._xlws.FILTER(tblThreatControls[Threat ID],(tblThreatControls[Control ID]=$A54)*(tblThreatControls[Threat applies]="Applies"),""))</f>
        <v/>
      </c>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0" t="inlineStr">
        <is>
          <t>SAST + DAST / header scanner</t>
        </is>
      </c>
      <c r="J55" s="40" t="inlineStr">
        <is>
          <t>Deterministic, continuous</t>
        </is>
      </c>
      <c r="K55" s="42" t="inlineStr">
        <is>
          <t>Pipeline</t>
        </is>
      </c>
      <c r="L55" s="42" t="inlineStr">
        <is>
          <t>Not assessed</t>
        </is>
      </c>
      <c r="M55" s="40" t="n"/>
      <c r="N55" s="40" t="n"/>
      <c r="O55" s="42" t="inlineStr">
        <is>
          <t>Medium</t>
        </is>
      </c>
      <c r="P55" s="43">
        <f>IF(H55="N/A","N/A",INDEX(CRIT_MATRIX,MATCH(O55,CRIT_MATRIX_ROWS,0),MATCH(APP_RISK_TIER,CRIT_MATRIX_COLS,0)))</f>
        <v/>
      </c>
      <c r="Q55" s="40" t="n"/>
      <c r="R55" s="40" cm="1">
        <f t="array" ref="R55">COUNTIFS(tblThreatControls[Control ID],$A55,tblThreatControls[Threat applies],"Applies")</f>
        <v/>
      </c>
      <c r="S55" s="40" cm="1">
        <f t="array" ref="S55">IF(R55=0,"",INDEX(RISK_SCALE_NAMES,_xlfn.MAXIFS(tblThreatControls[Threat risk score],tblThreatControls[Control ID],$A55)))</f>
        <v/>
      </c>
      <c r="T55" s="40" cm="1">
        <f t="array" ref="T55">IF(AND(H55="Applicable",OR(L55="Not assessed",L55=""),R55&gt;0),"Yes","No")</f>
        <v/>
      </c>
      <c r="U55" s="40" cm="1">
        <f t="array" ref="U55">IF(AND(H55="Applicable",OR(L55="Gap",L55="Partial coverage")),INDEX(RISK_SCALE_NAMES,MAX(IFERROR(MATCH(P55,RISK_SCALE_NAMES,0),1),IFERROR(MATCH(S55,RISK_SCALE_NAMES,0),0))),"")</f>
        <v/>
      </c>
      <c r="V55" s="40" cm="1">
        <f t="array" ref="V55">_xlfn.TEXTJOIN("; ",TRUE,_xlfn._xlws.FILTER(tblThreatControls[Threat ID],(tblThreatControls[Control ID]=$A55)*(tblThreatControls[Threat applies]="Applies"),""))</f>
        <v/>
      </c>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0" t="inlineStr">
        <is>
          <t>SAST + DAST / header scanner</t>
        </is>
      </c>
      <c r="J56" s="40" t="inlineStr">
        <is>
          <t>Deterministic, continuous</t>
        </is>
      </c>
      <c r="K56" s="42" t="inlineStr">
        <is>
          <t>Pipeline</t>
        </is>
      </c>
      <c r="L56" s="42" t="inlineStr">
        <is>
          <t>Not assessed</t>
        </is>
      </c>
      <c r="M56" s="40" t="n"/>
      <c r="N56" s="40" t="n"/>
      <c r="O56" s="42" t="inlineStr">
        <is>
          <t>Medium</t>
        </is>
      </c>
      <c r="P56" s="43">
        <f>IF(H56="N/A","N/A",INDEX(CRIT_MATRIX,MATCH(O56,CRIT_MATRIX_ROWS,0),MATCH(APP_RISK_TIER,CRIT_MATRIX_COLS,0)))</f>
        <v/>
      </c>
      <c r="Q56" s="40" t="n"/>
      <c r="R56" s="40" cm="1">
        <f t="array" ref="R56">COUNTIFS(tblThreatControls[Control ID],$A56,tblThreatControls[Threat applies],"Applies")</f>
        <v/>
      </c>
      <c r="S56" s="40" cm="1">
        <f t="array" ref="S56">IF(R56=0,"",INDEX(RISK_SCALE_NAMES,_xlfn.MAXIFS(tblThreatControls[Threat risk score],tblThreatControls[Control ID],$A56)))</f>
        <v/>
      </c>
      <c r="T56" s="40" cm="1">
        <f t="array" ref="T56">IF(AND(H56="Applicable",OR(L56="Not assessed",L56=""),R56&gt;0),"Yes","No")</f>
        <v/>
      </c>
      <c r="U56" s="40" cm="1">
        <f t="array" ref="U56">IF(AND(H56="Applicable",OR(L56="Gap",L56="Partial coverage")),INDEX(RISK_SCALE_NAMES,MAX(IFERROR(MATCH(P56,RISK_SCALE_NAMES,0),1),IFERROR(MATCH(S56,RISK_SCALE_NAMES,0),0))),"")</f>
        <v/>
      </c>
      <c r="V56" s="40" cm="1">
        <f t="array" ref="V56">_xlfn.TEXTJOIN("; ",TRUE,_xlfn._xlws.FILTER(tblThreatControls[Threat ID],(tblThreatControls[Control ID]=$A56)*(tblThreatControls[Threat applies]="Applies"),""))</f>
        <v/>
      </c>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0" t="inlineStr">
        <is>
          <t>SAST + DAST / header scanner</t>
        </is>
      </c>
      <c r="J57" s="40" t="inlineStr">
        <is>
          <t>Deterministic, continuous</t>
        </is>
      </c>
      <c r="K57" s="42" t="inlineStr">
        <is>
          <t>Pipeline</t>
        </is>
      </c>
      <c r="L57" s="42" t="inlineStr">
        <is>
          <t>Not assessed</t>
        </is>
      </c>
      <c r="M57" s="40" t="n"/>
      <c r="N57" s="40" t="n"/>
      <c r="O57" s="42" t="inlineStr">
        <is>
          <t>Medium</t>
        </is>
      </c>
      <c r="P57" s="43">
        <f>IF(H57="N/A","N/A",INDEX(CRIT_MATRIX,MATCH(O57,CRIT_MATRIX_ROWS,0),MATCH(APP_RISK_TIER,CRIT_MATRIX_COLS,0)))</f>
        <v/>
      </c>
      <c r="Q57" s="40" t="n"/>
      <c r="R57" s="40" cm="1">
        <f t="array" ref="R57">COUNTIFS(tblThreatControls[Control ID],$A57,tblThreatControls[Threat applies],"Applies")</f>
        <v/>
      </c>
      <c r="S57" s="40" cm="1">
        <f t="array" ref="S57">IF(R57=0,"",INDEX(RISK_SCALE_NAMES,_xlfn.MAXIFS(tblThreatControls[Threat risk score],tblThreatControls[Control ID],$A57)))</f>
        <v/>
      </c>
      <c r="T57" s="40" cm="1">
        <f t="array" ref="T57">IF(AND(H57="Applicable",OR(L57="Not assessed",L57=""),R57&gt;0),"Yes","No")</f>
        <v/>
      </c>
      <c r="U57" s="40" cm="1">
        <f t="array" ref="U57">IF(AND(H57="Applicable",OR(L57="Gap",L57="Partial coverage")),INDEX(RISK_SCALE_NAMES,MAX(IFERROR(MATCH(P57,RISK_SCALE_NAMES,0),1),IFERROR(MATCH(S57,RISK_SCALE_NAMES,0),0))),"")</f>
        <v/>
      </c>
      <c r="V57" s="40" cm="1">
        <f t="array" ref="V57">_xlfn.TEXTJOIN("; ",TRUE,_xlfn._xlws.FILTER(tblThreatControls[Threat ID],(tblThreatControls[Control ID]=$A57)*(tblThreatControls[Threat applies]="Applies"),""))</f>
        <v/>
      </c>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0" t="inlineStr">
        <is>
          <t>SAST + DAST / header scanner</t>
        </is>
      </c>
      <c r="J58" s="40" t="inlineStr">
        <is>
          <t>Deterministic, continuous</t>
        </is>
      </c>
      <c r="K58" s="42" t="inlineStr">
        <is>
          <t>Pipeline</t>
        </is>
      </c>
      <c r="L58" s="42" t="inlineStr">
        <is>
          <t>Not assessed</t>
        </is>
      </c>
      <c r="M58" s="40" t="n"/>
      <c r="N58" s="40" t="n"/>
      <c r="O58" s="42" t="inlineStr">
        <is>
          <t>Medium</t>
        </is>
      </c>
      <c r="P58" s="43">
        <f>IF(H58="N/A","N/A",INDEX(CRIT_MATRIX,MATCH(O58,CRIT_MATRIX_ROWS,0),MATCH(APP_RISK_TIER,CRIT_MATRIX_COLS,0)))</f>
        <v/>
      </c>
      <c r="Q58" s="40" t="n"/>
      <c r="R58" s="40" cm="1">
        <f t="array" ref="R58">COUNTIFS(tblThreatControls[Control ID],$A58,tblThreatControls[Threat applies],"Applies")</f>
        <v/>
      </c>
      <c r="S58" s="40" cm="1">
        <f t="array" ref="S58">IF(R58=0,"",INDEX(RISK_SCALE_NAMES,_xlfn.MAXIFS(tblThreatControls[Threat risk score],tblThreatControls[Control ID],$A58)))</f>
        <v/>
      </c>
      <c r="T58" s="40" cm="1">
        <f t="array" ref="T58">IF(AND(H58="Applicable",OR(L58="Not assessed",L58=""),R58&gt;0),"Yes","No")</f>
        <v/>
      </c>
      <c r="U58" s="40" cm="1">
        <f t="array" ref="U58">IF(AND(H58="Applicable",OR(L58="Gap",L58="Partial coverage")),INDEX(RISK_SCALE_NAMES,MAX(IFERROR(MATCH(P58,RISK_SCALE_NAMES,0),1),IFERROR(MATCH(S58,RISK_SCALE_NAMES,0),0))),"")</f>
        <v/>
      </c>
      <c r="V58" s="40" cm="1">
        <f t="array" ref="V58">_xlfn.TEXTJOIN("; ",TRUE,_xlfn._xlws.FILTER(tblThreatControls[Threat ID],(tblThreatControls[Control ID]=$A58)*(tblThreatControls[Threat applies]="Applies"),""))</f>
        <v/>
      </c>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0" t="inlineStr">
        <is>
          <t>SAST + DAST / header scanner</t>
        </is>
      </c>
      <c r="J59" s="40" t="inlineStr">
        <is>
          <t>Deterministic, continuous</t>
        </is>
      </c>
      <c r="K59" s="42" t="inlineStr">
        <is>
          <t>Pipeline</t>
        </is>
      </c>
      <c r="L59" s="42" t="inlineStr">
        <is>
          <t>Not assessed</t>
        </is>
      </c>
      <c r="M59" s="40" t="n"/>
      <c r="N59" s="40" t="n"/>
      <c r="O59" s="42" t="inlineStr">
        <is>
          <t>Medium</t>
        </is>
      </c>
      <c r="P59" s="43">
        <f>IF(H59="N/A","N/A",INDEX(CRIT_MATRIX,MATCH(O59,CRIT_MATRIX_ROWS,0),MATCH(APP_RISK_TIER,CRIT_MATRIX_COLS,0)))</f>
        <v/>
      </c>
      <c r="Q59" s="40" t="n"/>
      <c r="R59" s="40" cm="1">
        <f t="array" ref="R59">COUNTIFS(tblThreatControls[Control ID],$A59,tblThreatControls[Threat applies],"Applies")</f>
        <v/>
      </c>
      <c r="S59" s="40" cm="1">
        <f t="array" ref="S59">IF(R59=0,"",INDEX(RISK_SCALE_NAMES,_xlfn.MAXIFS(tblThreatControls[Threat risk score],tblThreatControls[Control ID],$A59)))</f>
        <v/>
      </c>
      <c r="T59" s="40" cm="1">
        <f t="array" ref="T59">IF(AND(H59="Applicable",OR(L59="Not assessed",L59=""),R59&gt;0),"Yes","No")</f>
        <v/>
      </c>
      <c r="U59" s="40" cm="1">
        <f t="array" ref="U59">IF(AND(H59="Applicable",OR(L59="Gap",L59="Partial coverage")),INDEX(RISK_SCALE_NAMES,MAX(IFERROR(MATCH(P59,RISK_SCALE_NAMES,0),1),IFERROR(MATCH(S59,RISK_SCALE_NAMES,0),0))),"")</f>
        <v/>
      </c>
      <c r="V59" s="40" cm="1">
        <f t="array" ref="V59">_xlfn.TEXTJOIN("; ",TRUE,_xlfn._xlws.FILTER(tblThreatControls[Threat ID],(tblThreatControls[Control ID]=$A59)*(tblThreatControls[Threat applies]="Applies"),""))</f>
        <v/>
      </c>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0" t="inlineStr">
        <is>
          <t>SAST + DAST / header scanner</t>
        </is>
      </c>
      <c r="J60" s="40" t="inlineStr">
        <is>
          <t>Deterministic, continuous</t>
        </is>
      </c>
      <c r="K60" s="42" t="inlineStr">
        <is>
          <t>Pipeline</t>
        </is>
      </c>
      <c r="L60" s="42" t="inlineStr">
        <is>
          <t>Not assessed</t>
        </is>
      </c>
      <c r="M60" s="40" t="n"/>
      <c r="N60" s="40" t="n"/>
      <c r="O60" s="42" t="inlineStr">
        <is>
          <t>Medium</t>
        </is>
      </c>
      <c r="P60" s="43">
        <f>IF(H60="N/A","N/A",INDEX(CRIT_MATRIX,MATCH(O60,CRIT_MATRIX_ROWS,0),MATCH(APP_RISK_TIER,CRIT_MATRIX_COLS,0)))</f>
        <v/>
      </c>
      <c r="Q60" s="40" t="n"/>
      <c r="R60" s="40" cm="1">
        <f t="array" ref="R60">COUNTIFS(tblThreatControls[Control ID],$A60,tblThreatControls[Threat applies],"Applies")</f>
        <v/>
      </c>
      <c r="S60" s="40" cm="1">
        <f t="array" ref="S60">IF(R60=0,"",INDEX(RISK_SCALE_NAMES,_xlfn.MAXIFS(tblThreatControls[Threat risk score],tblThreatControls[Control ID],$A60)))</f>
        <v/>
      </c>
      <c r="T60" s="40" cm="1">
        <f t="array" ref="T60">IF(AND(H60="Applicable",OR(L60="Not assessed",L60=""),R60&gt;0),"Yes","No")</f>
        <v/>
      </c>
      <c r="U60" s="40" cm="1">
        <f t="array" ref="U60">IF(AND(H60="Applicable",OR(L60="Gap",L60="Partial coverage")),INDEX(RISK_SCALE_NAMES,MAX(IFERROR(MATCH(P60,RISK_SCALE_NAMES,0),1),IFERROR(MATCH(S60,RISK_SCALE_NAMES,0),0))),"")</f>
        <v/>
      </c>
      <c r="V60" s="40" cm="1">
        <f t="array" ref="V60">_xlfn.TEXTJOIN("; ",TRUE,_xlfn._xlws.FILTER(tblThreatControls[Threat ID],(tblThreatControls[Control ID]=$A60)*(tblThreatControls[Threat applies]="Applies"),""))</f>
        <v/>
      </c>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0" t="inlineStr">
        <is>
          <t>SAST + DAST / header scanner</t>
        </is>
      </c>
      <c r="J61" s="40" t="inlineStr">
        <is>
          <t>Deterministic, continuous</t>
        </is>
      </c>
      <c r="K61" s="42" t="inlineStr">
        <is>
          <t>Pipeline</t>
        </is>
      </c>
      <c r="L61" s="42" t="inlineStr">
        <is>
          <t>Not assessed</t>
        </is>
      </c>
      <c r="M61" s="40" t="n"/>
      <c r="N61" s="40" t="n"/>
      <c r="O61" s="42" t="inlineStr">
        <is>
          <t>Medium</t>
        </is>
      </c>
      <c r="P61" s="43">
        <f>IF(H61="N/A","N/A",INDEX(CRIT_MATRIX,MATCH(O61,CRIT_MATRIX_ROWS,0),MATCH(APP_RISK_TIER,CRIT_MATRIX_COLS,0)))</f>
        <v/>
      </c>
      <c r="Q61" s="40" t="n"/>
      <c r="R61" s="40" cm="1">
        <f t="array" ref="R61">COUNTIFS(tblThreatControls[Control ID],$A61,tblThreatControls[Threat applies],"Applies")</f>
        <v/>
      </c>
      <c r="S61" s="40" cm="1">
        <f t="array" ref="S61">IF(R61=0,"",INDEX(RISK_SCALE_NAMES,_xlfn.MAXIFS(tblThreatControls[Threat risk score],tblThreatControls[Control ID],$A61)))</f>
        <v/>
      </c>
      <c r="T61" s="40" cm="1">
        <f t="array" ref="T61">IF(AND(H61="Applicable",OR(L61="Not assessed",L61=""),R61&gt;0),"Yes","No")</f>
        <v/>
      </c>
      <c r="U61" s="40" cm="1">
        <f t="array" ref="U61">IF(AND(H61="Applicable",OR(L61="Gap",L61="Partial coverage")),INDEX(RISK_SCALE_NAMES,MAX(IFERROR(MATCH(P61,RISK_SCALE_NAMES,0),1),IFERROR(MATCH(S61,RISK_SCALE_NAMES,0),0))),"")</f>
        <v/>
      </c>
      <c r="V61" s="40" cm="1">
        <f t="array" ref="V61">_xlfn.TEXTJOIN("; ",TRUE,_xlfn._xlws.FILTER(tblThreatControls[Threat ID],(tblThreatControls[Control ID]=$A61)*(tblThreatControls[Threat applies]="Applies"),""))</f>
        <v/>
      </c>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0" t="inlineStr">
        <is>
          <t>SAST + DAST / header scanner</t>
        </is>
      </c>
      <c r="J62" s="40" t="inlineStr">
        <is>
          <t>Deterministic, continuous</t>
        </is>
      </c>
      <c r="K62" s="42" t="inlineStr">
        <is>
          <t>Pipeline</t>
        </is>
      </c>
      <c r="L62" s="42" t="inlineStr">
        <is>
          <t>Not assessed</t>
        </is>
      </c>
      <c r="M62" s="40" t="n"/>
      <c r="N62" s="40" t="n"/>
      <c r="O62" s="42" t="inlineStr">
        <is>
          <t>Medium</t>
        </is>
      </c>
      <c r="P62" s="43">
        <f>IF(H62="N/A","N/A",INDEX(CRIT_MATRIX,MATCH(O62,CRIT_MATRIX_ROWS,0),MATCH(APP_RISK_TIER,CRIT_MATRIX_COLS,0)))</f>
        <v/>
      </c>
      <c r="Q62" s="40" t="n"/>
      <c r="R62" s="40" cm="1">
        <f t="array" ref="R62">COUNTIFS(tblThreatControls[Control ID],$A62,tblThreatControls[Threat applies],"Applies")</f>
        <v/>
      </c>
      <c r="S62" s="40" cm="1">
        <f t="array" ref="S62">IF(R62=0,"",INDEX(RISK_SCALE_NAMES,_xlfn.MAXIFS(tblThreatControls[Threat risk score],tblThreatControls[Control ID],$A62)))</f>
        <v/>
      </c>
      <c r="T62" s="40" cm="1">
        <f t="array" ref="T62">IF(AND(H62="Applicable",OR(L62="Not assessed",L62=""),R62&gt;0),"Yes","No")</f>
        <v/>
      </c>
      <c r="U62" s="40" cm="1">
        <f t="array" ref="U62">IF(AND(H62="Applicable",OR(L62="Gap",L62="Partial coverage")),INDEX(RISK_SCALE_NAMES,MAX(IFERROR(MATCH(P62,RISK_SCALE_NAMES,0),1),IFERROR(MATCH(S62,RISK_SCALE_NAMES,0),0))),"")</f>
        <v/>
      </c>
      <c r="V62" s="40" cm="1">
        <f t="array" ref="V62">_xlfn.TEXTJOIN("; ",TRUE,_xlfn._xlws.FILTER(tblThreatControls[Threat ID],(tblThreatControls[Control ID]=$A62)*(tblThreatControls[Threat applies]="Applies"),""))</f>
        <v/>
      </c>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0" t="inlineStr">
        <is>
          <t>SAST + DAST / header scanner</t>
        </is>
      </c>
      <c r="J63" s="40" t="inlineStr">
        <is>
          <t>Deterministic, continuous</t>
        </is>
      </c>
      <c r="K63" s="42" t="inlineStr">
        <is>
          <t>Pipeline</t>
        </is>
      </c>
      <c r="L63" s="42" t="inlineStr">
        <is>
          <t>Not assessed</t>
        </is>
      </c>
      <c r="M63" s="40" t="n"/>
      <c r="N63" s="40" t="n"/>
      <c r="O63" s="42" t="inlineStr">
        <is>
          <t>Medium</t>
        </is>
      </c>
      <c r="P63" s="43">
        <f>IF(H63="N/A","N/A",INDEX(CRIT_MATRIX,MATCH(O63,CRIT_MATRIX_ROWS,0),MATCH(APP_RISK_TIER,CRIT_MATRIX_COLS,0)))</f>
        <v/>
      </c>
      <c r="Q63" s="40" t="n"/>
      <c r="R63" s="40" cm="1">
        <f t="array" ref="R63">COUNTIFS(tblThreatControls[Control ID],$A63,tblThreatControls[Threat applies],"Applies")</f>
        <v/>
      </c>
      <c r="S63" s="40" cm="1">
        <f t="array" ref="S63">IF(R63=0,"",INDEX(RISK_SCALE_NAMES,_xlfn.MAXIFS(tblThreatControls[Threat risk score],tblThreatControls[Control ID],$A63)))</f>
        <v/>
      </c>
      <c r="T63" s="40" cm="1">
        <f t="array" ref="T63">IF(AND(H63="Applicable",OR(L63="Not assessed",L63=""),R63&gt;0),"Yes","No")</f>
        <v/>
      </c>
      <c r="U63" s="40" cm="1">
        <f t="array" ref="U63">IF(AND(H63="Applicable",OR(L63="Gap",L63="Partial coverage")),INDEX(RISK_SCALE_NAMES,MAX(IFERROR(MATCH(P63,RISK_SCALE_NAMES,0),1),IFERROR(MATCH(S63,RISK_SCALE_NAMES,0),0))),"")</f>
        <v/>
      </c>
      <c r="V63" s="40" cm="1">
        <f t="array" ref="V63">_xlfn.TEXTJOIN("; ",TRUE,_xlfn._xlws.FILTER(tblThreatControls[Threat ID],(tblThreatControls[Control ID]=$A63)*(tblThreatControls[Threat applies]="Applies"),""))</f>
        <v/>
      </c>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0" t="inlineStr">
        <is>
          <t>SAST + DAST / header scanner</t>
        </is>
      </c>
      <c r="J64" s="40" t="inlineStr">
        <is>
          <t>Deterministic, continuous</t>
        </is>
      </c>
      <c r="K64" s="42" t="inlineStr">
        <is>
          <t>Pipeline</t>
        </is>
      </c>
      <c r="L64" s="42" t="inlineStr">
        <is>
          <t>Not assessed</t>
        </is>
      </c>
      <c r="M64" s="40" t="n"/>
      <c r="N64" s="40" t="n"/>
      <c r="O64" s="42" t="inlineStr">
        <is>
          <t>Medium</t>
        </is>
      </c>
      <c r="P64" s="43">
        <f>IF(H64="N/A","N/A",INDEX(CRIT_MATRIX,MATCH(O64,CRIT_MATRIX_ROWS,0),MATCH(APP_RISK_TIER,CRIT_MATRIX_COLS,0)))</f>
        <v/>
      </c>
      <c r="Q64" s="40" t="n"/>
      <c r="R64" s="40" cm="1">
        <f t="array" ref="R64">COUNTIFS(tblThreatControls[Control ID],$A64,tblThreatControls[Threat applies],"Applies")</f>
        <v/>
      </c>
      <c r="S64" s="40" cm="1">
        <f t="array" ref="S64">IF(R64=0,"",INDEX(RISK_SCALE_NAMES,_xlfn.MAXIFS(tblThreatControls[Threat risk score],tblThreatControls[Control ID],$A64)))</f>
        <v/>
      </c>
      <c r="T64" s="40" cm="1">
        <f t="array" ref="T64">IF(AND(H64="Applicable",OR(L64="Not assessed",L64=""),R64&gt;0),"Yes","No")</f>
        <v/>
      </c>
      <c r="U64" s="40" cm="1">
        <f t="array" ref="U64">IF(AND(H64="Applicable",OR(L64="Gap",L64="Partial coverage")),INDEX(RISK_SCALE_NAMES,MAX(IFERROR(MATCH(P64,RISK_SCALE_NAMES,0),1),IFERROR(MATCH(S64,RISK_SCALE_NAMES,0),0))),"")</f>
        <v/>
      </c>
      <c r="V64" s="40" cm="1">
        <f t="array" ref="V64">_xlfn.TEXTJOIN("; ",TRUE,_xlfn._xlws.FILTER(tblThreatControls[Threat ID],(tblThreatControls[Control ID]=$A64)*(tblThreatControls[Threat applies]="Applies"),""))</f>
        <v/>
      </c>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0" t="inlineStr">
        <is>
          <t>SAST + DAST / header scanner</t>
        </is>
      </c>
      <c r="J65" s="40" t="inlineStr">
        <is>
          <t>Deterministic, continuous</t>
        </is>
      </c>
      <c r="K65" s="42" t="inlineStr">
        <is>
          <t>Pipeline</t>
        </is>
      </c>
      <c r="L65" s="42" t="inlineStr">
        <is>
          <t>Not assessed</t>
        </is>
      </c>
      <c r="M65" s="40" t="n"/>
      <c r="N65" s="40" t="n"/>
      <c r="O65" s="42" t="inlineStr">
        <is>
          <t>Medium</t>
        </is>
      </c>
      <c r="P65" s="43">
        <f>IF(H65="N/A","N/A",INDEX(CRIT_MATRIX,MATCH(O65,CRIT_MATRIX_ROWS,0),MATCH(APP_RISK_TIER,CRIT_MATRIX_COLS,0)))</f>
        <v/>
      </c>
      <c r="Q65" s="40" t="n"/>
      <c r="R65" s="40" cm="1">
        <f t="array" ref="R65">COUNTIFS(tblThreatControls[Control ID],$A65,tblThreatControls[Threat applies],"Applies")</f>
        <v/>
      </c>
      <c r="S65" s="40" cm="1">
        <f t="array" ref="S65">IF(R65=0,"",INDEX(RISK_SCALE_NAMES,_xlfn.MAXIFS(tblThreatControls[Threat risk score],tblThreatControls[Control ID],$A65)))</f>
        <v/>
      </c>
      <c r="T65" s="40" cm="1">
        <f t="array" ref="T65">IF(AND(H65="Applicable",OR(L65="Not assessed",L65=""),R65&gt;0),"Yes","No")</f>
        <v/>
      </c>
      <c r="U65" s="40" cm="1">
        <f t="array" ref="U65">IF(AND(H65="Applicable",OR(L65="Gap",L65="Partial coverage")),INDEX(RISK_SCALE_NAMES,MAX(IFERROR(MATCH(P65,RISK_SCALE_NAMES,0),1),IFERROR(MATCH(S65,RISK_SCALE_NAMES,0),0))),"")</f>
        <v/>
      </c>
      <c r="V65" s="40" cm="1">
        <f t="array" ref="V65">_xlfn.TEXTJOIN("; ",TRUE,_xlfn._xlws.FILTER(tblThreatControls[Threat ID],(tblThreatControls[Control ID]=$A65)*(tblThreatControls[Threat applies]="Applies"),""))</f>
        <v/>
      </c>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0" t="inlineStr">
        <is>
          <t>SAST + DAST / header scanner</t>
        </is>
      </c>
      <c r="J66" s="40" t="inlineStr">
        <is>
          <t>Deterministic, continuous</t>
        </is>
      </c>
      <c r="K66" s="42" t="inlineStr">
        <is>
          <t>Pipeline</t>
        </is>
      </c>
      <c r="L66" s="42" t="inlineStr">
        <is>
          <t>Not assessed</t>
        </is>
      </c>
      <c r="M66" s="40" t="n"/>
      <c r="N66" s="40" t="n"/>
      <c r="O66" s="42" t="inlineStr">
        <is>
          <t>Medium</t>
        </is>
      </c>
      <c r="P66" s="43">
        <f>IF(H66="N/A","N/A",INDEX(CRIT_MATRIX,MATCH(O66,CRIT_MATRIX_ROWS,0),MATCH(APP_RISK_TIER,CRIT_MATRIX_COLS,0)))</f>
        <v/>
      </c>
      <c r="Q66" s="40" t="n"/>
      <c r="R66" s="40" cm="1">
        <f t="array" ref="R66">COUNTIFS(tblThreatControls[Control ID],$A66,tblThreatControls[Threat applies],"Applies")</f>
        <v/>
      </c>
      <c r="S66" s="40" cm="1">
        <f t="array" ref="S66">IF(R66=0,"",INDEX(RISK_SCALE_NAMES,_xlfn.MAXIFS(tblThreatControls[Threat risk score],tblThreatControls[Control ID],$A66)))</f>
        <v/>
      </c>
      <c r="T66" s="40" cm="1">
        <f t="array" ref="T66">IF(AND(H66="Applicable",OR(L66="Not assessed",L66=""),R66&gt;0),"Yes","No")</f>
        <v/>
      </c>
      <c r="U66" s="40" cm="1">
        <f t="array" ref="U66">IF(AND(H66="Applicable",OR(L66="Gap",L66="Partial coverage")),INDEX(RISK_SCALE_NAMES,MAX(IFERROR(MATCH(P66,RISK_SCALE_NAMES,0),1),IFERROR(MATCH(S66,RISK_SCALE_NAMES,0),0))),"")</f>
        <v/>
      </c>
      <c r="V66" s="40" cm="1">
        <f t="array" ref="V66">_xlfn.TEXTJOIN("; ",TRUE,_xlfn._xlws.FILTER(tblThreatControls[Threat ID],(tblThreatControls[Control ID]=$A66)*(tblThreatControls[Threat applies]="Applies"),""))</f>
        <v/>
      </c>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0" t="inlineStr">
        <is>
          <t>SAST + DAST / header scanner</t>
        </is>
      </c>
      <c r="J67" s="40" t="inlineStr">
        <is>
          <t>Deterministic, continuous</t>
        </is>
      </c>
      <c r="K67" s="42" t="inlineStr">
        <is>
          <t>Pipeline</t>
        </is>
      </c>
      <c r="L67" s="42" t="inlineStr">
        <is>
          <t>Not assessed</t>
        </is>
      </c>
      <c r="M67" s="40" t="n"/>
      <c r="N67" s="40" t="n"/>
      <c r="O67" s="42" t="inlineStr">
        <is>
          <t>Medium</t>
        </is>
      </c>
      <c r="P67" s="43">
        <f>IF(H67="N/A","N/A",INDEX(CRIT_MATRIX,MATCH(O67,CRIT_MATRIX_ROWS,0),MATCH(APP_RISK_TIER,CRIT_MATRIX_COLS,0)))</f>
        <v/>
      </c>
      <c r="Q67" s="40" t="n"/>
      <c r="R67" s="40" cm="1">
        <f t="array" ref="R67">COUNTIFS(tblThreatControls[Control ID],$A67,tblThreatControls[Threat applies],"Applies")</f>
        <v/>
      </c>
      <c r="S67" s="40" cm="1">
        <f t="array" ref="S67">IF(R67=0,"",INDEX(RISK_SCALE_NAMES,_xlfn.MAXIFS(tblThreatControls[Threat risk score],tblThreatControls[Control ID],$A67)))</f>
        <v/>
      </c>
      <c r="T67" s="40" cm="1">
        <f t="array" ref="T67">IF(AND(H67="Applicable",OR(L67="Not assessed",L67=""),R67&gt;0),"Yes","No")</f>
        <v/>
      </c>
      <c r="U67" s="40" cm="1">
        <f t="array" ref="U67">IF(AND(H67="Applicable",OR(L67="Gap",L67="Partial coverage")),INDEX(RISK_SCALE_NAMES,MAX(IFERROR(MATCH(P67,RISK_SCALE_NAMES,0),1),IFERROR(MATCH(S67,RISK_SCALE_NAMES,0),0))),"")</f>
        <v/>
      </c>
      <c r="V67" s="40" cm="1">
        <f t="array" ref="V67">_xlfn.TEXTJOIN("; ",TRUE,_xlfn._xlws.FILTER(tblThreatControls[Threat ID],(tblThreatControls[Control ID]=$A67)*(tblThreatControls[Threat applies]="Applies"),""))</f>
        <v/>
      </c>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0" t="inlineStr">
        <is>
          <t>SAST + DAST / header scanner</t>
        </is>
      </c>
      <c r="J68" s="40" t="inlineStr">
        <is>
          <t>Deterministic, continuous</t>
        </is>
      </c>
      <c r="K68" s="42" t="inlineStr">
        <is>
          <t>Pipeline</t>
        </is>
      </c>
      <c r="L68" s="42" t="inlineStr">
        <is>
          <t>Not assessed</t>
        </is>
      </c>
      <c r="M68" s="40" t="n"/>
      <c r="N68" s="40" t="n"/>
      <c r="O68" s="42" t="inlineStr">
        <is>
          <t>Medium</t>
        </is>
      </c>
      <c r="P68" s="43">
        <f>IF(H68="N/A","N/A",INDEX(CRIT_MATRIX,MATCH(O68,CRIT_MATRIX_ROWS,0),MATCH(APP_RISK_TIER,CRIT_MATRIX_COLS,0)))</f>
        <v/>
      </c>
      <c r="Q68" s="40" t="n"/>
      <c r="R68" s="40" cm="1">
        <f t="array" ref="R68">COUNTIFS(tblThreatControls[Control ID],$A68,tblThreatControls[Threat applies],"Applies")</f>
        <v/>
      </c>
      <c r="S68" s="40" cm="1">
        <f t="array" ref="S68">IF(R68=0,"",INDEX(RISK_SCALE_NAMES,_xlfn.MAXIFS(tblThreatControls[Threat risk score],tblThreatControls[Control ID],$A68)))</f>
        <v/>
      </c>
      <c r="T68" s="40" cm="1">
        <f t="array" ref="T68">IF(AND(H68="Applicable",OR(L68="Not assessed",L68=""),R68&gt;0),"Yes","No")</f>
        <v/>
      </c>
      <c r="U68" s="40" cm="1">
        <f t="array" ref="U68">IF(AND(H68="Applicable",OR(L68="Gap",L68="Partial coverage")),INDEX(RISK_SCALE_NAMES,MAX(IFERROR(MATCH(P68,RISK_SCALE_NAMES,0),1),IFERROR(MATCH(S68,RISK_SCALE_NAMES,0),0))),"")</f>
        <v/>
      </c>
      <c r="V68" s="40" cm="1">
        <f t="array" ref="V68">_xlfn.TEXTJOIN("; ",TRUE,_xlfn._xlws.FILTER(tblThreatControls[Threat ID],(tblThreatControls[Control ID]=$A68)*(tblThreatControls[Threat applies]="Applies"),""))</f>
        <v/>
      </c>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0" t="inlineStr">
        <is>
          <t>SAST + DAST / header scanner</t>
        </is>
      </c>
      <c r="J69" s="40" t="inlineStr">
        <is>
          <t>Deterministic, continuous</t>
        </is>
      </c>
      <c r="K69" s="42" t="inlineStr">
        <is>
          <t>Pipeline</t>
        </is>
      </c>
      <c r="L69" s="42" t="inlineStr">
        <is>
          <t>Not assessed</t>
        </is>
      </c>
      <c r="M69" s="40" t="n"/>
      <c r="N69" s="40" t="n"/>
      <c r="O69" s="42" t="inlineStr">
        <is>
          <t>Medium</t>
        </is>
      </c>
      <c r="P69" s="43">
        <f>IF(H69="N/A","N/A",INDEX(CRIT_MATRIX,MATCH(O69,CRIT_MATRIX_ROWS,0),MATCH(APP_RISK_TIER,CRIT_MATRIX_COLS,0)))</f>
        <v/>
      </c>
      <c r="Q69" s="40" t="n"/>
      <c r="R69" s="40" cm="1">
        <f t="array" ref="R69">COUNTIFS(tblThreatControls[Control ID],$A69,tblThreatControls[Threat applies],"Applies")</f>
        <v/>
      </c>
      <c r="S69" s="40" cm="1">
        <f t="array" ref="S69">IF(R69=0,"",INDEX(RISK_SCALE_NAMES,_xlfn.MAXIFS(tblThreatControls[Threat risk score],tblThreatControls[Control ID],$A69)))</f>
        <v/>
      </c>
      <c r="T69" s="40" cm="1">
        <f t="array" ref="T69">IF(AND(H69="Applicable",OR(L69="Not assessed",L69=""),R69&gt;0),"Yes","No")</f>
        <v/>
      </c>
      <c r="U69" s="40" cm="1">
        <f t="array" ref="U69">IF(AND(H69="Applicable",OR(L69="Gap",L69="Partial coverage")),INDEX(RISK_SCALE_NAMES,MAX(IFERROR(MATCH(P69,RISK_SCALE_NAMES,0),1),IFERROR(MATCH(S69,RISK_SCALE_NAMES,0),0))),"")</f>
        <v/>
      </c>
      <c r="V69" s="40" cm="1">
        <f t="array" ref="V69">_xlfn.TEXTJOIN("; ",TRUE,_xlfn._xlws.FILTER(tblThreatControls[Threat ID],(tblThreatControls[Control ID]=$A69)*(tblThreatControls[Threat applies]="Applies"),""))</f>
        <v/>
      </c>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0" t="inlineStr">
        <is>
          <t>SAST + DAST / header scanner</t>
        </is>
      </c>
      <c r="J70" s="40" t="inlineStr">
        <is>
          <t>Deterministic, continuous</t>
        </is>
      </c>
      <c r="K70" s="42" t="inlineStr">
        <is>
          <t>Pipeline</t>
        </is>
      </c>
      <c r="L70" s="42" t="inlineStr">
        <is>
          <t>Not assessed</t>
        </is>
      </c>
      <c r="M70" s="40" t="n"/>
      <c r="N70" s="40" t="n"/>
      <c r="O70" s="42" t="inlineStr">
        <is>
          <t>Medium</t>
        </is>
      </c>
      <c r="P70" s="43">
        <f>IF(H70="N/A","N/A",INDEX(CRIT_MATRIX,MATCH(O70,CRIT_MATRIX_ROWS,0),MATCH(APP_RISK_TIER,CRIT_MATRIX_COLS,0)))</f>
        <v/>
      </c>
      <c r="Q70" s="40" t="n"/>
      <c r="R70" s="40" cm="1">
        <f t="array" ref="R70">COUNTIFS(tblThreatControls[Control ID],$A70,tblThreatControls[Threat applies],"Applies")</f>
        <v/>
      </c>
      <c r="S70" s="40" cm="1">
        <f t="array" ref="S70">IF(R70=0,"",INDEX(RISK_SCALE_NAMES,_xlfn.MAXIFS(tblThreatControls[Threat risk score],tblThreatControls[Control ID],$A70)))</f>
        <v/>
      </c>
      <c r="T70" s="40" cm="1">
        <f t="array" ref="T70">IF(AND(H70="Applicable",OR(L70="Not assessed",L70=""),R70&gt;0),"Yes","No")</f>
        <v/>
      </c>
      <c r="U70" s="40" cm="1">
        <f t="array" ref="U70">IF(AND(H70="Applicable",OR(L70="Gap",L70="Partial coverage")),INDEX(RISK_SCALE_NAMES,MAX(IFERROR(MATCH(P70,RISK_SCALE_NAMES,0),1),IFERROR(MATCH(S70,RISK_SCALE_NAMES,0),0))),"")</f>
        <v/>
      </c>
      <c r="V70" s="40" cm="1">
        <f t="array" ref="V70">_xlfn.TEXTJOIN("; ",TRUE,_xlfn._xlws.FILTER(tblThreatControls[Threat ID],(tblThreatControls[Control ID]=$A70)*(tblThreatControls[Threat applies]="Applies"),""))</f>
        <v/>
      </c>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0" t="inlineStr">
        <is>
          <t>SAST + DAST / header scanner</t>
        </is>
      </c>
      <c r="J71" s="40" t="inlineStr">
        <is>
          <t>Deterministic, continuous</t>
        </is>
      </c>
      <c r="K71" s="42" t="inlineStr">
        <is>
          <t>Pipeline</t>
        </is>
      </c>
      <c r="L71" s="42" t="inlineStr">
        <is>
          <t>Not assessed</t>
        </is>
      </c>
      <c r="M71" s="40" t="n"/>
      <c r="N71" s="40" t="n"/>
      <c r="O71" s="42" t="inlineStr">
        <is>
          <t>Medium</t>
        </is>
      </c>
      <c r="P71" s="43">
        <f>IF(H71="N/A","N/A",INDEX(CRIT_MATRIX,MATCH(O71,CRIT_MATRIX_ROWS,0),MATCH(APP_RISK_TIER,CRIT_MATRIX_COLS,0)))</f>
        <v/>
      </c>
      <c r="Q71" s="40" t="n"/>
      <c r="R71" s="40" cm="1">
        <f t="array" ref="R71">COUNTIFS(tblThreatControls[Control ID],$A71,tblThreatControls[Threat applies],"Applies")</f>
        <v/>
      </c>
      <c r="S71" s="40" cm="1">
        <f t="array" ref="S71">IF(R71=0,"",INDEX(RISK_SCALE_NAMES,_xlfn.MAXIFS(tblThreatControls[Threat risk score],tblThreatControls[Control ID],$A71)))</f>
        <v/>
      </c>
      <c r="T71" s="40" cm="1">
        <f t="array" ref="T71">IF(AND(H71="Applicable",OR(L71="Not assessed",L71=""),R71&gt;0),"Yes","No")</f>
        <v/>
      </c>
      <c r="U71" s="40" cm="1">
        <f t="array" ref="U71">IF(AND(H71="Applicable",OR(L71="Gap",L71="Partial coverage")),INDEX(RISK_SCALE_NAMES,MAX(IFERROR(MATCH(P71,RISK_SCALE_NAMES,0),1),IFERROR(MATCH(S71,RISK_SCALE_NAMES,0),0))),"")</f>
        <v/>
      </c>
      <c r="V71" s="40" cm="1">
        <f t="array" ref="V71">_xlfn.TEXTJOIN("; ",TRUE,_xlfn._xlws.FILTER(tblThreatControls[Threat ID],(tblThreatControls[Control ID]=$A71)*(tblThreatControls[Threat applies]="Applies"),""))</f>
        <v/>
      </c>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0" t="inlineStr">
        <is>
          <t>SAST + DAST / header scanner</t>
        </is>
      </c>
      <c r="J72" s="40" t="inlineStr">
        <is>
          <t>Deterministic, continuous</t>
        </is>
      </c>
      <c r="K72" s="42" t="inlineStr">
        <is>
          <t>Pipeline</t>
        </is>
      </c>
      <c r="L72" s="42" t="inlineStr">
        <is>
          <t>Not assessed</t>
        </is>
      </c>
      <c r="M72" s="40" t="n"/>
      <c r="N72" s="40" t="n"/>
      <c r="O72" s="42" t="inlineStr">
        <is>
          <t>Medium</t>
        </is>
      </c>
      <c r="P72" s="43">
        <f>IF(H72="N/A","N/A",INDEX(CRIT_MATRIX,MATCH(O72,CRIT_MATRIX_ROWS,0),MATCH(APP_RISK_TIER,CRIT_MATRIX_COLS,0)))</f>
        <v/>
      </c>
      <c r="Q72" s="40" t="n"/>
      <c r="R72" s="40" cm="1">
        <f t="array" ref="R72">COUNTIFS(tblThreatControls[Control ID],$A72,tblThreatControls[Threat applies],"Applies")</f>
        <v/>
      </c>
      <c r="S72" s="40" cm="1">
        <f t="array" ref="S72">IF(R72=0,"",INDEX(RISK_SCALE_NAMES,_xlfn.MAXIFS(tblThreatControls[Threat risk score],tblThreatControls[Control ID],$A72)))</f>
        <v/>
      </c>
      <c r="T72" s="40" cm="1">
        <f t="array" ref="T72">IF(AND(H72="Applicable",OR(L72="Not assessed",L72=""),R72&gt;0),"Yes","No")</f>
        <v/>
      </c>
      <c r="U72" s="40" cm="1">
        <f t="array" ref="U72">IF(AND(H72="Applicable",OR(L72="Gap",L72="Partial coverage")),INDEX(RISK_SCALE_NAMES,MAX(IFERROR(MATCH(P72,RISK_SCALE_NAMES,0),1),IFERROR(MATCH(S72,RISK_SCALE_NAMES,0),0))),"")</f>
        <v/>
      </c>
      <c r="V72" s="40" cm="1">
        <f t="array" ref="V72">_xlfn.TEXTJOIN("; ",TRUE,_xlfn._xlws.FILTER(tblThreatControls[Threat ID],(tblThreatControls[Control ID]=$A72)*(tblThreatControls[Threat applies]="Applies"),""))</f>
        <v/>
      </c>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0" t="inlineStr">
        <is>
          <t>SAST + DAST / header scanner</t>
        </is>
      </c>
      <c r="J73" s="40" t="inlineStr">
        <is>
          <t>Deterministic, continuous</t>
        </is>
      </c>
      <c r="K73" s="42" t="inlineStr">
        <is>
          <t>Pipeline</t>
        </is>
      </c>
      <c r="L73" s="42" t="inlineStr">
        <is>
          <t>Not assessed</t>
        </is>
      </c>
      <c r="M73" s="40" t="n"/>
      <c r="N73" s="40" t="n"/>
      <c r="O73" s="42" t="inlineStr">
        <is>
          <t>Medium</t>
        </is>
      </c>
      <c r="P73" s="43">
        <f>IF(H73="N/A","N/A",INDEX(CRIT_MATRIX,MATCH(O73,CRIT_MATRIX_ROWS,0),MATCH(APP_RISK_TIER,CRIT_MATRIX_COLS,0)))</f>
        <v/>
      </c>
      <c r="Q73" s="40" t="n"/>
      <c r="R73" s="40" cm="1">
        <f t="array" ref="R73">COUNTIFS(tblThreatControls[Control ID],$A73,tblThreatControls[Threat applies],"Applies")</f>
        <v/>
      </c>
      <c r="S73" s="40" cm="1">
        <f t="array" ref="S73">IF(R73=0,"",INDEX(RISK_SCALE_NAMES,_xlfn.MAXIFS(tblThreatControls[Threat risk score],tblThreatControls[Control ID],$A73)))</f>
        <v/>
      </c>
      <c r="T73" s="40" cm="1">
        <f t="array" ref="T73">IF(AND(H73="Applicable",OR(L73="Not assessed",L73=""),R73&gt;0),"Yes","No")</f>
        <v/>
      </c>
      <c r="U73" s="40" cm="1">
        <f t="array" ref="U73">IF(AND(H73="Applicable",OR(L73="Gap",L73="Partial coverage")),INDEX(RISK_SCALE_NAMES,MAX(IFERROR(MATCH(P73,RISK_SCALE_NAMES,0),1),IFERROR(MATCH(S73,RISK_SCALE_NAMES,0),0))),"")</f>
        <v/>
      </c>
      <c r="V73" s="40" cm="1">
        <f t="array" ref="V73">_xlfn.TEXTJOIN("; ",TRUE,_xlfn._xlws.FILTER(tblThreatControls[Threat ID],(tblThreatControls[Control ID]=$A73)*(tblThreatControls[Threat applies]="Applies"),""))</f>
        <v/>
      </c>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0" t="inlineStr">
        <is>
          <t>SAST + DAST / header scanner</t>
        </is>
      </c>
      <c r="J74" s="40" t="inlineStr">
        <is>
          <t>Deterministic, continuous</t>
        </is>
      </c>
      <c r="K74" s="42" t="inlineStr">
        <is>
          <t>Pipeline</t>
        </is>
      </c>
      <c r="L74" s="42" t="inlineStr">
        <is>
          <t>Not assessed</t>
        </is>
      </c>
      <c r="M74" s="40" t="n"/>
      <c r="N74" s="40" t="n"/>
      <c r="O74" s="42" t="inlineStr">
        <is>
          <t>Medium</t>
        </is>
      </c>
      <c r="P74" s="43">
        <f>IF(H74="N/A","N/A",INDEX(CRIT_MATRIX,MATCH(O74,CRIT_MATRIX_ROWS,0),MATCH(APP_RISK_TIER,CRIT_MATRIX_COLS,0)))</f>
        <v/>
      </c>
      <c r="Q74" s="40" t="n"/>
      <c r="R74" s="40" cm="1">
        <f t="array" ref="R74">COUNTIFS(tblThreatControls[Control ID],$A74,tblThreatControls[Threat applies],"Applies")</f>
        <v/>
      </c>
      <c r="S74" s="40" cm="1">
        <f t="array" ref="S74">IF(R74=0,"",INDEX(RISK_SCALE_NAMES,_xlfn.MAXIFS(tblThreatControls[Threat risk score],tblThreatControls[Control ID],$A74)))</f>
        <v/>
      </c>
      <c r="T74" s="40" cm="1">
        <f t="array" ref="T74">IF(AND(H74="Applicable",OR(L74="Not assessed",L74=""),R74&gt;0),"Yes","No")</f>
        <v/>
      </c>
      <c r="U74" s="40" cm="1">
        <f t="array" ref="U74">IF(AND(H74="Applicable",OR(L74="Gap",L74="Partial coverage")),INDEX(RISK_SCALE_NAMES,MAX(IFERROR(MATCH(P74,RISK_SCALE_NAMES,0),1),IFERROR(MATCH(S74,RISK_SCALE_NAMES,0),0))),"")</f>
        <v/>
      </c>
      <c r="V74" s="40" cm="1">
        <f t="array" ref="V74">_xlfn.TEXTJOIN("; ",TRUE,_xlfn._xlws.FILTER(tblThreatControls[Threat ID],(tblThreatControls[Control ID]=$A74)*(tblThreatControls[Threat applies]="Applies"),""))</f>
        <v/>
      </c>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0" t="inlineStr">
        <is>
          <t>SAST + DAST / header scanner</t>
        </is>
      </c>
      <c r="J75" s="40" t="inlineStr">
        <is>
          <t>Deterministic, continuous</t>
        </is>
      </c>
      <c r="K75" s="42" t="inlineStr">
        <is>
          <t>Pipeline</t>
        </is>
      </c>
      <c r="L75" s="42" t="inlineStr">
        <is>
          <t>Not assessed</t>
        </is>
      </c>
      <c r="M75" s="40" t="n"/>
      <c r="N75" s="40" t="n"/>
      <c r="O75" s="42" t="inlineStr">
        <is>
          <t>Medium</t>
        </is>
      </c>
      <c r="P75" s="43">
        <f>IF(H75="N/A","N/A",INDEX(CRIT_MATRIX,MATCH(O75,CRIT_MATRIX_ROWS,0),MATCH(APP_RISK_TIER,CRIT_MATRIX_COLS,0)))</f>
        <v/>
      </c>
      <c r="Q75" s="40" t="n"/>
      <c r="R75" s="40" cm="1">
        <f t="array" ref="R75">COUNTIFS(tblThreatControls[Control ID],$A75,tblThreatControls[Threat applies],"Applies")</f>
        <v/>
      </c>
      <c r="S75" s="40" cm="1">
        <f t="array" ref="S75">IF(R75=0,"",INDEX(RISK_SCALE_NAMES,_xlfn.MAXIFS(tblThreatControls[Threat risk score],tblThreatControls[Control ID],$A75)))</f>
        <v/>
      </c>
      <c r="T75" s="40" cm="1">
        <f t="array" ref="T75">IF(AND(H75="Applicable",OR(L75="Not assessed",L75=""),R75&gt;0),"Yes","No")</f>
        <v/>
      </c>
      <c r="U75" s="40" cm="1">
        <f t="array" ref="U75">IF(AND(H75="Applicable",OR(L75="Gap",L75="Partial coverage")),INDEX(RISK_SCALE_NAMES,MAX(IFERROR(MATCH(P75,RISK_SCALE_NAMES,0),1),IFERROR(MATCH(S75,RISK_SCALE_NAMES,0),0))),"")</f>
        <v/>
      </c>
      <c r="V75" s="40" cm="1">
        <f t="array" ref="V75">_xlfn.TEXTJOIN("; ",TRUE,_xlfn._xlws.FILTER(tblThreatControls[Threat ID],(tblThreatControls[Control ID]=$A75)*(tblThreatControls[Threat applies]="Applies"),""))</f>
        <v/>
      </c>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0" t="inlineStr">
        <is>
          <t>SAST + DAST / header scanner</t>
        </is>
      </c>
      <c r="J76" s="40" t="inlineStr">
        <is>
          <t>Deterministic, continuous</t>
        </is>
      </c>
      <c r="K76" s="42" t="inlineStr">
        <is>
          <t>Pipeline</t>
        </is>
      </c>
      <c r="L76" s="42" t="inlineStr">
        <is>
          <t>Not assessed</t>
        </is>
      </c>
      <c r="M76" s="40" t="n"/>
      <c r="N76" s="40" t="n"/>
      <c r="O76" s="42" t="inlineStr">
        <is>
          <t>Medium</t>
        </is>
      </c>
      <c r="P76" s="43">
        <f>IF(H76="N/A","N/A",INDEX(CRIT_MATRIX,MATCH(O76,CRIT_MATRIX_ROWS,0),MATCH(APP_RISK_TIER,CRIT_MATRIX_COLS,0)))</f>
        <v/>
      </c>
      <c r="Q76" s="40" t="n"/>
      <c r="R76" s="40" cm="1">
        <f t="array" ref="R76">COUNTIFS(tblThreatControls[Control ID],$A76,tblThreatControls[Threat applies],"Applies")</f>
        <v/>
      </c>
      <c r="S76" s="40" cm="1">
        <f t="array" ref="S76">IF(R76=0,"",INDEX(RISK_SCALE_NAMES,_xlfn.MAXIFS(tblThreatControls[Threat risk score],tblThreatControls[Control ID],$A76)))</f>
        <v/>
      </c>
      <c r="T76" s="40" cm="1">
        <f t="array" ref="T76">IF(AND(H76="Applicable",OR(L76="Not assessed",L76=""),R76&gt;0),"Yes","No")</f>
        <v/>
      </c>
      <c r="U76" s="40" cm="1">
        <f t="array" ref="U76">IF(AND(H76="Applicable",OR(L76="Gap",L76="Partial coverage")),INDEX(RISK_SCALE_NAMES,MAX(IFERROR(MATCH(P76,RISK_SCALE_NAMES,0),1),IFERROR(MATCH(S76,RISK_SCALE_NAMES,0),0))),"")</f>
        <v/>
      </c>
      <c r="V76" s="40" cm="1">
        <f t="array" ref="V76">_xlfn.TEXTJOIN("; ",TRUE,_xlfn._xlws.FILTER(tblThreatControls[Threat ID],(tblThreatControls[Control ID]=$A76)*(tblThreatControls[Threat applies]="Applies"),""))</f>
        <v/>
      </c>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0" t="inlineStr">
        <is>
          <t>SAST + DAST / header scanner</t>
        </is>
      </c>
      <c r="J77" s="40" t="inlineStr">
        <is>
          <t>Deterministic, continuous</t>
        </is>
      </c>
      <c r="K77" s="42" t="inlineStr">
        <is>
          <t>Pipeline</t>
        </is>
      </c>
      <c r="L77" s="42" t="inlineStr">
        <is>
          <t>Not assessed</t>
        </is>
      </c>
      <c r="M77" s="40" t="n"/>
      <c r="N77" s="40" t="n"/>
      <c r="O77" s="42" t="inlineStr">
        <is>
          <t>Medium</t>
        </is>
      </c>
      <c r="P77" s="43">
        <f>IF(H77="N/A","N/A",INDEX(CRIT_MATRIX,MATCH(O77,CRIT_MATRIX_ROWS,0),MATCH(APP_RISK_TIER,CRIT_MATRIX_COLS,0)))</f>
        <v/>
      </c>
      <c r="Q77" s="40" t="n"/>
      <c r="R77" s="40" cm="1">
        <f t="array" ref="R77">COUNTIFS(tblThreatControls[Control ID],$A77,tblThreatControls[Threat applies],"Applies")</f>
        <v/>
      </c>
      <c r="S77" s="40" cm="1">
        <f t="array" ref="S77">IF(R77=0,"",INDEX(RISK_SCALE_NAMES,_xlfn.MAXIFS(tblThreatControls[Threat risk score],tblThreatControls[Control ID],$A77)))</f>
        <v/>
      </c>
      <c r="T77" s="40" cm="1">
        <f t="array" ref="T77">IF(AND(H77="Applicable",OR(L77="Not assessed",L77=""),R77&gt;0),"Yes","No")</f>
        <v/>
      </c>
      <c r="U77" s="40" cm="1">
        <f t="array" ref="U77">IF(AND(H77="Applicable",OR(L77="Gap",L77="Partial coverage")),INDEX(RISK_SCALE_NAMES,MAX(IFERROR(MATCH(P77,RISK_SCALE_NAMES,0),1),IFERROR(MATCH(S77,RISK_SCALE_NAMES,0),0))),"")</f>
        <v/>
      </c>
      <c r="V77" s="40" cm="1">
        <f t="array" ref="V77">_xlfn.TEXTJOIN("; ",TRUE,_xlfn._xlws.FILTER(tblThreatControls[Threat ID],(tblThreatControls[Control ID]=$A77)*(tblThreatControls[Threat applies]="Applies"),""))</f>
        <v/>
      </c>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0" t="inlineStr">
        <is>
          <t>SAST + DAST / header scanner</t>
        </is>
      </c>
      <c r="J78" s="40" t="inlineStr">
        <is>
          <t>Deterministic, continuous</t>
        </is>
      </c>
      <c r="K78" s="42" t="inlineStr">
        <is>
          <t>Pipeline</t>
        </is>
      </c>
      <c r="L78" s="42" t="inlineStr">
        <is>
          <t>Not assessed</t>
        </is>
      </c>
      <c r="M78" s="40" t="n"/>
      <c r="N78" s="40" t="n"/>
      <c r="O78" s="42" t="inlineStr">
        <is>
          <t>Medium</t>
        </is>
      </c>
      <c r="P78" s="43">
        <f>IF(H78="N/A","N/A",INDEX(CRIT_MATRIX,MATCH(O78,CRIT_MATRIX_ROWS,0),MATCH(APP_RISK_TIER,CRIT_MATRIX_COLS,0)))</f>
        <v/>
      </c>
      <c r="Q78" s="40" t="n"/>
      <c r="R78" s="40" cm="1">
        <f t="array" ref="R78">COUNTIFS(tblThreatControls[Control ID],$A78,tblThreatControls[Threat applies],"Applies")</f>
        <v/>
      </c>
      <c r="S78" s="40" cm="1">
        <f t="array" ref="S78">IF(R78=0,"",INDEX(RISK_SCALE_NAMES,_xlfn.MAXIFS(tblThreatControls[Threat risk score],tblThreatControls[Control ID],$A78)))</f>
        <v/>
      </c>
      <c r="T78" s="40" cm="1">
        <f t="array" ref="T78">IF(AND(H78="Applicable",OR(L78="Not assessed",L78=""),R78&gt;0),"Yes","No")</f>
        <v/>
      </c>
      <c r="U78" s="40" cm="1">
        <f t="array" ref="U78">IF(AND(H78="Applicable",OR(L78="Gap",L78="Partial coverage")),INDEX(RISK_SCALE_NAMES,MAX(IFERROR(MATCH(P78,RISK_SCALE_NAMES,0),1),IFERROR(MATCH(S78,RISK_SCALE_NAMES,0),0))),"")</f>
        <v/>
      </c>
      <c r="V78" s="40" cm="1">
        <f t="array" ref="V78">_xlfn.TEXTJOIN("; ",TRUE,_xlfn._xlws.FILTER(tblThreatControls[Threat ID],(tblThreatControls[Control ID]=$A78)*(tblThreatControls[Threat applies]="Applies"),""))</f>
        <v/>
      </c>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0" t="inlineStr">
        <is>
          <t>SAST + DAST</t>
        </is>
      </c>
      <c r="J79" s="40" t="inlineStr">
        <is>
          <t>Deterministic, continuous</t>
        </is>
      </c>
      <c r="K79" s="42" t="inlineStr">
        <is>
          <t>Pipeline</t>
        </is>
      </c>
      <c r="L79" s="42" t="inlineStr">
        <is>
          <t>Not assessed</t>
        </is>
      </c>
      <c r="M79" s="40" t="n"/>
      <c r="N79" s="40" t="n"/>
      <c r="O79" s="42" t="inlineStr">
        <is>
          <t>Medium</t>
        </is>
      </c>
      <c r="P79" s="43">
        <f>IF(H79="N/A","N/A",INDEX(CRIT_MATRIX,MATCH(O79,CRIT_MATRIX_ROWS,0),MATCH(APP_RISK_TIER,CRIT_MATRIX_COLS,0)))</f>
        <v/>
      </c>
      <c r="Q79" s="40" t="n"/>
      <c r="R79" s="40" cm="1">
        <f t="array" ref="R79">COUNTIFS(tblThreatControls[Control ID],$A79,tblThreatControls[Threat applies],"Applies")</f>
        <v/>
      </c>
      <c r="S79" s="40" cm="1">
        <f t="array" ref="S79">IF(R79=0,"",INDEX(RISK_SCALE_NAMES,_xlfn.MAXIFS(tblThreatControls[Threat risk score],tblThreatControls[Control ID],$A79)))</f>
        <v/>
      </c>
      <c r="T79" s="40" cm="1">
        <f t="array" ref="T79">IF(AND(H79="Applicable",OR(L79="Not assessed",L79=""),R79&gt;0),"Yes","No")</f>
        <v/>
      </c>
      <c r="U79" s="40" cm="1">
        <f t="array" ref="U79">IF(AND(H79="Applicable",OR(L79="Gap",L79="Partial coverage")),INDEX(RISK_SCALE_NAMES,MAX(IFERROR(MATCH(P79,RISK_SCALE_NAMES,0),1),IFERROR(MATCH(S79,RISK_SCALE_NAMES,0),0))),"")</f>
        <v/>
      </c>
      <c r="V79" s="40" cm="1">
        <f t="array" ref="V79">_xlfn.TEXTJOIN("; ",TRUE,_xlfn._xlws.FILTER(tblThreatControls[Threat ID],(tblThreatControls[Control ID]=$A79)*(tblThreatControls[Threat applies]="Applies"),""))</f>
        <v/>
      </c>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0" t="inlineStr">
        <is>
          <t>SAST + DAST</t>
        </is>
      </c>
      <c r="J80" s="40" t="inlineStr">
        <is>
          <t>Deterministic, continuous</t>
        </is>
      </c>
      <c r="K80" s="42" t="inlineStr">
        <is>
          <t>Pipeline</t>
        </is>
      </c>
      <c r="L80" s="42" t="inlineStr">
        <is>
          <t>Not assessed</t>
        </is>
      </c>
      <c r="M80" s="40" t="n"/>
      <c r="N80" s="40" t="n"/>
      <c r="O80" s="42" t="inlineStr">
        <is>
          <t>Medium</t>
        </is>
      </c>
      <c r="P80" s="43">
        <f>IF(H80="N/A","N/A",INDEX(CRIT_MATRIX,MATCH(O80,CRIT_MATRIX_ROWS,0),MATCH(APP_RISK_TIER,CRIT_MATRIX_COLS,0)))</f>
        <v/>
      </c>
      <c r="Q80" s="40" t="n"/>
      <c r="R80" s="40" cm="1">
        <f t="array" ref="R80">COUNTIFS(tblThreatControls[Control ID],$A80,tblThreatControls[Threat applies],"Applies")</f>
        <v/>
      </c>
      <c r="S80" s="40" cm="1">
        <f t="array" ref="S80">IF(R80=0,"",INDEX(RISK_SCALE_NAMES,_xlfn.MAXIFS(tblThreatControls[Threat risk score],tblThreatControls[Control ID],$A80)))</f>
        <v/>
      </c>
      <c r="T80" s="40" cm="1">
        <f t="array" ref="T80">IF(AND(H80="Applicable",OR(L80="Not assessed",L80=""),R80&gt;0),"Yes","No")</f>
        <v/>
      </c>
      <c r="U80" s="40" cm="1">
        <f t="array" ref="U80">IF(AND(H80="Applicable",OR(L80="Gap",L80="Partial coverage")),INDEX(RISK_SCALE_NAMES,MAX(IFERROR(MATCH(P80,RISK_SCALE_NAMES,0),1),IFERROR(MATCH(S80,RISK_SCALE_NAMES,0),0))),"")</f>
        <v/>
      </c>
      <c r="V80" s="40" cm="1">
        <f t="array" ref="V80">_xlfn.TEXTJOIN("; ",TRUE,_xlfn._xlws.FILTER(tblThreatControls[Threat ID],(tblThreatControls[Control ID]=$A80)*(tblThreatControls[Threat applies]="Applies"),""))</f>
        <v/>
      </c>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0" t="inlineStr">
        <is>
          <t>SAST + DAST</t>
        </is>
      </c>
      <c r="J81" s="40" t="inlineStr">
        <is>
          <t>Deterministic, continuous</t>
        </is>
      </c>
      <c r="K81" s="42" t="inlineStr">
        <is>
          <t>Pipeline</t>
        </is>
      </c>
      <c r="L81" s="42" t="inlineStr">
        <is>
          <t>Not assessed</t>
        </is>
      </c>
      <c r="M81" s="40" t="n"/>
      <c r="N81" s="40" t="n"/>
      <c r="O81" s="42" t="inlineStr">
        <is>
          <t>Medium</t>
        </is>
      </c>
      <c r="P81" s="43">
        <f>IF(H81="N/A","N/A",INDEX(CRIT_MATRIX,MATCH(O81,CRIT_MATRIX_ROWS,0),MATCH(APP_RISK_TIER,CRIT_MATRIX_COLS,0)))</f>
        <v/>
      </c>
      <c r="Q81" s="40" t="n"/>
      <c r="R81" s="40" cm="1">
        <f t="array" ref="R81">COUNTIFS(tblThreatControls[Control ID],$A81,tblThreatControls[Threat applies],"Applies")</f>
        <v/>
      </c>
      <c r="S81" s="40" cm="1">
        <f t="array" ref="S81">IF(R81=0,"",INDEX(RISK_SCALE_NAMES,_xlfn.MAXIFS(tblThreatControls[Threat risk score],tblThreatControls[Control ID],$A81)))</f>
        <v/>
      </c>
      <c r="T81" s="40" cm="1">
        <f t="array" ref="T81">IF(AND(H81="Applicable",OR(L81="Not assessed",L81=""),R81&gt;0),"Yes","No")</f>
        <v/>
      </c>
      <c r="U81" s="40" cm="1">
        <f t="array" ref="U81">IF(AND(H81="Applicable",OR(L81="Gap",L81="Partial coverage")),INDEX(RISK_SCALE_NAMES,MAX(IFERROR(MATCH(P81,RISK_SCALE_NAMES,0),1),IFERROR(MATCH(S81,RISK_SCALE_NAMES,0),0))),"")</f>
        <v/>
      </c>
      <c r="V81" s="40" cm="1">
        <f t="array" ref="V81">_xlfn.TEXTJOIN("; ",TRUE,_xlfn._xlws.FILTER(tblThreatControls[Threat ID],(tblThreatControls[Control ID]=$A81)*(tblThreatControls[Threat applies]="Applies"),""))</f>
        <v/>
      </c>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0" t="inlineStr">
        <is>
          <t>SAST + DAST</t>
        </is>
      </c>
      <c r="J82" s="40" t="inlineStr">
        <is>
          <t>Deterministic, continuous</t>
        </is>
      </c>
      <c r="K82" s="42" t="inlineStr">
        <is>
          <t>Pipeline</t>
        </is>
      </c>
      <c r="L82" s="42" t="inlineStr">
        <is>
          <t>Not assessed</t>
        </is>
      </c>
      <c r="M82" s="40" t="n"/>
      <c r="N82" s="40" t="n"/>
      <c r="O82" s="42" t="inlineStr">
        <is>
          <t>Medium</t>
        </is>
      </c>
      <c r="P82" s="43">
        <f>IF(H82="N/A","N/A",INDEX(CRIT_MATRIX,MATCH(O82,CRIT_MATRIX_ROWS,0),MATCH(APP_RISK_TIER,CRIT_MATRIX_COLS,0)))</f>
        <v/>
      </c>
      <c r="Q82" s="40" t="n"/>
      <c r="R82" s="40" cm="1">
        <f t="array" ref="R82">COUNTIFS(tblThreatControls[Control ID],$A82,tblThreatControls[Threat applies],"Applies")</f>
        <v/>
      </c>
      <c r="S82" s="40" cm="1">
        <f t="array" ref="S82">IF(R82=0,"",INDEX(RISK_SCALE_NAMES,_xlfn.MAXIFS(tblThreatControls[Threat risk score],tblThreatControls[Control ID],$A82)))</f>
        <v/>
      </c>
      <c r="T82" s="40" cm="1">
        <f t="array" ref="T82">IF(AND(H82="Applicable",OR(L82="Not assessed",L82=""),R82&gt;0),"Yes","No")</f>
        <v/>
      </c>
      <c r="U82" s="40" cm="1">
        <f t="array" ref="U82">IF(AND(H82="Applicable",OR(L82="Gap",L82="Partial coverage")),INDEX(RISK_SCALE_NAMES,MAX(IFERROR(MATCH(P82,RISK_SCALE_NAMES,0),1),IFERROR(MATCH(S82,RISK_SCALE_NAMES,0),0))),"")</f>
        <v/>
      </c>
      <c r="V82" s="40" cm="1">
        <f t="array" ref="V82">_xlfn.TEXTJOIN("; ",TRUE,_xlfn._xlws.FILTER(tblThreatControls[Threat ID],(tblThreatControls[Control ID]=$A82)*(tblThreatControls[Threat applies]="Applies"),""))</f>
        <v/>
      </c>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0" t="inlineStr">
        <is>
          <t>SAST + DAST</t>
        </is>
      </c>
      <c r="J83" s="40" t="inlineStr">
        <is>
          <t>Deterministic, continuous</t>
        </is>
      </c>
      <c r="K83" s="42" t="inlineStr">
        <is>
          <t>Pipeline</t>
        </is>
      </c>
      <c r="L83" s="42" t="inlineStr">
        <is>
          <t>Not assessed</t>
        </is>
      </c>
      <c r="M83" s="40" t="n"/>
      <c r="N83" s="40" t="n"/>
      <c r="O83" s="42" t="inlineStr">
        <is>
          <t>Medium</t>
        </is>
      </c>
      <c r="P83" s="43">
        <f>IF(H83="N/A","N/A",INDEX(CRIT_MATRIX,MATCH(O83,CRIT_MATRIX_ROWS,0),MATCH(APP_RISK_TIER,CRIT_MATRIX_COLS,0)))</f>
        <v/>
      </c>
      <c r="Q83" s="40" t="n"/>
      <c r="R83" s="40" cm="1">
        <f t="array" ref="R83">COUNTIFS(tblThreatControls[Control ID],$A83,tblThreatControls[Threat applies],"Applies")</f>
        <v/>
      </c>
      <c r="S83" s="40" cm="1">
        <f t="array" ref="S83">IF(R83=0,"",INDEX(RISK_SCALE_NAMES,_xlfn.MAXIFS(tblThreatControls[Threat risk score],tblThreatControls[Control ID],$A83)))</f>
        <v/>
      </c>
      <c r="T83" s="40" cm="1">
        <f t="array" ref="T83">IF(AND(H83="Applicable",OR(L83="Not assessed",L83=""),R83&gt;0),"Yes","No")</f>
        <v/>
      </c>
      <c r="U83" s="40" cm="1">
        <f t="array" ref="U83">IF(AND(H83="Applicable",OR(L83="Gap",L83="Partial coverage")),INDEX(RISK_SCALE_NAMES,MAX(IFERROR(MATCH(P83,RISK_SCALE_NAMES,0),1),IFERROR(MATCH(S83,RISK_SCALE_NAMES,0),0))),"")</f>
        <v/>
      </c>
      <c r="V83" s="40" cm="1">
        <f t="array" ref="V83">_xlfn.TEXTJOIN("; ",TRUE,_xlfn._xlws.FILTER(tblThreatControls[Threat ID],(tblThreatControls[Control ID]=$A83)*(tblThreatControls[Threat applies]="Applies"),""))</f>
        <v/>
      </c>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0" t="inlineStr">
        <is>
          <t>SAST + DAST</t>
        </is>
      </c>
      <c r="J84" s="40" t="inlineStr">
        <is>
          <t>Deterministic, continuous</t>
        </is>
      </c>
      <c r="K84" s="42" t="inlineStr">
        <is>
          <t>Pipeline</t>
        </is>
      </c>
      <c r="L84" s="42" t="inlineStr">
        <is>
          <t>Not assessed</t>
        </is>
      </c>
      <c r="M84" s="40" t="n"/>
      <c r="N84" s="40" t="n"/>
      <c r="O84" s="42" t="inlineStr">
        <is>
          <t>Medium</t>
        </is>
      </c>
      <c r="P84" s="43">
        <f>IF(H84="N/A","N/A",INDEX(CRIT_MATRIX,MATCH(O84,CRIT_MATRIX_ROWS,0),MATCH(APP_RISK_TIER,CRIT_MATRIX_COLS,0)))</f>
        <v/>
      </c>
      <c r="Q84" s="40" t="n"/>
      <c r="R84" s="40" cm="1">
        <f t="array" ref="R84">COUNTIFS(tblThreatControls[Control ID],$A84,tblThreatControls[Threat applies],"Applies")</f>
        <v/>
      </c>
      <c r="S84" s="40" cm="1">
        <f t="array" ref="S84">IF(R84=0,"",INDEX(RISK_SCALE_NAMES,_xlfn.MAXIFS(tblThreatControls[Threat risk score],tblThreatControls[Control ID],$A84)))</f>
        <v/>
      </c>
      <c r="T84" s="40" cm="1">
        <f t="array" ref="T84">IF(AND(H84="Applicable",OR(L84="Not assessed",L84=""),R84&gt;0),"Yes","No")</f>
        <v/>
      </c>
      <c r="U84" s="40" cm="1">
        <f t="array" ref="U84">IF(AND(H84="Applicable",OR(L84="Gap",L84="Partial coverage")),INDEX(RISK_SCALE_NAMES,MAX(IFERROR(MATCH(P84,RISK_SCALE_NAMES,0),1),IFERROR(MATCH(S84,RISK_SCALE_NAMES,0),0))),"")</f>
        <v/>
      </c>
      <c r="V84" s="40" cm="1">
        <f t="array" ref="V84">_xlfn.TEXTJOIN("; ",TRUE,_xlfn._xlws.FILTER(tblThreatControls[Threat ID],(tblThreatControls[Control ID]=$A84)*(tblThreatControls[Threat applies]="Applies"),""))</f>
        <v/>
      </c>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0" t="inlineStr">
        <is>
          <t>SAST + DAST</t>
        </is>
      </c>
      <c r="J85" s="40" t="inlineStr">
        <is>
          <t>Deterministic, continuous</t>
        </is>
      </c>
      <c r="K85" s="42" t="inlineStr">
        <is>
          <t>Pipeline</t>
        </is>
      </c>
      <c r="L85" s="42" t="inlineStr">
        <is>
          <t>Not assessed</t>
        </is>
      </c>
      <c r="M85" s="40" t="n"/>
      <c r="N85" s="40" t="n"/>
      <c r="O85" s="42" t="inlineStr">
        <is>
          <t>Medium</t>
        </is>
      </c>
      <c r="P85" s="43">
        <f>IF(H85="N/A","N/A",INDEX(CRIT_MATRIX,MATCH(O85,CRIT_MATRIX_ROWS,0),MATCH(APP_RISK_TIER,CRIT_MATRIX_COLS,0)))</f>
        <v/>
      </c>
      <c r="Q85" s="40" t="n"/>
      <c r="R85" s="40" cm="1">
        <f t="array" ref="R85">COUNTIFS(tblThreatControls[Control ID],$A85,tblThreatControls[Threat applies],"Applies")</f>
        <v/>
      </c>
      <c r="S85" s="40" cm="1">
        <f t="array" ref="S85">IF(R85=0,"",INDEX(RISK_SCALE_NAMES,_xlfn.MAXIFS(tblThreatControls[Threat risk score],tblThreatControls[Control ID],$A85)))</f>
        <v/>
      </c>
      <c r="T85" s="40" cm="1">
        <f t="array" ref="T85">IF(AND(H85="Applicable",OR(L85="Not assessed",L85=""),R85&gt;0),"Yes","No")</f>
        <v/>
      </c>
      <c r="U85" s="40" cm="1">
        <f t="array" ref="U85">IF(AND(H85="Applicable",OR(L85="Gap",L85="Partial coverage")),INDEX(RISK_SCALE_NAMES,MAX(IFERROR(MATCH(P85,RISK_SCALE_NAMES,0),1),IFERROR(MATCH(S85,RISK_SCALE_NAMES,0),0))),"")</f>
        <v/>
      </c>
      <c r="V85" s="40" cm="1">
        <f t="array" ref="V85">_xlfn.TEXTJOIN("; ",TRUE,_xlfn._xlws.FILTER(tblThreatControls[Threat ID],(tblThreatControls[Control ID]=$A85)*(tblThreatControls[Threat applies]="Applies"),""))</f>
        <v/>
      </c>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0" t="inlineStr">
        <is>
          <t>SAST + DAST</t>
        </is>
      </c>
      <c r="J86" s="40" t="inlineStr">
        <is>
          <t>Deterministic, continuous</t>
        </is>
      </c>
      <c r="K86" s="42" t="inlineStr">
        <is>
          <t>Pipeline</t>
        </is>
      </c>
      <c r="L86" s="42" t="inlineStr">
        <is>
          <t>Not assessed</t>
        </is>
      </c>
      <c r="M86" s="40" t="n"/>
      <c r="N86" s="40" t="n"/>
      <c r="O86" s="42" t="inlineStr">
        <is>
          <t>Medium</t>
        </is>
      </c>
      <c r="P86" s="43">
        <f>IF(H86="N/A","N/A",INDEX(CRIT_MATRIX,MATCH(O86,CRIT_MATRIX_ROWS,0),MATCH(APP_RISK_TIER,CRIT_MATRIX_COLS,0)))</f>
        <v/>
      </c>
      <c r="Q86" s="40" t="n"/>
      <c r="R86" s="40" cm="1">
        <f t="array" ref="R86">COUNTIFS(tblThreatControls[Control ID],$A86,tblThreatControls[Threat applies],"Applies")</f>
        <v/>
      </c>
      <c r="S86" s="40" cm="1">
        <f t="array" ref="S86">IF(R86=0,"",INDEX(RISK_SCALE_NAMES,_xlfn.MAXIFS(tblThreatControls[Threat risk score],tblThreatControls[Control ID],$A86)))</f>
        <v/>
      </c>
      <c r="T86" s="40" cm="1">
        <f t="array" ref="T86">IF(AND(H86="Applicable",OR(L86="Not assessed",L86=""),R86&gt;0),"Yes","No")</f>
        <v/>
      </c>
      <c r="U86" s="40" cm="1">
        <f t="array" ref="U86">IF(AND(H86="Applicable",OR(L86="Gap",L86="Partial coverage")),INDEX(RISK_SCALE_NAMES,MAX(IFERROR(MATCH(P86,RISK_SCALE_NAMES,0),1),IFERROR(MATCH(S86,RISK_SCALE_NAMES,0),0))),"")</f>
        <v/>
      </c>
      <c r="V86" s="40" cm="1">
        <f t="array" ref="V86">_xlfn.TEXTJOIN("; ",TRUE,_xlfn._xlws.FILTER(tblThreatControls[Threat ID],(tblThreatControls[Control ID]=$A86)*(tblThreatControls[Threat applies]="Applies"),""))</f>
        <v/>
      </c>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0" t="inlineStr">
        <is>
          <t>SAST + DAST</t>
        </is>
      </c>
      <c r="J87" s="40" t="inlineStr">
        <is>
          <t>Deterministic, continuous</t>
        </is>
      </c>
      <c r="K87" s="42" t="inlineStr">
        <is>
          <t>Pipeline</t>
        </is>
      </c>
      <c r="L87" s="42" t="inlineStr">
        <is>
          <t>Not assessed</t>
        </is>
      </c>
      <c r="M87" s="40" t="n"/>
      <c r="N87" s="40" t="n"/>
      <c r="O87" s="42" t="inlineStr">
        <is>
          <t>Medium</t>
        </is>
      </c>
      <c r="P87" s="43">
        <f>IF(H87="N/A","N/A",INDEX(CRIT_MATRIX,MATCH(O87,CRIT_MATRIX_ROWS,0),MATCH(APP_RISK_TIER,CRIT_MATRIX_COLS,0)))</f>
        <v/>
      </c>
      <c r="Q87" s="40" t="n"/>
      <c r="R87" s="40" cm="1">
        <f t="array" ref="R87">COUNTIFS(tblThreatControls[Control ID],$A87,tblThreatControls[Threat applies],"Applies")</f>
        <v/>
      </c>
      <c r="S87" s="40" cm="1">
        <f t="array" ref="S87">IF(R87=0,"",INDEX(RISK_SCALE_NAMES,_xlfn.MAXIFS(tblThreatControls[Threat risk score],tblThreatControls[Control ID],$A87)))</f>
        <v/>
      </c>
      <c r="T87" s="40" cm="1">
        <f t="array" ref="T87">IF(AND(H87="Applicable",OR(L87="Not assessed",L87=""),R87&gt;0),"Yes","No")</f>
        <v/>
      </c>
      <c r="U87" s="40" cm="1">
        <f t="array" ref="U87">IF(AND(H87="Applicable",OR(L87="Gap",L87="Partial coverage")),INDEX(RISK_SCALE_NAMES,MAX(IFERROR(MATCH(P87,RISK_SCALE_NAMES,0),1),IFERROR(MATCH(S87,RISK_SCALE_NAMES,0),0))),"")</f>
        <v/>
      </c>
      <c r="V87" s="40" cm="1">
        <f t="array" ref="V87">_xlfn.TEXTJOIN("; ",TRUE,_xlfn._xlws.FILTER(tblThreatControls[Threat ID],(tblThreatControls[Control ID]=$A87)*(tblThreatControls[Threat applies]="Applies"),""))</f>
        <v/>
      </c>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0" t="inlineStr">
        <is>
          <t>SAST + DAST</t>
        </is>
      </c>
      <c r="J88" s="40" t="inlineStr">
        <is>
          <t>Deterministic, continuous</t>
        </is>
      </c>
      <c r="K88" s="42" t="inlineStr">
        <is>
          <t>Pipeline</t>
        </is>
      </c>
      <c r="L88" s="42" t="inlineStr">
        <is>
          <t>Not assessed</t>
        </is>
      </c>
      <c r="M88" s="40" t="n"/>
      <c r="N88" s="40" t="n"/>
      <c r="O88" s="42" t="inlineStr">
        <is>
          <t>Medium</t>
        </is>
      </c>
      <c r="P88" s="43">
        <f>IF(H88="N/A","N/A",INDEX(CRIT_MATRIX,MATCH(O88,CRIT_MATRIX_ROWS,0),MATCH(APP_RISK_TIER,CRIT_MATRIX_COLS,0)))</f>
        <v/>
      </c>
      <c r="Q88" s="40" t="n"/>
      <c r="R88" s="40" cm="1">
        <f t="array" ref="R88">COUNTIFS(tblThreatControls[Control ID],$A88,tblThreatControls[Threat applies],"Applies")</f>
        <v/>
      </c>
      <c r="S88" s="40" cm="1">
        <f t="array" ref="S88">IF(R88=0,"",INDEX(RISK_SCALE_NAMES,_xlfn.MAXIFS(tblThreatControls[Threat risk score],tblThreatControls[Control ID],$A88)))</f>
        <v/>
      </c>
      <c r="T88" s="40" cm="1">
        <f t="array" ref="T88">IF(AND(H88="Applicable",OR(L88="Not assessed",L88=""),R88&gt;0),"Yes","No")</f>
        <v/>
      </c>
      <c r="U88" s="40" cm="1">
        <f t="array" ref="U88">IF(AND(H88="Applicable",OR(L88="Gap",L88="Partial coverage")),INDEX(RISK_SCALE_NAMES,MAX(IFERROR(MATCH(P88,RISK_SCALE_NAMES,0),1),IFERROR(MATCH(S88,RISK_SCALE_NAMES,0),0))),"")</f>
        <v/>
      </c>
      <c r="V88" s="40" cm="1">
        <f t="array" ref="V88">_xlfn.TEXTJOIN("; ",TRUE,_xlfn._xlws.FILTER(tblThreatControls[Threat ID],(tblThreatControls[Control ID]=$A88)*(tblThreatControls[Threat applies]="Applies"),""))</f>
        <v/>
      </c>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0" t="inlineStr">
        <is>
          <t>SAST + DAST</t>
        </is>
      </c>
      <c r="J89" s="40" t="inlineStr">
        <is>
          <t>Deterministic, continuous</t>
        </is>
      </c>
      <c r="K89" s="42" t="inlineStr">
        <is>
          <t>Pipeline</t>
        </is>
      </c>
      <c r="L89" s="42" t="inlineStr">
        <is>
          <t>Not assessed</t>
        </is>
      </c>
      <c r="M89" s="40" t="n"/>
      <c r="N89" s="40" t="n"/>
      <c r="O89" s="42" t="inlineStr">
        <is>
          <t>Medium</t>
        </is>
      </c>
      <c r="P89" s="43">
        <f>IF(H89="N/A","N/A",INDEX(CRIT_MATRIX,MATCH(O89,CRIT_MATRIX_ROWS,0),MATCH(APP_RISK_TIER,CRIT_MATRIX_COLS,0)))</f>
        <v/>
      </c>
      <c r="Q89" s="40" t="n"/>
      <c r="R89" s="40" cm="1">
        <f t="array" ref="R89">COUNTIFS(tblThreatControls[Control ID],$A89,tblThreatControls[Threat applies],"Applies")</f>
        <v/>
      </c>
      <c r="S89" s="40" cm="1">
        <f t="array" ref="S89">IF(R89=0,"",INDEX(RISK_SCALE_NAMES,_xlfn.MAXIFS(tblThreatControls[Threat risk score],tblThreatControls[Control ID],$A89)))</f>
        <v/>
      </c>
      <c r="T89" s="40" cm="1">
        <f t="array" ref="T89">IF(AND(H89="Applicable",OR(L89="Not assessed",L89=""),R89&gt;0),"Yes","No")</f>
        <v/>
      </c>
      <c r="U89" s="40" cm="1">
        <f t="array" ref="U89">IF(AND(H89="Applicable",OR(L89="Gap",L89="Partial coverage")),INDEX(RISK_SCALE_NAMES,MAX(IFERROR(MATCH(P89,RISK_SCALE_NAMES,0),1),IFERROR(MATCH(S89,RISK_SCALE_NAMES,0),0))),"")</f>
        <v/>
      </c>
      <c r="V89" s="40" cm="1">
        <f t="array" ref="V89">_xlfn.TEXTJOIN("; ",TRUE,_xlfn._xlws.FILTER(tblThreatControls[Threat ID],(tblThreatControls[Control ID]=$A89)*(tblThreatControls[Threat applies]="Applies"),""))</f>
        <v/>
      </c>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0" t="inlineStr">
        <is>
          <t>SAST + DAST</t>
        </is>
      </c>
      <c r="J90" s="40" t="inlineStr">
        <is>
          <t>Deterministic, continuous</t>
        </is>
      </c>
      <c r="K90" s="42" t="inlineStr">
        <is>
          <t>Pipeline</t>
        </is>
      </c>
      <c r="L90" s="42" t="inlineStr">
        <is>
          <t>Not assessed</t>
        </is>
      </c>
      <c r="M90" s="40" t="n"/>
      <c r="N90" s="40" t="n"/>
      <c r="O90" s="42" t="inlineStr">
        <is>
          <t>Medium</t>
        </is>
      </c>
      <c r="P90" s="43">
        <f>IF(H90="N/A","N/A",INDEX(CRIT_MATRIX,MATCH(O90,CRIT_MATRIX_ROWS,0),MATCH(APP_RISK_TIER,CRIT_MATRIX_COLS,0)))</f>
        <v/>
      </c>
      <c r="Q90" s="40" t="n"/>
      <c r="R90" s="40" cm="1">
        <f t="array" ref="R90">COUNTIFS(tblThreatControls[Control ID],$A90,tblThreatControls[Threat applies],"Applies")</f>
        <v/>
      </c>
      <c r="S90" s="40" cm="1">
        <f t="array" ref="S90">IF(R90=0,"",INDEX(RISK_SCALE_NAMES,_xlfn.MAXIFS(tblThreatControls[Threat risk score],tblThreatControls[Control ID],$A90)))</f>
        <v/>
      </c>
      <c r="T90" s="40" cm="1">
        <f t="array" ref="T90">IF(AND(H90="Applicable",OR(L90="Not assessed",L90=""),R90&gt;0),"Yes","No")</f>
        <v/>
      </c>
      <c r="U90" s="40" cm="1">
        <f t="array" ref="U90">IF(AND(H90="Applicable",OR(L90="Gap",L90="Partial coverage")),INDEX(RISK_SCALE_NAMES,MAX(IFERROR(MATCH(P90,RISK_SCALE_NAMES,0),1),IFERROR(MATCH(S90,RISK_SCALE_NAMES,0),0))),"")</f>
        <v/>
      </c>
      <c r="V90" s="40" cm="1">
        <f t="array" ref="V90">_xlfn.TEXTJOIN("; ",TRUE,_xlfn._xlws.FILTER(tblThreatControls[Threat ID],(tblThreatControls[Control ID]=$A90)*(tblThreatControls[Threat applies]="Applies"),""))</f>
        <v/>
      </c>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0" t="inlineStr">
        <is>
          <t>SAST + DAST</t>
        </is>
      </c>
      <c r="J91" s="40" t="inlineStr">
        <is>
          <t>Deterministic, continuous</t>
        </is>
      </c>
      <c r="K91" s="42" t="inlineStr">
        <is>
          <t>Pipeline</t>
        </is>
      </c>
      <c r="L91" s="42" t="inlineStr">
        <is>
          <t>Not assessed</t>
        </is>
      </c>
      <c r="M91" s="40" t="n"/>
      <c r="N91" s="40" t="n"/>
      <c r="O91" s="42" t="inlineStr">
        <is>
          <t>Medium</t>
        </is>
      </c>
      <c r="P91" s="43">
        <f>IF(H91="N/A","N/A",INDEX(CRIT_MATRIX,MATCH(O91,CRIT_MATRIX_ROWS,0),MATCH(APP_RISK_TIER,CRIT_MATRIX_COLS,0)))</f>
        <v/>
      </c>
      <c r="Q91" s="40" t="n"/>
      <c r="R91" s="40" cm="1">
        <f t="array" ref="R91">COUNTIFS(tblThreatControls[Control ID],$A91,tblThreatControls[Threat applies],"Applies")</f>
        <v/>
      </c>
      <c r="S91" s="40" cm="1">
        <f t="array" ref="S91">IF(R91=0,"",INDEX(RISK_SCALE_NAMES,_xlfn.MAXIFS(tblThreatControls[Threat risk score],tblThreatControls[Control ID],$A91)))</f>
        <v/>
      </c>
      <c r="T91" s="40" cm="1">
        <f t="array" ref="T91">IF(AND(H91="Applicable",OR(L91="Not assessed",L91=""),R91&gt;0),"Yes","No")</f>
        <v/>
      </c>
      <c r="U91" s="40" cm="1">
        <f t="array" ref="U91">IF(AND(H91="Applicable",OR(L91="Gap",L91="Partial coverage")),INDEX(RISK_SCALE_NAMES,MAX(IFERROR(MATCH(P91,RISK_SCALE_NAMES,0),1),IFERROR(MATCH(S91,RISK_SCALE_NAMES,0),0))),"")</f>
        <v/>
      </c>
      <c r="V91" s="40" cm="1">
        <f t="array" ref="V91">_xlfn.TEXTJOIN("; ",TRUE,_xlfn._xlws.FILTER(tblThreatControls[Threat ID],(tblThreatControls[Control ID]=$A91)*(tblThreatControls[Threat applies]="Applies"),""))</f>
        <v/>
      </c>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0" t="inlineStr">
        <is>
          <t>SAST + DAST</t>
        </is>
      </c>
      <c r="J92" s="40" t="inlineStr">
        <is>
          <t>Deterministic, continuous</t>
        </is>
      </c>
      <c r="K92" s="42" t="inlineStr">
        <is>
          <t>Pipeline</t>
        </is>
      </c>
      <c r="L92" s="42" t="inlineStr">
        <is>
          <t>Not assessed</t>
        </is>
      </c>
      <c r="M92" s="40" t="n"/>
      <c r="N92" s="40" t="n"/>
      <c r="O92" s="42" t="inlineStr">
        <is>
          <t>Medium</t>
        </is>
      </c>
      <c r="P92" s="43">
        <f>IF(H92="N/A","N/A",INDEX(CRIT_MATRIX,MATCH(O92,CRIT_MATRIX_ROWS,0),MATCH(APP_RISK_TIER,CRIT_MATRIX_COLS,0)))</f>
        <v/>
      </c>
      <c r="Q92" s="40" t="n"/>
      <c r="R92" s="40" cm="1">
        <f t="array" ref="R92">COUNTIFS(tblThreatControls[Control ID],$A92,tblThreatControls[Threat applies],"Applies")</f>
        <v/>
      </c>
      <c r="S92" s="40" cm="1">
        <f t="array" ref="S92">IF(R92=0,"",INDEX(RISK_SCALE_NAMES,_xlfn.MAXIFS(tblThreatControls[Threat risk score],tblThreatControls[Control ID],$A92)))</f>
        <v/>
      </c>
      <c r="T92" s="40" cm="1">
        <f t="array" ref="T92">IF(AND(H92="Applicable",OR(L92="Not assessed",L92=""),R92&gt;0),"Yes","No")</f>
        <v/>
      </c>
      <c r="U92" s="40" cm="1">
        <f t="array" ref="U92">IF(AND(H92="Applicable",OR(L92="Gap",L92="Partial coverage")),INDEX(RISK_SCALE_NAMES,MAX(IFERROR(MATCH(P92,RISK_SCALE_NAMES,0),1),IFERROR(MATCH(S92,RISK_SCALE_NAMES,0),0))),"")</f>
        <v/>
      </c>
      <c r="V92" s="40" cm="1">
        <f t="array" ref="V92">_xlfn.TEXTJOIN("; ",TRUE,_xlfn._xlws.FILTER(tblThreatControls[Threat ID],(tblThreatControls[Control ID]=$A92)*(tblThreatControls[Threat applies]="Applies"),""))</f>
        <v/>
      </c>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0" t="inlineStr">
        <is>
          <t>SAST + DAST</t>
        </is>
      </c>
      <c r="J93" s="40" t="inlineStr">
        <is>
          <t>Deterministic, continuous</t>
        </is>
      </c>
      <c r="K93" s="42" t="inlineStr">
        <is>
          <t>Pipeline</t>
        </is>
      </c>
      <c r="L93" s="42" t="inlineStr">
        <is>
          <t>Not assessed</t>
        </is>
      </c>
      <c r="M93" s="40" t="n"/>
      <c r="N93" s="40" t="n"/>
      <c r="O93" s="42" t="inlineStr">
        <is>
          <t>Medium</t>
        </is>
      </c>
      <c r="P93" s="43">
        <f>IF(H93="N/A","N/A",INDEX(CRIT_MATRIX,MATCH(O93,CRIT_MATRIX_ROWS,0),MATCH(APP_RISK_TIER,CRIT_MATRIX_COLS,0)))</f>
        <v/>
      </c>
      <c r="Q93" s="40" t="n"/>
      <c r="R93" s="40" cm="1">
        <f t="array" ref="R93">COUNTIFS(tblThreatControls[Control ID],$A93,tblThreatControls[Threat applies],"Applies")</f>
        <v/>
      </c>
      <c r="S93" s="40" cm="1">
        <f t="array" ref="S93">IF(R93=0,"",INDEX(RISK_SCALE_NAMES,_xlfn.MAXIFS(tblThreatControls[Threat risk score],tblThreatControls[Control ID],$A93)))</f>
        <v/>
      </c>
      <c r="T93" s="40" cm="1">
        <f t="array" ref="T93">IF(AND(H93="Applicable",OR(L93="Not assessed",L93=""),R93&gt;0),"Yes","No")</f>
        <v/>
      </c>
      <c r="U93" s="40" cm="1">
        <f t="array" ref="U93">IF(AND(H93="Applicable",OR(L93="Gap",L93="Partial coverage")),INDEX(RISK_SCALE_NAMES,MAX(IFERROR(MATCH(P93,RISK_SCALE_NAMES,0),1),IFERROR(MATCH(S93,RISK_SCALE_NAMES,0),0))),"")</f>
        <v/>
      </c>
      <c r="V93" s="40" cm="1">
        <f t="array" ref="V93">_xlfn.TEXTJOIN("; ",TRUE,_xlfn._xlws.FILTER(tblThreatControls[Threat ID],(tblThreatControls[Control ID]=$A93)*(tblThreatControls[Threat applies]="Applies"),""))</f>
        <v/>
      </c>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0" t="inlineStr">
        <is>
          <t>SAST + DAST</t>
        </is>
      </c>
      <c r="J94" s="40" t="inlineStr">
        <is>
          <t>Deterministic, continuous</t>
        </is>
      </c>
      <c r="K94" s="42" t="inlineStr">
        <is>
          <t>Pipeline</t>
        </is>
      </c>
      <c r="L94" s="42" t="inlineStr">
        <is>
          <t>Not assessed</t>
        </is>
      </c>
      <c r="M94" s="40" t="n"/>
      <c r="N94" s="40" t="n"/>
      <c r="O94" s="42" t="inlineStr">
        <is>
          <t>Medium</t>
        </is>
      </c>
      <c r="P94" s="43">
        <f>IF(H94="N/A","N/A",INDEX(CRIT_MATRIX,MATCH(O94,CRIT_MATRIX_ROWS,0),MATCH(APP_RISK_TIER,CRIT_MATRIX_COLS,0)))</f>
        <v/>
      </c>
      <c r="Q94" s="40" t="n"/>
      <c r="R94" s="40" cm="1">
        <f t="array" ref="R94">COUNTIFS(tblThreatControls[Control ID],$A94,tblThreatControls[Threat applies],"Applies")</f>
        <v/>
      </c>
      <c r="S94" s="40" cm="1">
        <f t="array" ref="S94">IF(R94=0,"",INDEX(RISK_SCALE_NAMES,_xlfn.MAXIFS(tblThreatControls[Threat risk score],tblThreatControls[Control ID],$A94)))</f>
        <v/>
      </c>
      <c r="T94" s="40" cm="1">
        <f t="array" ref="T94">IF(AND(H94="Applicable",OR(L94="Not assessed",L94=""),R94&gt;0),"Yes","No")</f>
        <v/>
      </c>
      <c r="U94" s="40" cm="1">
        <f t="array" ref="U94">IF(AND(H94="Applicable",OR(L94="Gap",L94="Partial coverage")),INDEX(RISK_SCALE_NAMES,MAX(IFERROR(MATCH(P94,RISK_SCALE_NAMES,0),1),IFERROR(MATCH(S94,RISK_SCALE_NAMES,0),0))),"")</f>
        <v/>
      </c>
      <c r="V94" s="40" cm="1">
        <f t="array" ref="V94">_xlfn.TEXTJOIN("; ",TRUE,_xlfn._xlws.FILTER(tblThreatControls[Threat ID],(tblThreatControls[Control ID]=$A94)*(tblThreatControls[Threat applies]="Applies"),""))</f>
        <v/>
      </c>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0" t="inlineStr">
        <is>
          <t>Architecture / documentation review</t>
        </is>
      </c>
      <c r="J95" s="40" t="inlineStr">
        <is>
          <t>Sampled, periodic</t>
        </is>
      </c>
      <c r="K95" s="42" t="inlineStr">
        <is>
          <t>Design/Governance</t>
        </is>
      </c>
      <c r="L95" s="42" t="inlineStr">
        <is>
          <t>Not assessed</t>
        </is>
      </c>
      <c r="M95" s="40" t="n"/>
      <c r="N95" s="40" t="n"/>
      <c r="O95" s="42" t="inlineStr">
        <is>
          <t>High</t>
        </is>
      </c>
      <c r="P95" s="43">
        <f>IF(H95="N/A","N/A",INDEX(CRIT_MATRIX,MATCH(O95,CRIT_MATRIX_ROWS,0),MATCH(APP_RISK_TIER,CRIT_MATRIX_COLS,0)))</f>
        <v/>
      </c>
      <c r="Q95" s="40" t="n"/>
      <c r="R95" s="40" cm="1">
        <f t="array" ref="R95">COUNTIFS(tblThreatControls[Control ID],$A95,tblThreatControls[Threat applies],"Applies")</f>
        <v/>
      </c>
      <c r="S95" s="40" cm="1">
        <f t="array" ref="S95">IF(R95=0,"",INDEX(RISK_SCALE_NAMES,_xlfn.MAXIFS(tblThreatControls[Threat risk score],tblThreatControls[Control ID],$A95)))</f>
        <v/>
      </c>
      <c r="T95" s="40" cm="1">
        <f t="array" ref="T95">IF(AND(H95="Applicable",OR(L95="Not assessed",L95=""),R95&gt;0),"Yes","No")</f>
        <v/>
      </c>
      <c r="U95" s="40" cm="1">
        <f t="array" ref="U95">IF(AND(H95="Applicable",OR(L95="Gap",L95="Partial coverage")),INDEX(RISK_SCALE_NAMES,MAX(IFERROR(MATCH(P95,RISK_SCALE_NAMES,0),1),IFERROR(MATCH(S95,RISK_SCALE_NAMES,0),0))),"")</f>
        <v/>
      </c>
      <c r="V95" s="40" cm="1">
        <f t="array" ref="V95">_xlfn.TEXTJOIN("; ",TRUE,_xlfn._xlws.FILTER(tblThreatControls[Threat ID],(tblThreatControls[Control ID]=$A95)*(tblThreatControls[Threat applies]="Applies"),""))</f>
        <v/>
      </c>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0" t="inlineStr">
        <is>
          <t>SAST + DAST / malware scanner</t>
        </is>
      </c>
      <c r="J96" s="40" t="inlineStr">
        <is>
          <t>Deterministic, continuous</t>
        </is>
      </c>
      <c r="K96" s="42" t="inlineStr">
        <is>
          <t>Pipeline</t>
        </is>
      </c>
      <c r="L96" s="42" t="inlineStr">
        <is>
          <t>Not assessed</t>
        </is>
      </c>
      <c r="M96" s="40" t="n"/>
      <c r="N96" s="40" t="n"/>
      <c r="O96" s="42" t="inlineStr">
        <is>
          <t>High</t>
        </is>
      </c>
      <c r="P96" s="43">
        <f>IF(H96="N/A","N/A",INDEX(CRIT_MATRIX,MATCH(O96,CRIT_MATRIX_ROWS,0),MATCH(APP_RISK_TIER,CRIT_MATRIX_COLS,0)))</f>
        <v/>
      </c>
      <c r="Q96" s="40" t="n"/>
      <c r="R96" s="40" cm="1">
        <f t="array" ref="R96">COUNTIFS(tblThreatControls[Control ID],$A96,tblThreatControls[Threat applies],"Applies")</f>
        <v/>
      </c>
      <c r="S96" s="40" cm="1">
        <f t="array" ref="S96">IF(R96=0,"",INDEX(RISK_SCALE_NAMES,_xlfn.MAXIFS(tblThreatControls[Threat risk score],tblThreatControls[Control ID],$A96)))</f>
        <v/>
      </c>
      <c r="T96" s="40" cm="1">
        <f t="array" ref="T96">IF(AND(H96="Applicable",OR(L96="Not assessed",L96=""),R96&gt;0),"Yes","No")</f>
        <v/>
      </c>
      <c r="U96" s="40" cm="1">
        <f t="array" ref="U96">IF(AND(H96="Applicable",OR(L96="Gap",L96="Partial coverage")),INDEX(RISK_SCALE_NAMES,MAX(IFERROR(MATCH(P96,RISK_SCALE_NAMES,0),1),IFERROR(MATCH(S96,RISK_SCALE_NAMES,0),0))),"")</f>
        <v/>
      </c>
      <c r="V96" s="40" cm="1">
        <f t="array" ref="V96">_xlfn.TEXTJOIN("; ",TRUE,_xlfn._xlws.FILTER(tblThreatControls[Threat ID],(tblThreatControls[Control ID]=$A96)*(tblThreatControls[Threat applies]="Applies"),""))</f>
        <v/>
      </c>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0" t="inlineStr">
        <is>
          <t>SAST + DAST / malware scanner</t>
        </is>
      </c>
      <c r="J97" s="40" t="inlineStr">
        <is>
          <t>Deterministic, continuous</t>
        </is>
      </c>
      <c r="K97" s="42" t="inlineStr">
        <is>
          <t>Pipeline</t>
        </is>
      </c>
      <c r="L97" s="42" t="inlineStr">
        <is>
          <t>Full coverage</t>
        </is>
      </c>
      <c r="M97" s="40" t="inlineStr">
        <is>
          <t>Product setting: allowed extensions</t>
        </is>
      </c>
      <c r="N97" s="40" t="n"/>
      <c r="O97" s="42" t="inlineStr">
        <is>
          <t>High</t>
        </is>
      </c>
      <c r="P97" s="43">
        <f>IF(H97="N/A","N/A",INDEX(CRIT_MATRIX,MATCH(O97,CRIT_MATRIX_ROWS,0),MATCH(APP_RISK_TIER,CRIT_MATRIX_COLS,0)))</f>
        <v/>
      </c>
      <c r="Q97" s="40" t="n"/>
      <c r="R97" s="40" cm="1">
        <f t="array" ref="R97">COUNTIFS(tblThreatControls[Control ID],$A97,tblThreatControls[Threat applies],"Applies")</f>
        <v/>
      </c>
      <c r="S97" s="40" cm="1">
        <f t="array" ref="S97">IF(R97=0,"",INDEX(RISK_SCALE_NAMES,_xlfn.MAXIFS(tblThreatControls[Threat risk score],tblThreatControls[Control ID],$A97)))</f>
        <v/>
      </c>
      <c r="T97" s="40" cm="1">
        <f t="array" ref="T97">IF(AND(H97="Applicable",OR(L97="Not assessed",L97=""),R97&gt;0),"Yes","No")</f>
        <v/>
      </c>
      <c r="U97" s="40" cm="1">
        <f t="array" ref="U97">IF(AND(H97="Applicable",OR(L97="Gap",L97="Partial coverage")),INDEX(RISK_SCALE_NAMES,MAX(IFERROR(MATCH(P97,RISK_SCALE_NAMES,0),1),IFERROR(MATCH(S97,RISK_SCALE_NAMES,0),0))),"")</f>
        <v/>
      </c>
      <c r="V97" s="40" cm="1">
        <f t="array" ref="V97">_xlfn.TEXTJOIN("; ",TRUE,_xlfn._xlws.FILTER(tblThreatControls[Threat ID],(tblThreatControls[Control ID]=$A97)*(tblThreatControls[Threat applies]="Applies"),""))</f>
        <v/>
      </c>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0" t="inlineStr">
        <is>
          <t>SAST + DAST / malware scanner</t>
        </is>
      </c>
      <c r="J98" s="40" t="inlineStr">
        <is>
          <t>Deterministic, continuous</t>
        </is>
      </c>
      <c r="K98" s="42" t="inlineStr">
        <is>
          <t>Pipeline</t>
        </is>
      </c>
      <c r="L98" s="42" t="inlineStr">
        <is>
          <t>Not assessed</t>
        </is>
      </c>
      <c r="M98" s="40" t="n"/>
      <c r="N98" s="40" t="n"/>
      <c r="O98" s="42" t="inlineStr">
        <is>
          <t>High</t>
        </is>
      </c>
      <c r="P98" s="43">
        <f>IF(H98="N/A","N/A",INDEX(CRIT_MATRIX,MATCH(O98,CRIT_MATRIX_ROWS,0),MATCH(APP_RISK_TIER,CRIT_MATRIX_COLS,0)))</f>
        <v/>
      </c>
      <c r="Q98" s="40" t="n"/>
      <c r="R98" s="40" cm="1">
        <f t="array" ref="R98">COUNTIFS(tblThreatControls[Control ID],$A98,tblThreatControls[Threat applies],"Applies")</f>
        <v/>
      </c>
      <c r="S98" s="40" cm="1">
        <f t="array" ref="S98">IF(R98=0,"",INDEX(RISK_SCALE_NAMES,_xlfn.MAXIFS(tblThreatControls[Threat risk score],tblThreatControls[Control ID],$A98)))</f>
        <v/>
      </c>
      <c r="T98" s="40" cm="1">
        <f t="array" ref="T98">IF(AND(H98="Applicable",OR(L98="Not assessed",L98=""),R98&gt;0),"Yes","No")</f>
        <v/>
      </c>
      <c r="U98" s="40" cm="1">
        <f t="array" ref="U98">IF(AND(H98="Applicable",OR(L98="Gap",L98="Partial coverage")),INDEX(RISK_SCALE_NAMES,MAX(IFERROR(MATCH(P98,RISK_SCALE_NAMES,0),1),IFERROR(MATCH(S98,RISK_SCALE_NAMES,0),0))),"")</f>
        <v/>
      </c>
      <c r="V98" s="40" cm="1">
        <f t="array" ref="V98">_xlfn.TEXTJOIN("; ",TRUE,_xlfn._xlws.FILTER(tblThreatControls[Threat ID],(tblThreatControls[Control ID]=$A98)*(tblThreatControls[Threat applies]="Applies"),""))</f>
        <v/>
      </c>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0" t="inlineStr">
        <is>
          <t>SAST + DAST / malware scanner</t>
        </is>
      </c>
      <c r="J99" s="40" t="inlineStr">
        <is>
          <t>Deterministic, continuous</t>
        </is>
      </c>
      <c r="K99" s="42" t="inlineStr">
        <is>
          <t>Pipeline</t>
        </is>
      </c>
      <c r="L99" s="42" t="inlineStr">
        <is>
          <t>Not assessed</t>
        </is>
      </c>
      <c r="M99" s="40" t="n"/>
      <c r="N99" s="40" t="n"/>
      <c r="O99" s="42" t="inlineStr">
        <is>
          <t>High</t>
        </is>
      </c>
      <c r="P99" s="43">
        <f>IF(H99="N/A","N/A",INDEX(CRIT_MATRIX,MATCH(O99,CRIT_MATRIX_ROWS,0),MATCH(APP_RISK_TIER,CRIT_MATRIX_COLS,0)))</f>
        <v/>
      </c>
      <c r="Q99" s="40" t="n"/>
      <c r="R99" s="40" cm="1">
        <f t="array" ref="R99">COUNTIFS(tblThreatControls[Control ID],$A99,tblThreatControls[Threat applies],"Applies")</f>
        <v/>
      </c>
      <c r="S99" s="40" cm="1">
        <f t="array" ref="S99">IF(R99=0,"",INDEX(RISK_SCALE_NAMES,_xlfn.MAXIFS(tblThreatControls[Threat risk score],tblThreatControls[Control ID],$A99)))</f>
        <v/>
      </c>
      <c r="T99" s="40" cm="1">
        <f t="array" ref="T99">IF(AND(H99="Applicable",OR(L99="Not assessed",L99=""),R99&gt;0),"Yes","No")</f>
        <v/>
      </c>
      <c r="U99" s="40" cm="1">
        <f t="array" ref="U99">IF(AND(H99="Applicable",OR(L99="Gap",L99="Partial coverage")),INDEX(RISK_SCALE_NAMES,MAX(IFERROR(MATCH(P99,RISK_SCALE_NAMES,0),1),IFERROR(MATCH(S99,RISK_SCALE_NAMES,0),0))),"")</f>
        <v/>
      </c>
      <c r="V99" s="40" cm="1">
        <f t="array" ref="V99">_xlfn.TEXTJOIN("; ",TRUE,_xlfn._xlws.FILTER(tblThreatControls[Threat ID],(tblThreatControls[Control ID]=$A99)*(tblThreatControls[Threat applies]="Applies"),""))</f>
        <v/>
      </c>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0" t="inlineStr">
        <is>
          <t>SAST + DAST / malware scanner</t>
        </is>
      </c>
      <c r="J100" s="40" t="inlineStr">
        <is>
          <t>Deterministic, continuous</t>
        </is>
      </c>
      <c r="K100" s="42" t="inlineStr">
        <is>
          <t>Pipeline</t>
        </is>
      </c>
      <c r="L100" s="42" t="inlineStr">
        <is>
          <t>Not assessed</t>
        </is>
      </c>
      <c r="M100" s="40" t="n"/>
      <c r="N100" s="40" t="n"/>
      <c r="O100" s="42" t="inlineStr">
        <is>
          <t>High</t>
        </is>
      </c>
      <c r="P100" s="43">
        <f>IF(H100="N/A","N/A",INDEX(CRIT_MATRIX,MATCH(O100,CRIT_MATRIX_ROWS,0),MATCH(APP_RISK_TIER,CRIT_MATRIX_COLS,0)))</f>
        <v/>
      </c>
      <c r="Q100" s="40" t="n"/>
      <c r="R100" s="40" cm="1">
        <f t="array" ref="R100">COUNTIFS(tblThreatControls[Control ID],$A100,tblThreatControls[Threat applies],"Applies")</f>
        <v/>
      </c>
      <c r="S100" s="40" cm="1">
        <f t="array" ref="S100">IF(R100=0,"",INDEX(RISK_SCALE_NAMES,_xlfn.MAXIFS(tblThreatControls[Threat risk score],tblThreatControls[Control ID],$A100)))</f>
        <v/>
      </c>
      <c r="T100" s="40" cm="1">
        <f t="array" ref="T100">IF(AND(H100="Applicable",OR(L100="Not assessed",L100=""),R100&gt;0),"Yes","No")</f>
        <v/>
      </c>
      <c r="U100" s="40" cm="1">
        <f t="array" ref="U100">IF(AND(H100="Applicable",OR(L100="Gap",L100="Partial coverage")),INDEX(RISK_SCALE_NAMES,MAX(IFERROR(MATCH(P100,RISK_SCALE_NAMES,0),1),IFERROR(MATCH(S100,RISK_SCALE_NAMES,0),0))),"")</f>
        <v/>
      </c>
      <c r="V100" s="40" cm="1">
        <f t="array" ref="V100">_xlfn.TEXTJOIN("; ",TRUE,_xlfn._xlws.FILTER(tblThreatControls[Threat ID],(tblThreatControls[Control ID]=$A100)*(tblThreatControls[Threat applies]="Applies"),""))</f>
        <v/>
      </c>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0" t="inlineStr">
        <is>
          <t>SAST + DAST / malware scanner</t>
        </is>
      </c>
      <c r="J101" s="40" t="inlineStr">
        <is>
          <t>Deterministic, continuous</t>
        </is>
      </c>
      <c r="K101" s="42" t="inlineStr">
        <is>
          <t>Pipeline</t>
        </is>
      </c>
      <c r="L101" s="42" t="inlineStr">
        <is>
          <t>Not assessed</t>
        </is>
      </c>
      <c r="M101" s="40" t="n"/>
      <c r="N101" s="40" t="n"/>
      <c r="O101" s="42" t="inlineStr">
        <is>
          <t>High</t>
        </is>
      </c>
      <c r="P101" s="43">
        <f>IF(H101="N/A","N/A",INDEX(CRIT_MATRIX,MATCH(O101,CRIT_MATRIX_ROWS,0),MATCH(APP_RISK_TIER,CRIT_MATRIX_COLS,0)))</f>
        <v/>
      </c>
      <c r="Q101" s="40" t="n"/>
      <c r="R101" s="40" cm="1">
        <f t="array" ref="R101">COUNTIFS(tblThreatControls[Control ID],$A101,tblThreatControls[Threat applies],"Applies")</f>
        <v/>
      </c>
      <c r="S101" s="40" cm="1">
        <f t="array" ref="S101">IF(R101=0,"",INDEX(RISK_SCALE_NAMES,_xlfn.MAXIFS(tblThreatControls[Threat risk score],tblThreatControls[Control ID],$A101)))</f>
        <v/>
      </c>
      <c r="T101" s="40" cm="1">
        <f t="array" ref="T101">IF(AND(H101="Applicable",OR(L101="Not assessed",L101=""),R101&gt;0),"Yes","No")</f>
        <v/>
      </c>
      <c r="U101" s="40" cm="1">
        <f t="array" ref="U101">IF(AND(H101="Applicable",OR(L101="Gap",L101="Partial coverage")),INDEX(RISK_SCALE_NAMES,MAX(IFERROR(MATCH(P101,RISK_SCALE_NAMES,0),1),IFERROR(MATCH(S101,RISK_SCALE_NAMES,0),0))),"")</f>
        <v/>
      </c>
      <c r="V101" s="40" cm="1">
        <f t="array" ref="V101">_xlfn.TEXTJOIN("; ",TRUE,_xlfn._xlws.FILTER(tblThreatControls[Threat ID],(tblThreatControls[Control ID]=$A101)*(tblThreatControls[Threat applies]="Applies"),""))</f>
        <v/>
      </c>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0" t="inlineStr">
        <is>
          <t>SAST + DAST / malware scanner</t>
        </is>
      </c>
      <c r="J102" s="40" t="inlineStr">
        <is>
          <t>Deterministic, continuous</t>
        </is>
      </c>
      <c r="K102" s="42" t="inlineStr">
        <is>
          <t>Pipeline</t>
        </is>
      </c>
      <c r="L102" s="42" t="inlineStr">
        <is>
          <t>Full coverage</t>
        </is>
      </c>
      <c r="M102" s="40" t="inlineStr">
        <is>
          <t>Upload store outside web root</t>
        </is>
      </c>
      <c r="N102" s="40" t="n"/>
      <c r="O102" s="42" t="inlineStr">
        <is>
          <t>High</t>
        </is>
      </c>
      <c r="P102" s="43">
        <f>IF(H102="N/A","N/A",INDEX(CRIT_MATRIX,MATCH(O102,CRIT_MATRIX_ROWS,0),MATCH(APP_RISK_TIER,CRIT_MATRIX_COLS,0)))</f>
        <v/>
      </c>
      <c r="Q102" s="40" t="n"/>
      <c r="R102" s="40" cm="1">
        <f t="array" ref="R102">COUNTIFS(tblThreatControls[Control ID],$A102,tblThreatControls[Threat applies],"Applies")</f>
        <v/>
      </c>
      <c r="S102" s="40" cm="1">
        <f t="array" ref="S102">IF(R102=0,"",INDEX(RISK_SCALE_NAMES,_xlfn.MAXIFS(tblThreatControls[Threat risk score],tblThreatControls[Control ID],$A102)))</f>
        <v/>
      </c>
      <c r="T102" s="40" cm="1">
        <f t="array" ref="T102">IF(AND(H102="Applicable",OR(L102="Not assessed",L102=""),R102&gt;0),"Yes","No")</f>
        <v/>
      </c>
      <c r="U102" s="40" cm="1">
        <f t="array" ref="U102">IF(AND(H102="Applicable",OR(L102="Gap",L102="Partial coverage")),INDEX(RISK_SCALE_NAMES,MAX(IFERROR(MATCH(P102,RISK_SCALE_NAMES,0),1),IFERROR(MATCH(S102,RISK_SCALE_NAMES,0),0))),"")</f>
        <v/>
      </c>
      <c r="V102" s="40" cm="1">
        <f t="array" ref="V102">_xlfn.TEXTJOIN("; ",TRUE,_xlfn._xlws.FILTER(tblThreatControls[Threat ID],(tblThreatControls[Control ID]=$A102)*(tblThreatControls[Threat applies]="Applies"),""))</f>
        <v/>
      </c>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0" t="inlineStr">
        <is>
          <t>SAST + DAST / malware scanner</t>
        </is>
      </c>
      <c r="J103" s="40" t="inlineStr">
        <is>
          <t>Deterministic, continuous</t>
        </is>
      </c>
      <c r="K103" s="42" t="inlineStr">
        <is>
          <t>Pipeline</t>
        </is>
      </c>
      <c r="L103" s="42" t="inlineStr">
        <is>
          <t>Not assessed</t>
        </is>
      </c>
      <c r="M103" s="40" t="n"/>
      <c r="N103" s="40" t="n"/>
      <c r="O103" s="42" t="inlineStr">
        <is>
          <t>High</t>
        </is>
      </c>
      <c r="P103" s="43">
        <f>IF(H103="N/A","N/A",INDEX(CRIT_MATRIX,MATCH(O103,CRIT_MATRIX_ROWS,0),MATCH(APP_RISK_TIER,CRIT_MATRIX_COLS,0)))</f>
        <v/>
      </c>
      <c r="Q103" s="40" t="n"/>
      <c r="R103" s="40" cm="1">
        <f t="array" ref="R103">COUNTIFS(tblThreatControls[Control ID],$A103,tblThreatControls[Threat applies],"Applies")</f>
        <v/>
      </c>
      <c r="S103" s="40" cm="1">
        <f t="array" ref="S103">IF(R103=0,"",INDEX(RISK_SCALE_NAMES,_xlfn.MAXIFS(tblThreatControls[Threat risk score],tblThreatControls[Control ID],$A103)))</f>
        <v/>
      </c>
      <c r="T103" s="40" cm="1">
        <f t="array" ref="T103">IF(AND(H103="Applicable",OR(L103="Not assessed",L103=""),R103&gt;0),"Yes","No")</f>
        <v/>
      </c>
      <c r="U103" s="40" cm="1">
        <f t="array" ref="U103">IF(AND(H103="Applicable",OR(L103="Gap",L103="Partial coverage")),INDEX(RISK_SCALE_NAMES,MAX(IFERROR(MATCH(P103,RISK_SCALE_NAMES,0),1),IFERROR(MATCH(S103,RISK_SCALE_NAMES,0),0))),"")</f>
        <v/>
      </c>
      <c r="V103" s="40" cm="1">
        <f t="array" ref="V103">_xlfn.TEXTJOIN("; ",TRUE,_xlfn._xlws.FILTER(tblThreatControls[Threat ID],(tblThreatControls[Control ID]=$A103)*(tblThreatControls[Threat applies]="Applies"),""))</f>
        <v/>
      </c>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0" t="inlineStr">
        <is>
          <t>SAST + DAST / malware scanner</t>
        </is>
      </c>
      <c r="J104" s="40" t="inlineStr">
        <is>
          <t>Deterministic, continuous</t>
        </is>
      </c>
      <c r="K104" s="42" t="inlineStr">
        <is>
          <t>Pipeline</t>
        </is>
      </c>
      <c r="L104" s="42" t="inlineStr">
        <is>
          <t>Not assessed</t>
        </is>
      </c>
      <c r="M104" s="40" t="n"/>
      <c r="N104" s="40" t="n"/>
      <c r="O104" s="42" t="inlineStr">
        <is>
          <t>High</t>
        </is>
      </c>
      <c r="P104" s="43">
        <f>IF(H104="N/A","N/A",INDEX(CRIT_MATRIX,MATCH(O104,CRIT_MATRIX_ROWS,0),MATCH(APP_RISK_TIER,CRIT_MATRIX_COLS,0)))</f>
        <v/>
      </c>
      <c r="Q104" s="40" t="n"/>
      <c r="R104" s="40" cm="1">
        <f t="array" ref="R104">COUNTIFS(tblThreatControls[Control ID],$A104,tblThreatControls[Threat applies],"Applies")</f>
        <v/>
      </c>
      <c r="S104" s="40" cm="1">
        <f t="array" ref="S104">IF(R104=0,"",INDEX(RISK_SCALE_NAMES,_xlfn.MAXIFS(tblThreatControls[Threat risk score],tblThreatControls[Control ID],$A104)))</f>
        <v/>
      </c>
      <c r="T104" s="40" cm="1">
        <f t="array" ref="T104">IF(AND(H104="Applicable",OR(L104="Not assessed",L104=""),R104&gt;0),"Yes","No")</f>
        <v/>
      </c>
      <c r="U104" s="40" cm="1">
        <f t="array" ref="U104">IF(AND(H104="Applicable",OR(L104="Gap",L104="Partial coverage")),INDEX(RISK_SCALE_NAMES,MAX(IFERROR(MATCH(P104,RISK_SCALE_NAMES,0),1),IFERROR(MATCH(S104,RISK_SCALE_NAMES,0),0))),"")</f>
        <v/>
      </c>
      <c r="V104" s="40" cm="1">
        <f t="array" ref="V104">_xlfn.TEXTJOIN("; ",TRUE,_xlfn._xlws.FILTER(tblThreatControls[Threat ID],(tblThreatControls[Control ID]=$A104)*(tblThreatControls[Threat applies]="Applies"),""))</f>
        <v/>
      </c>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0" t="inlineStr">
        <is>
          <t>SAST + DAST / malware scanner</t>
        </is>
      </c>
      <c r="J105" s="40" t="inlineStr">
        <is>
          <t>Deterministic, continuous</t>
        </is>
      </c>
      <c r="K105" s="42" t="inlineStr">
        <is>
          <t>Pipeline</t>
        </is>
      </c>
      <c r="L105" s="42" t="inlineStr">
        <is>
          <t>Not assessed</t>
        </is>
      </c>
      <c r="M105" s="40" t="n"/>
      <c r="N105" s="40" t="n"/>
      <c r="O105" s="42" t="inlineStr">
        <is>
          <t>High</t>
        </is>
      </c>
      <c r="P105" s="43">
        <f>IF(H105="N/A","N/A",INDEX(CRIT_MATRIX,MATCH(O105,CRIT_MATRIX_ROWS,0),MATCH(APP_RISK_TIER,CRIT_MATRIX_COLS,0)))</f>
        <v/>
      </c>
      <c r="Q105" s="40" t="n"/>
      <c r="R105" s="40" cm="1">
        <f t="array" ref="R105">COUNTIFS(tblThreatControls[Control ID],$A105,tblThreatControls[Threat applies],"Applies")</f>
        <v/>
      </c>
      <c r="S105" s="40" cm="1">
        <f t="array" ref="S105">IF(R105=0,"",INDEX(RISK_SCALE_NAMES,_xlfn.MAXIFS(tblThreatControls[Threat risk score],tblThreatControls[Control ID],$A105)))</f>
        <v/>
      </c>
      <c r="T105" s="40" cm="1">
        <f t="array" ref="T105">IF(AND(H105="Applicable",OR(L105="Not assessed",L105=""),R105&gt;0),"Yes","No")</f>
        <v/>
      </c>
      <c r="U105" s="40" cm="1">
        <f t="array" ref="U105">IF(AND(H105="Applicable",OR(L105="Gap",L105="Partial coverage")),INDEX(RISK_SCALE_NAMES,MAX(IFERROR(MATCH(P105,RISK_SCALE_NAMES,0),1),IFERROR(MATCH(S105,RISK_SCALE_NAMES,0),0))),"")</f>
        <v/>
      </c>
      <c r="V105" s="40" cm="1">
        <f t="array" ref="V105">_xlfn.TEXTJOIN("; ",TRUE,_xlfn._xlws.FILTER(tblThreatControls[Threat ID],(tblThreatControls[Control ID]=$A105)*(tblThreatControls[Threat applies]="Applies"),""))</f>
        <v/>
      </c>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0" t="inlineStr">
        <is>
          <t>SAST + DAST / malware scanner</t>
        </is>
      </c>
      <c r="J106" s="40" t="inlineStr">
        <is>
          <t>Deterministic, continuous</t>
        </is>
      </c>
      <c r="K106" s="42" t="inlineStr">
        <is>
          <t>Pipeline</t>
        </is>
      </c>
      <c r="L106" s="42" t="inlineStr">
        <is>
          <t>Not assessed</t>
        </is>
      </c>
      <c r="M106" s="40" t="n"/>
      <c r="N106" s="40" t="n"/>
      <c r="O106" s="42" t="inlineStr">
        <is>
          <t>High</t>
        </is>
      </c>
      <c r="P106" s="43">
        <f>IF(H106="N/A","N/A",INDEX(CRIT_MATRIX,MATCH(O106,CRIT_MATRIX_ROWS,0),MATCH(APP_RISK_TIER,CRIT_MATRIX_COLS,0)))</f>
        <v/>
      </c>
      <c r="Q106" s="40" t="n"/>
      <c r="R106" s="40" cm="1">
        <f t="array" ref="R106">COUNTIFS(tblThreatControls[Control ID],$A106,tblThreatControls[Threat applies],"Applies")</f>
        <v/>
      </c>
      <c r="S106" s="40" cm="1">
        <f t="array" ref="S106">IF(R106=0,"",INDEX(RISK_SCALE_NAMES,_xlfn.MAXIFS(tblThreatControls[Threat risk score],tblThreatControls[Control ID],$A106)))</f>
        <v/>
      </c>
      <c r="T106" s="40" cm="1">
        <f t="array" ref="T106">IF(AND(H106="Applicable",OR(L106="Not assessed",L106=""),R106&gt;0),"Yes","No")</f>
        <v/>
      </c>
      <c r="U106" s="40" cm="1">
        <f t="array" ref="U106">IF(AND(H106="Applicable",OR(L106="Gap",L106="Partial coverage")),INDEX(RISK_SCALE_NAMES,MAX(IFERROR(MATCH(P106,RISK_SCALE_NAMES,0),1),IFERROR(MATCH(S106,RISK_SCALE_NAMES,0),0))),"")</f>
        <v/>
      </c>
      <c r="V106" s="40" cm="1">
        <f t="array" ref="V106">_xlfn.TEXTJOIN("; ",TRUE,_xlfn._xlws.FILTER(tblThreatControls[Threat ID],(tblThreatControls[Control ID]=$A106)*(tblThreatControls[Threat applies]="Applies"),""))</f>
        <v/>
      </c>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0" t="inlineStr">
        <is>
          <t>SAST + DAST / malware scanner</t>
        </is>
      </c>
      <c r="J107" s="40" t="inlineStr">
        <is>
          <t>Deterministic, continuous</t>
        </is>
      </c>
      <c r="K107" s="42" t="inlineStr">
        <is>
          <t>Pipeline</t>
        </is>
      </c>
      <c r="L107" s="42" t="inlineStr">
        <is>
          <t>Not assessed</t>
        </is>
      </c>
      <c r="M107" s="40" t="n"/>
      <c r="N107" s="40" t="n"/>
      <c r="O107" s="42" t="inlineStr">
        <is>
          <t>High</t>
        </is>
      </c>
      <c r="P107" s="43">
        <f>IF(H107="N/A","N/A",INDEX(CRIT_MATRIX,MATCH(O107,CRIT_MATRIX_ROWS,0),MATCH(APP_RISK_TIER,CRIT_MATRIX_COLS,0)))</f>
        <v/>
      </c>
      <c r="Q107" s="40" t="n"/>
      <c r="R107" s="40" cm="1">
        <f t="array" ref="R107">COUNTIFS(tblThreatControls[Control ID],$A107,tblThreatControls[Threat applies],"Applies")</f>
        <v/>
      </c>
      <c r="S107" s="40" cm="1">
        <f t="array" ref="S107">IF(R107=0,"",INDEX(RISK_SCALE_NAMES,_xlfn.MAXIFS(tblThreatControls[Threat risk score],tblThreatControls[Control ID],$A107)))</f>
        <v/>
      </c>
      <c r="T107" s="40" cm="1">
        <f t="array" ref="T107">IF(AND(H107="Applicable",OR(L107="Not assessed",L107=""),R107&gt;0),"Yes","No")</f>
        <v/>
      </c>
      <c r="U107" s="40" cm="1">
        <f t="array" ref="U107">IF(AND(H107="Applicable",OR(L107="Gap",L107="Partial coverage")),INDEX(RISK_SCALE_NAMES,MAX(IFERROR(MATCH(P107,RISK_SCALE_NAMES,0),1),IFERROR(MATCH(S107,RISK_SCALE_NAMES,0),0))),"")</f>
        <v/>
      </c>
      <c r="V107" s="40" cm="1">
        <f t="array" ref="V107">_xlfn.TEXTJOIN("; ",TRUE,_xlfn._xlws.FILTER(tblThreatControls[Threat ID],(tblThreatControls[Control ID]=$A107)*(tblThreatControls[Threat applies]="Applies"),""))</f>
        <v/>
      </c>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0" t="inlineStr">
        <is>
          <t>Architecture / documentation review</t>
        </is>
      </c>
      <c r="J108" s="40" t="inlineStr">
        <is>
          <t>Sampled, periodic</t>
        </is>
      </c>
      <c r="K108" s="42" t="inlineStr">
        <is>
          <t>Design/Governance</t>
        </is>
      </c>
      <c r="L108" s="42" t="inlineStr">
        <is>
          <t>Not assessed</t>
        </is>
      </c>
      <c r="M108" s="40" t="n"/>
      <c r="N108" s="40" t="n"/>
      <c r="O108" s="42" t="inlineStr">
        <is>
          <t>High</t>
        </is>
      </c>
      <c r="P108" s="43">
        <f>IF(H108="N/A","N/A",INDEX(CRIT_MATRIX,MATCH(O108,CRIT_MATRIX_ROWS,0),MATCH(APP_RISK_TIER,CRIT_MATRIX_COLS,0)))</f>
        <v/>
      </c>
      <c r="Q108" s="40" t="n"/>
      <c r="R108" s="40" cm="1">
        <f t="array" ref="R108">COUNTIFS(tblThreatControls[Control ID],$A108,tblThreatControls[Threat applies],"Applies")</f>
        <v/>
      </c>
      <c r="S108" s="40" cm="1">
        <f t="array" ref="S108">IF(R108=0,"",INDEX(RISK_SCALE_NAMES,_xlfn.MAXIFS(tblThreatControls[Threat risk score],tblThreatControls[Control ID],$A108)))</f>
        <v/>
      </c>
      <c r="T108" s="40" cm="1">
        <f t="array" ref="T108">IF(AND(H108="Applicable",OR(L108="Not assessed",L108=""),R108&gt;0),"Yes","No")</f>
        <v/>
      </c>
      <c r="U108" s="40" cm="1">
        <f t="array" ref="U108">IF(AND(H108="Applicable",OR(L108="Gap",L108="Partial coverage")),INDEX(RISK_SCALE_NAMES,MAX(IFERROR(MATCH(P108,RISK_SCALE_NAMES,0),1),IFERROR(MATCH(S108,RISK_SCALE_NAMES,0),0))),"")</f>
        <v/>
      </c>
      <c r="V108" s="40" cm="1">
        <f t="array" ref="V108">_xlfn.TEXTJOIN("; ",TRUE,_xlfn._xlws.FILTER(tblThreatControls[Threat ID],(tblThreatControls[Control ID]=$A108)*(tblThreatControls[Threat applies]="Applies"),""))</f>
        <v/>
      </c>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0" t="inlineStr">
        <is>
          <t>Architecture / documentation review</t>
        </is>
      </c>
      <c r="J109" s="40" t="inlineStr">
        <is>
          <t>Sampled, periodic</t>
        </is>
      </c>
      <c r="K109" s="42" t="inlineStr">
        <is>
          <t>Design/Governance</t>
        </is>
      </c>
      <c r="L109" s="42" t="inlineStr">
        <is>
          <t>Not assessed</t>
        </is>
      </c>
      <c r="M109" s="40" t="n"/>
      <c r="N109" s="40" t="n"/>
      <c r="O109" s="42" t="inlineStr">
        <is>
          <t>High</t>
        </is>
      </c>
      <c r="P109" s="43">
        <f>IF(H109="N/A","N/A",INDEX(CRIT_MATRIX,MATCH(O109,CRIT_MATRIX_ROWS,0),MATCH(APP_RISK_TIER,CRIT_MATRIX_COLS,0)))</f>
        <v/>
      </c>
      <c r="Q109" s="40" t="n"/>
      <c r="R109" s="40" cm="1">
        <f t="array" ref="R109">COUNTIFS(tblThreatControls[Control ID],$A109,tblThreatControls[Threat applies],"Applies")</f>
        <v/>
      </c>
      <c r="S109" s="40" cm="1">
        <f t="array" ref="S109">IF(R109=0,"",INDEX(RISK_SCALE_NAMES,_xlfn.MAXIFS(tblThreatControls[Threat risk score],tblThreatControls[Control ID],$A109)))</f>
        <v/>
      </c>
      <c r="T109" s="40" cm="1">
        <f t="array" ref="T109">IF(AND(H109="Applicable",OR(L109="Not assessed",L109=""),R109&gt;0),"Yes","No")</f>
        <v/>
      </c>
      <c r="U109" s="40" cm="1">
        <f t="array" ref="U109">IF(AND(H109="Applicable",OR(L109="Gap",L109="Partial coverage")),INDEX(RISK_SCALE_NAMES,MAX(IFERROR(MATCH(P109,RISK_SCALE_NAMES,0),1),IFERROR(MATCH(S109,RISK_SCALE_NAMES,0),0))),"")</f>
        <v/>
      </c>
      <c r="V109" s="40" cm="1">
        <f t="array" ref="V109">_xlfn.TEXTJOIN("; ",TRUE,_xlfn._xlws.FILTER(tblThreatControls[Threat ID],(tblThreatControls[Control ID]=$A109)*(tblThreatControls[Threat applies]="Applies"),""))</f>
        <v/>
      </c>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0" t="inlineStr">
        <is>
          <t>Architecture / documentation review</t>
        </is>
      </c>
      <c r="J110" s="40" t="inlineStr">
        <is>
          <t>Sampled, periodic</t>
        </is>
      </c>
      <c r="K110" s="42" t="inlineStr">
        <is>
          <t>Design/Governance</t>
        </is>
      </c>
      <c r="L110" s="42" t="inlineStr">
        <is>
          <t>Not assessed</t>
        </is>
      </c>
      <c r="M110" s="40" t="n"/>
      <c r="N110" s="40" t="n"/>
      <c r="O110" s="42" t="inlineStr">
        <is>
          <t>High</t>
        </is>
      </c>
      <c r="P110" s="43">
        <f>IF(H110="N/A","N/A",INDEX(CRIT_MATRIX,MATCH(O110,CRIT_MATRIX_ROWS,0),MATCH(APP_RISK_TIER,CRIT_MATRIX_COLS,0)))</f>
        <v/>
      </c>
      <c r="Q110" s="40" t="n"/>
      <c r="R110" s="40" cm="1">
        <f t="array" ref="R110">COUNTIFS(tblThreatControls[Control ID],$A110,tblThreatControls[Threat applies],"Applies")</f>
        <v/>
      </c>
      <c r="S110" s="40" cm="1">
        <f t="array" ref="S110">IF(R110=0,"",INDEX(RISK_SCALE_NAMES,_xlfn.MAXIFS(tblThreatControls[Threat risk score],tblThreatControls[Control ID],$A110)))</f>
        <v/>
      </c>
      <c r="T110" s="40" cm="1">
        <f t="array" ref="T110">IF(AND(H110="Applicable",OR(L110="Not assessed",L110=""),R110&gt;0),"Yes","No")</f>
        <v/>
      </c>
      <c r="U110" s="40" cm="1">
        <f t="array" ref="U110">IF(AND(H110="Applicable",OR(L110="Gap",L110="Partial coverage")),INDEX(RISK_SCALE_NAMES,MAX(IFERROR(MATCH(P110,RISK_SCALE_NAMES,0),1),IFERROR(MATCH(S110,RISK_SCALE_NAMES,0),0))),"")</f>
        <v/>
      </c>
      <c r="V110" s="40" cm="1">
        <f t="array" ref="V110">_xlfn.TEXTJOIN("; ",TRUE,_xlfn._xlws.FILTER(tblThreatControls[Threat ID],(tblThreatControls[Control ID]=$A110)*(tblThreatControls[Threat applies]="Applies"),""))</f>
        <v/>
      </c>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0" t="inlineStr">
        <is>
          <t>SAST + integration testing</t>
        </is>
      </c>
      <c r="J111" s="40" t="inlineStr">
        <is>
          <t>Deterministic, continuous</t>
        </is>
      </c>
      <c r="K111" s="42" t="inlineStr">
        <is>
          <t>Pipeline</t>
        </is>
      </c>
      <c r="L111" s="42" t="inlineStr">
        <is>
          <t>Not assessed</t>
        </is>
      </c>
      <c r="M111" s="40" t="n"/>
      <c r="N111" s="40" t="n"/>
      <c r="O111" s="42" t="inlineStr">
        <is>
          <t>High</t>
        </is>
      </c>
      <c r="P111" s="43">
        <f>IF(H111="N/A","N/A",INDEX(CRIT_MATRIX,MATCH(O111,CRIT_MATRIX_ROWS,0),MATCH(APP_RISK_TIER,CRIT_MATRIX_COLS,0)))</f>
        <v/>
      </c>
      <c r="Q111" s="40" t="n"/>
      <c r="R111" s="40" cm="1">
        <f t="array" ref="R111">COUNTIFS(tblThreatControls[Control ID],$A111,tblThreatControls[Threat applies],"Applies")</f>
        <v/>
      </c>
      <c r="S111" s="40" cm="1">
        <f t="array" ref="S111">IF(R111=0,"",INDEX(RISK_SCALE_NAMES,_xlfn.MAXIFS(tblThreatControls[Threat risk score],tblThreatControls[Control ID],$A111)))</f>
        <v/>
      </c>
      <c r="T111" s="40" cm="1">
        <f t="array" ref="T111">IF(AND(H111="Applicable",OR(L111="Not assessed",L111=""),R111&gt;0),"Yes","No")</f>
        <v/>
      </c>
      <c r="U111" s="40" cm="1">
        <f t="array" ref="U111">IF(AND(H111="Applicable",OR(L111="Gap",L111="Partial coverage")),INDEX(RISK_SCALE_NAMES,MAX(IFERROR(MATCH(P111,RISK_SCALE_NAMES,0),1),IFERROR(MATCH(S111,RISK_SCALE_NAMES,0),0))),"")</f>
        <v/>
      </c>
      <c r="V111" s="40" cm="1">
        <f t="array" ref="V111">_xlfn.TEXTJOIN("; ",TRUE,_xlfn._xlws.FILTER(tblThreatControls[Threat ID],(tblThreatControls[Control ID]=$A111)*(tblThreatControls[Threat applies]="Applies"),""))</f>
        <v/>
      </c>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0" t="inlineStr">
        <is>
          <t>SAST + integration testing</t>
        </is>
      </c>
      <c r="J112" s="40" t="inlineStr">
        <is>
          <t>Deterministic, continuous</t>
        </is>
      </c>
      <c r="K112" s="42" t="inlineStr">
        <is>
          <t>Pipeline</t>
        </is>
      </c>
      <c r="L112" s="42" t="inlineStr">
        <is>
          <t>Not assessed</t>
        </is>
      </c>
      <c r="M112" s="40" t="n"/>
      <c r="N112" s="40" t="n"/>
      <c r="O112" s="42" t="inlineStr">
        <is>
          <t>High</t>
        </is>
      </c>
      <c r="P112" s="43">
        <f>IF(H112="N/A","N/A",INDEX(CRIT_MATRIX,MATCH(O112,CRIT_MATRIX_ROWS,0),MATCH(APP_RISK_TIER,CRIT_MATRIX_COLS,0)))</f>
        <v/>
      </c>
      <c r="Q112" s="40" t="n"/>
      <c r="R112" s="40" cm="1">
        <f t="array" ref="R112">COUNTIFS(tblThreatControls[Control ID],$A112,tblThreatControls[Threat applies],"Applies")</f>
        <v/>
      </c>
      <c r="S112" s="40" cm="1">
        <f t="array" ref="S112">IF(R112=0,"",INDEX(RISK_SCALE_NAMES,_xlfn.MAXIFS(tblThreatControls[Threat risk score],tblThreatControls[Control ID],$A112)))</f>
        <v/>
      </c>
      <c r="T112" s="40" cm="1">
        <f t="array" ref="T112">IF(AND(H112="Applicable",OR(L112="Not assessed",L112=""),R112&gt;0),"Yes","No")</f>
        <v/>
      </c>
      <c r="U112" s="40" cm="1">
        <f t="array" ref="U112">IF(AND(H112="Applicable",OR(L112="Gap",L112="Partial coverage")),INDEX(RISK_SCALE_NAMES,MAX(IFERROR(MATCH(P112,RISK_SCALE_NAMES,0),1),IFERROR(MATCH(S112,RISK_SCALE_NAMES,0),0))),"")</f>
        <v/>
      </c>
      <c r="V112" s="40" cm="1">
        <f t="array" ref="V112">_xlfn.TEXTJOIN("; ",TRUE,_xlfn._xlws.FILTER(tblThreatControls[Threat ID],(tblThreatControls[Control ID]=$A112)*(tblThreatControls[Threat applies]="Applies"),""))</f>
        <v/>
      </c>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0" t="inlineStr">
        <is>
          <t>SAST + integration testing</t>
        </is>
      </c>
      <c r="J113" s="40" t="inlineStr">
        <is>
          <t>Deterministic, continuous</t>
        </is>
      </c>
      <c r="K113" s="42" t="inlineStr">
        <is>
          <t>Pipeline</t>
        </is>
      </c>
      <c r="L113" s="42" t="inlineStr">
        <is>
          <t>Not assessed</t>
        </is>
      </c>
      <c r="M113" s="40" t="n"/>
      <c r="N113" s="40" t="n"/>
      <c r="O113" s="42" t="inlineStr">
        <is>
          <t>High</t>
        </is>
      </c>
      <c r="P113" s="43">
        <f>IF(H113="N/A","N/A",INDEX(CRIT_MATRIX,MATCH(O113,CRIT_MATRIX_ROWS,0),MATCH(APP_RISK_TIER,CRIT_MATRIX_COLS,0)))</f>
        <v/>
      </c>
      <c r="Q113" s="40" t="n"/>
      <c r="R113" s="40" cm="1">
        <f t="array" ref="R113">COUNTIFS(tblThreatControls[Control ID],$A113,tblThreatControls[Threat applies],"Applies")</f>
        <v/>
      </c>
      <c r="S113" s="40" cm="1">
        <f t="array" ref="S113">IF(R113=0,"",INDEX(RISK_SCALE_NAMES,_xlfn.MAXIFS(tblThreatControls[Threat risk score],tblThreatControls[Control ID],$A113)))</f>
        <v/>
      </c>
      <c r="T113" s="40" cm="1">
        <f t="array" ref="T113">IF(AND(H113="Applicable",OR(L113="Not assessed",L113=""),R113&gt;0),"Yes","No")</f>
        <v/>
      </c>
      <c r="U113" s="40" cm="1">
        <f t="array" ref="U113">IF(AND(H113="Applicable",OR(L113="Gap",L113="Partial coverage")),INDEX(RISK_SCALE_NAMES,MAX(IFERROR(MATCH(P113,RISK_SCALE_NAMES,0),1),IFERROR(MATCH(S113,RISK_SCALE_NAMES,0),0))),"")</f>
        <v/>
      </c>
      <c r="V113" s="40" cm="1">
        <f t="array" ref="V113">_xlfn.TEXTJOIN("; ",TRUE,_xlfn._xlws.FILTER(tblThreatControls[Threat ID],(tblThreatControls[Control ID]=$A113)*(tblThreatControls[Threat applies]="Applies"),""))</f>
        <v/>
      </c>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0" t="inlineStr">
        <is>
          <t>SAST + integration testing</t>
        </is>
      </c>
      <c r="J114" s="40" t="inlineStr">
        <is>
          <t>Deterministic, continuous</t>
        </is>
      </c>
      <c r="K114" s="42" t="inlineStr">
        <is>
          <t>Pipeline</t>
        </is>
      </c>
      <c r="L114" s="42" t="inlineStr">
        <is>
          <t>Not assessed</t>
        </is>
      </c>
      <c r="M114" s="40" t="n"/>
      <c r="N114" s="40" t="n"/>
      <c r="O114" s="42" t="inlineStr">
        <is>
          <t>High</t>
        </is>
      </c>
      <c r="P114" s="43">
        <f>IF(H114="N/A","N/A",INDEX(CRIT_MATRIX,MATCH(O114,CRIT_MATRIX_ROWS,0),MATCH(APP_RISK_TIER,CRIT_MATRIX_COLS,0)))</f>
        <v/>
      </c>
      <c r="Q114" s="40" t="n"/>
      <c r="R114" s="40" cm="1">
        <f t="array" ref="R114">COUNTIFS(tblThreatControls[Control ID],$A114,tblThreatControls[Threat applies],"Applies")</f>
        <v/>
      </c>
      <c r="S114" s="40" cm="1">
        <f t="array" ref="S114">IF(R114=0,"",INDEX(RISK_SCALE_NAMES,_xlfn.MAXIFS(tblThreatControls[Threat risk score],tblThreatControls[Control ID],$A114)))</f>
        <v/>
      </c>
      <c r="T114" s="40" cm="1">
        <f t="array" ref="T114">IF(AND(H114="Applicable",OR(L114="Not assessed",L114=""),R114&gt;0),"Yes","No")</f>
        <v/>
      </c>
      <c r="U114" s="40" cm="1">
        <f t="array" ref="U114">IF(AND(H114="Applicable",OR(L114="Gap",L114="Partial coverage")),INDEX(RISK_SCALE_NAMES,MAX(IFERROR(MATCH(P114,RISK_SCALE_NAMES,0),1),IFERROR(MATCH(S114,RISK_SCALE_NAMES,0),0))),"")</f>
        <v/>
      </c>
      <c r="V114" s="40" cm="1">
        <f t="array" ref="V114">_xlfn.TEXTJOIN("; ",TRUE,_xlfn._xlws.FILTER(tblThreatControls[Threat ID],(tblThreatControls[Control ID]=$A114)*(tblThreatControls[Threat applies]="Applies"),""))</f>
        <v/>
      </c>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0" t="inlineStr">
        <is>
          <t>SAST + integration testing</t>
        </is>
      </c>
      <c r="J115" s="40" t="inlineStr">
        <is>
          <t>Deterministic, continuous</t>
        </is>
      </c>
      <c r="K115" s="42" t="inlineStr">
        <is>
          <t>Pipeline</t>
        </is>
      </c>
      <c r="L115" s="42" t="inlineStr">
        <is>
          <t>Not assessed</t>
        </is>
      </c>
      <c r="M115" s="40" t="n"/>
      <c r="N115" s="40" t="n"/>
      <c r="O115" s="42" t="inlineStr">
        <is>
          <t>High</t>
        </is>
      </c>
      <c r="P115" s="43">
        <f>IF(H115="N/A","N/A",INDEX(CRIT_MATRIX,MATCH(O115,CRIT_MATRIX_ROWS,0),MATCH(APP_RISK_TIER,CRIT_MATRIX_COLS,0)))</f>
        <v/>
      </c>
      <c r="Q115" s="40" t="n"/>
      <c r="R115" s="40" cm="1">
        <f t="array" ref="R115">COUNTIFS(tblThreatControls[Control ID],$A115,tblThreatControls[Threat applies],"Applies")</f>
        <v/>
      </c>
      <c r="S115" s="40" cm="1">
        <f t="array" ref="S115">IF(R115=0,"",INDEX(RISK_SCALE_NAMES,_xlfn.MAXIFS(tblThreatControls[Threat risk score],tblThreatControls[Control ID],$A115)))</f>
        <v/>
      </c>
      <c r="T115" s="40" cm="1">
        <f t="array" ref="T115">IF(AND(H115="Applicable",OR(L115="Not assessed",L115=""),R115&gt;0),"Yes","No")</f>
        <v/>
      </c>
      <c r="U115" s="40" cm="1">
        <f t="array" ref="U115">IF(AND(H115="Applicable",OR(L115="Gap",L115="Partial coverage")),INDEX(RISK_SCALE_NAMES,MAX(IFERROR(MATCH(P115,RISK_SCALE_NAMES,0),1),IFERROR(MATCH(S115,RISK_SCALE_NAMES,0),0))),"")</f>
        <v/>
      </c>
      <c r="V115" s="40" cm="1">
        <f t="array" ref="V115">_xlfn.TEXTJOIN("; ",TRUE,_xlfn._xlws.FILTER(tblThreatControls[Threat ID],(tblThreatControls[Control ID]=$A115)*(tblThreatControls[Threat applies]="Applies"),""))</f>
        <v/>
      </c>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0" t="inlineStr">
        <is>
          <t>SAST + integration testing</t>
        </is>
      </c>
      <c r="J116" s="40" t="inlineStr">
        <is>
          <t>Deterministic, continuous</t>
        </is>
      </c>
      <c r="K116" s="42" t="inlineStr">
        <is>
          <t>Pipeline</t>
        </is>
      </c>
      <c r="L116" s="42" t="inlineStr">
        <is>
          <t>Not assessed</t>
        </is>
      </c>
      <c r="M116" s="40" t="n"/>
      <c r="N116" s="40" t="n"/>
      <c r="O116" s="42" t="inlineStr">
        <is>
          <t>High</t>
        </is>
      </c>
      <c r="P116" s="43">
        <f>IF(H116="N/A","N/A",INDEX(CRIT_MATRIX,MATCH(O116,CRIT_MATRIX_ROWS,0),MATCH(APP_RISK_TIER,CRIT_MATRIX_COLS,0)))</f>
        <v/>
      </c>
      <c r="Q116" s="40" t="n"/>
      <c r="R116" s="40" cm="1">
        <f t="array" ref="R116">COUNTIFS(tblThreatControls[Control ID],$A116,tblThreatControls[Threat applies],"Applies")</f>
        <v/>
      </c>
      <c r="S116" s="40" cm="1">
        <f t="array" ref="S116">IF(R116=0,"",INDEX(RISK_SCALE_NAMES,_xlfn.MAXIFS(tblThreatControls[Threat risk score],tblThreatControls[Control ID],$A116)))</f>
        <v/>
      </c>
      <c r="T116" s="40" cm="1">
        <f t="array" ref="T116">IF(AND(H116="Applicable",OR(L116="Not assessed",L116=""),R116&gt;0),"Yes","No")</f>
        <v/>
      </c>
      <c r="U116" s="40" cm="1">
        <f t="array" ref="U116">IF(AND(H116="Applicable",OR(L116="Gap",L116="Partial coverage")),INDEX(RISK_SCALE_NAMES,MAX(IFERROR(MATCH(P116,RISK_SCALE_NAMES,0),1),IFERROR(MATCH(S116,RISK_SCALE_NAMES,0),0))),"")</f>
        <v/>
      </c>
      <c r="V116" s="40" cm="1">
        <f t="array" ref="V116">_xlfn.TEXTJOIN("; ",TRUE,_xlfn._xlws.FILTER(tblThreatControls[Threat ID],(tblThreatControls[Control ID]=$A116)*(tblThreatControls[Threat applies]="Applies"),""))</f>
        <v/>
      </c>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0" t="inlineStr">
        <is>
          <t>SAST + integration testing</t>
        </is>
      </c>
      <c r="J117" s="40" t="inlineStr">
        <is>
          <t>Deterministic, continuous</t>
        </is>
      </c>
      <c r="K117" s="42" t="inlineStr">
        <is>
          <t>Pipeline</t>
        </is>
      </c>
      <c r="L117" s="42" t="inlineStr">
        <is>
          <t>Not assessed</t>
        </is>
      </c>
      <c r="M117" s="40" t="n"/>
      <c r="N117" s="40" t="n"/>
      <c r="O117" s="42" t="inlineStr">
        <is>
          <t>High</t>
        </is>
      </c>
      <c r="P117" s="43">
        <f>IF(H117="N/A","N/A",INDEX(CRIT_MATRIX,MATCH(O117,CRIT_MATRIX_ROWS,0),MATCH(APP_RISK_TIER,CRIT_MATRIX_COLS,0)))</f>
        <v/>
      </c>
      <c r="Q117" s="40" t="n"/>
      <c r="R117" s="40" cm="1">
        <f t="array" ref="R117">COUNTIFS(tblThreatControls[Control ID],$A117,tblThreatControls[Threat applies],"Applies")</f>
        <v/>
      </c>
      <c r="S117" s="40" cm="1">
        <f t="array" ref="S117">IF(R117=0,"",INDEX(RISK_SCALE_NAMES,_xlfn.MAXIFS(tblThreatControls[Threat risk score],tblThreatControls[Control ID],$A117)))</f>
        <v/>
      </c>
      <c r="T117" s="40" cm="1">
        <f t="array" ref="T117">IF(AND(H117="Applicable",OR(L117="Not assessed",L117=""),R117&gt;0),"Yes","No")</f>
        <v/>
      </c>
      <c r="U117" s="40" cm="1">
        <f t="array" ref="U117">IF(AND(H117="Applicable",OR(L117="Gap",L117="Partial coverage")),INDEX(RISK_SCALE_NAMES,MAX(IFERROR(MATCH(P117,RISK_SCALE_NAMES,0),1),IFERROR(MATCH(S117,RISK_SCALE_NAMES,0),0))),"")</f>
        <v/>
      </c>
      <c r="V117" s="40" cm="1">
        <f t="array" ref="V117">_xlfn.TEXTJOIN("; ",TRUE,_xlfn._xlws.FILTER(tblThreatControls[Threat ID],(tblThreatControls[Control ID]=$A117)*(tblThreatControls[Threat applies]="Applies"),""))</f>
        <v/>
      </c>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0" t="inlineStr">
        <is>
          <t>SAST + integration testing</t>
        </is>
      </c>
      <c r="J118" s="40" t="inlineStr">
        <is>
          <t>Deterministic, continuous</t>
        </is>
      </c>
      <c r="K118" s="42" t="inlineStr">
        <is>
          <t>Pipeline</t>
        </is>
      </c>
      <c r="L118" s="42" t="inlineStr">
        <is>
          <t>Not assessed</t>
        </is>
      </c>
      <c r="M118" s="40" t="n"/>
      <c r="N118" s="40" t="n"/>
      <c r="O118" s="42" t="inlineStr">
        <is>
          <t>High</t>
        </is>
      </c>
      <c r="P118" s="43">
        <f>IF(H118="N/A","N/A",INDEX(CRIT_MATRIX,MATCH(O118,CRIT_MATRIX_ROWS,0),MATCH(APP_RISK_TIER,CRIT_MATRIX_COLS,0)))</f>
        <v/>
      </c>
      <c r="Q118" s="40" t="n"/>
      <c r="R118" s="40" cm="1">
        <f t="array" ref="R118">COUNTIFS(tblThreatControls[Control ID],$A118,tblThreatControls[Threat applies],"Applies")</f>
        <v/>
      </c>
      <c r="S118" s="40" cm="1">
        <f t="array" ref="S118">IF(R118=0,"",INDEX(RISK_SCALE_NAMES,_xlfn.MAXIFS(tblThreatControls[Threat risk score],tblThreatControls[Control ID],$A118)))</f>
        <v/>
      </c>
      <c r="T118" s="40" cm="1">
        <f t="array" ref="T118">IF(AND(H118="Applicable",OR(L118="Not assessed",L118=""),R118&gt;0),"Yes","No")</f>
        <v/>
      </c>
      <c r="U118" s="40" cm="1">
        <f t="array" ref="U118">IF(AND(H118="Applicable",OR(L118="Gap",L118="Partial coverage")),INDEX(RISK_SCALE_NAMES,MAX(IFERROR(MATCH(P118,RISK_SCALE_NAMES,0),1),IFERROR(MATCH(S118,RISK_SCALE_NAMES,0),0))),"")</f>
        <v/>
      </c>
      <c r="V118" s="40" cm="1">
        <f t="array" ref="V118">_xlfn.TEXTJOIN("; ",TRUE,_xlfn._xlws.FILTER(tblThreatControls[Threat ID],(tblThreatControls[Control ID]=$A118)*(tblThreatControls[Threat applies]="Applies"),""))</f>
        <v/>
      </c>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0" t="inlineStr">
        <is>
          <t>SAST + integration testing</t>
        </is>
      </c>
      <c r="J119" s="40" t="inlineStr">
        <is>
          <t>Deterministic, continuous</t>
        </is>
      </c>
      <c r="K119" s="42" t="inlineStr">
        <is>
          <t>Pipeline</t>
        </is>
      </c>
      <c r="L119" s="42" t="inlineStr">
        <is>
          <t>Not assessed</t>
        </is>
      </c>
      <c r="M119" s="40" t="n"/>
      <c r="N119" s="40" t="n"/>
      <c r="O119" s="42" t="inlineStr">
        <is>
          <t>High</t>
        </is>
      </c>
      <c r="P119" s="43">
        <f>IF(H119="N/A","N/A",INDEX(CRIT_MATRIX,MATCH(O119,CRIT_MATRIX_ROWS,0),MATCH(APP_RISK_TIER,CRIT_MATRIX_COLS,0)))</f>
        <v/>
      </c>
      <c r="Q119" s="40" t="n"/>
      <c r="R119" s="40" cm="1">
        <f t="array" ref="R119">COUNTIFS(tblThreatControls[Control ID],$A119,tblThreatControls[Threat applies],"Applies")</f>
        <v/>
      </c>
      <c r="S119" s="40" cm="1">
        <f t="array" ref="S119">IF(R119=0,"",INDEX(RISK_SCALE_NAMES,_xlfn.MAXIFS(tblThreatControls[Threat risk score],tblThreatControls[Control ID],$A119)))</f>
        <v/>
      </c>
      <c r="T119" s="40" cm="1">
        <f t="array" ref="T119">IF(AND(H119="Applicable",OR(L119="Not assessed",L119=""),R119&gt;0),"Yes","No")</f>
        <v/>
      </c>
      <c r="U119" s="40" cm="1">
        <f t="array" ref="U119">IF(AND(H119="Applicable",OR(L119="Gap",L119="Partial coverage")),INDEX(RISK_SCALE_NAMES,MAX(IFERROR(MATCH(P119,RISK_SCALE_NAMES,0),1),IFERROR(MATCH(S119,RISK_SCALE_NAMES,0),0))),"")</f>
        <v/>
      </c>
      <c r="V119" s="40" cm="1">
        <f t="array" ref="V119">_xlfn.TEXTJOIN("; ",TRUE,_xlfn._xlws.FILTER(tblThreatControls[Threat ID],(tblThreatControls[Control ID]=$A119)*(tblThreatControls[Threat applies]="Applies"),""))</f>
        <v/>
      </c>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0" t="inlineStr">
        <is>
          <t>SAST + integration testing</t>
        </is>
      </c>
      <c r="J120" s="40" t="inlineStr">
        <is>
          <t>Deterministic, continuous</t>
        </is>
      </c>
      <c r="K120" s="42" t="inlineStr">
        <is>
          <t>Pipeline</t>
        </is>
      </c>
      <c r="L120" s="42" t="inlineStr">
        <is>
          <t>Not assessed</t>
        </is>
      </c>
      <c r="M120" s="40" t="n"/>
      <c r="N120" s="40" t="n"/>
      <c r="O120" s="42" t="inlineStr">
        <is>
          <t>High</t>
        </is>
      </c>
      <c r="P120" s="43">
        <f>IF(H120="N/A","N/A",INDEX(CRIT_MATRIX,MATCH(O120,CRIT_MATRIX_ROWS,0),MATCH(APP_RISK_TIER,CRIT_MATRIX_COLS,0)))</f>
        <v/>
      </c>
      <c r="Q120" s="40" t="n"/>
      <c r="R120" s="40" cm="1">
        <f t="array" ref="R120">COUNTIFS(tblThreatControls[Control ID],$A120,tblThreatControls[Threat applies],"Applies")</f>
        <v/>
      </c>
      <c r="S120" s="40" cm="1">
        <f t="array" ref="S120">IF(R120=0,"",INDEX(RISK_SCALE_NAMES,_xlfn.MAXIFS(tblThreatControls[Threat risk score],tblThreatControls[Control ID],$A120)))</f>
        <v/>
      </c>
      <c r="T120" s="40" cm="1">
        <f t="array" ref="T120">IF(AND(H120="Applicable",OR(L120="Not assessed",L120=""),R120&gt;0),"Yes","No")</f>
        <v/>
      </c>
      <c r="U120" s="40" cm="1">
        <f t="array" ref="U120">IF(AND(H120="Applicable",OR(L120="Gap",L120="Partial coverage")),INDEX(RISK_SCALE_NAMES,MAX(IFERROR(MATCH(P120,RISK_SCALE_NAMES,0),1),IFERROR(MATCH(S120,RISK_SCALE_NAMES,0),0))),"")</f>
        <v/>
      </c>
      <c r="V120" s="40" cm="1">
        <f t="array" ref="V120">_xlfn.TEXTJOIN("; ",TRUE,_xlfn._xlws.FILTER(tblThreatControls[Threat ID],(tblThreatControls[Control ID]=$A120)*(tblThreatControls[Threat applies]="Applies"),""))</f>
        <v/>
      </c>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0" t="inlineStr">
        <is>
          <t>SAST + integration testing</t>
        </is>
      </c>
      <c r="J121" s="40" t="inlineStr">
        <is>
          <t>Deterministic, continuous</t>
        </is>
      </c>
      <c r="K121" s="42" t="inlineStr">
        <is>
          <t>Pipeline</t>
        </is>
      </c>
      <c r="L121" s="42" t="inlineStr">
        <is>
          <t>Not assessed</t>
        </is>
      </c>
      <c r="M121" s="40" t="n"/>
      <c r="N121" s="40" t="n"/>
      <c r="O121" s="42" t="inlineStr">
        <is>
          <t>High</t>
        </is>
      </c>
      <c r="P121" s="43">
        <f>IF(H121="N/A","N/A",INDEX(CRIT_MATRIX,MATCH(O121,CRIT_MATRIX_ROWS,0),MATCH(APP_RISK_TIER,CRIT_MATRIX_COLS,0)))</f>
        <v/>
      </c>
      <c r="Q121" s="40" t="n"/>
      <c r="R121" s="40" cm="1">
        <f t="array" ref="R121">COUNTIFS(tblThreatControls[Control ID],$A121,tblThreatControls[Threat applies],"Applies")</f>
        <v/>
      </c>
      <c r="S121" s="40" cm="1">
        <f t="array" ref="S121">IF(R121=0,"",INDEX(RISK_SCALE_NAMES,_xlfn.MAXIFS(tblThreatControls[Threat risk score],tblThreatControls[Control ID],$A121)))</f>
        <v/>
      </c>
      <c r="T121" s="40" cm="1">
        <f t="array" ref="T121">IF(AND(H121="Applicable",OR(L121="Not assessed",L121=""),R121&gt;0),"Yes","No")</f>
        <v/>
      </c>
      <c r="U121" s="40" cm="1">
        <f t="array" ref="U121">IF(AND(H121="Applicable",OR(L121="Gap",L121="Partial coverage")),INDEX(RISK_SCALE_NAMES,MAX(IFERROR(MATCH(P121,RISK_SCALE_NAMES,0),1),IFERROR(MATCH(S121,RISK_SCALE_NAMES,0),0))),"")</f>
        <v/>
      </c>
      <c r="V121" s="40" cm="1">
        <f t="array" ref="V121">_xlfn.TEXTJOIN("; ",TRUE,_xlfn._xlws.FILTER(tblThreatControls[Threat ID],(tblThreatControls[Control ID]=$A121)*(tblThreatControls[Threat applies]="Applies"),""))</f>
        <v/>
      </c>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0" t="inlineStr">
        <is>
          <t>SAST + integration testing</t>
        </is>
      </c>
      <c r="J122" s="40" t="inlineStr">
        <is>
          <t>Deterministic, continuous</t>
        </is>
      </c>
      <c r="K122" s="42" t="inlineStr">
        <is>
          <t>Pipeline</t>
        </is>
      </c>
      <c r="L122" s="42" t="inlineStr">
        <is>
          <t>Not assessed</t>
        </is>
      </c>
      <c r="M122" s="40" t="n"/>
      <c r="N122" s="40" t="n"/>
      <c r="O122" s="42" t="inlineStr">
        <is>
          <t>High</t>
        </is>
      </c>
      <c r="P122" s="43">
        <f>IF(H122="N/A","N/A",INDEX(CRIT_MATRIX,MATCH(O122,CRIT_MATRIX_ROWS,0),MATCH(APP_RISK_TIER,CRIT_MATRIX_COLS,0)))</f>
        <v/>
      </c>
      <c r="Q122" s="40" t="n"/>
      <c r="R122" s="40" cm="1">
        <f t="array" ref="R122">COUNTIFS(tblThreatControls[Control ID],$A122,tblThreatControls[Threat applies],"Applies")</f>
        <v/>
      </c>
      <c r="S122" s="40" cm="1">
        <f t="array" ref="S122">IF(R122=0,"",INDEX(RISK_SCALE_NAMES,_xlfn.MAXIFS(tblThreatControls[Threat risk score],tblThreatControls[Control ID],$A122)))</f>
        <v/>
      </c>
      <c r="T122" s="40" cm="1">
        <f t="array" ref="T122">IF(AND(H122="Applicable",OR(L122="Not assessed",L122=""),R122&gt;0),"Yes","No")</f>
        <v/>
      </c>
      <c r="U122" s="40" cm="1">
        <f t="array" ref="U122">IF(AND(H122="Applicable",OR(L122="Gap",L122="Partial coverage")),INDEX(RISK_SCALE_NAMES,MAX(IFERROR(MATCH(P122,RISK_SCALE_NAMES,0),1),IFERROR(MATCH(S122,RISK_SCALE_NAMES,0),0))),"")</f>
        <v/>
      </c>
      <c r="V122" s="40" cm="1">
        <f t="array" ref="V122">_xlfn.TEXTJOIN("; ",TRUE,_xlfn._xlws.FILTER(tblThreatControls[Threat ID],(tblThreatControls[Control ID]=$A122)*(tblThreatControls[Threat applies]="Applies"),""))</f>
        <v/>
      </c>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0" t="inlineStr">
        <is>
          <t>SAST + integration testing</t>
        </is>
      </c>
      <c r="J123" s="40" t="inlineStr">
        <is>
          <t>Deterministic, continuous</t>
        </is>
      </c>
      <c r="K123" s="42" t="inlineStr">
        <is>
          <t>Pipeline</t>
        </is>
      </c>
      <c r="L123" s="42" t="inlineStr">
        <is>
          <t>Partial coverage</t>
        </is>
      </c>
      <c r="M123" s="40" t="inlineStr">
        <is>
          <t>WAF rate limit only</t>
        </is>
      </c>
      <c r="N123" s="40" t="inlineStr">
        <is>
          <t>No account lockout in the product</t>
        </is>
      </c>
      <c r="O123" s="42" t="inlineStr">
        <is>
          <t>High</t>
        </is>
      </c>
      <c r="P123" s="43">
        <f>IF(H123="N/A","N/A",INDEX(CRIT_MATRIX,MATCH(O123,CRIT_MATRIX_ROWS,0),MATCH(APP_RISK_TIER,CRIT_MATRIX_COLS,0)))</f>
        <v/>
      </c>
      <c r="Q123" s="40" t="inlineStr">
        <is>
          <t>Configuration</t>
        </is>
      </c>
      <c r="R123" s="40" cm="1">
        <f t="array" ref="R123">COUNTIFS(tblThreatControls[Control ID],$A123,tblThreatControls[Threat applies],"Applies")</f>
        <v/>
      </c>
      <c r="S123" s="40" cm="1">
        <f t="array" ref="S123">IF(R123=0,"",INDEX(RISK_SCALE_NAMES,_xlfn.MAXIFS(tblThreatControls[Threat risk score],tblThreatControls[Control ID],$A123)))</f>
        <v/>
      </c>
      <c r="T123" s="40" cm="1">
        <f t="array" ref="T123">IF(AND(H123="Applicable",OR(L123="Not assessed",L123=""),R123&gt;0),"Yes","No")</f>
        <v/>
      </c>
      <c r="U123" s="40" cm="1">
        <f t="array" ref="U123">IF(AND(H123="Applicable",OR(L123="Gap",L123="Partial coverage")),INDEX(RISK_SCALE_NAMES,MAX(IFERROR(MATCH(P123,RISK_SCALE_NAMES,0),1),IFERROR(MATCH(S123,RISK_SCALE_NAMES,0),0))),"")</f>
        <v/>
      </c>
      <c r="V123" s="40" cm="1">
        <f t="array" ref="V123">_xlfn.TEXTJOIN("; ",TRUE,_xlfn._xlws.FILTER(tblThreatControls[Threat ID],(tblThreatControls[Control ID]=$A123)*(tblThreatControls[Threat applies]="Applies"),""))</f>
        <v/>
      </c>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0" t="inlineStr">
        <is>
          <t>SAST + integration testing</t>
        </is>
      </c>
      <c r="J124" s="40" t="inlineStr">
        <is>
          <t>Deterministic, continuous</t>
        </is>
      </c>
      <c r="K124" s="42" t="inlineStr">
        <is>
          <t>Pipeline</t>
        </is>
      </c>
      <c r="L124" s="42" t="inlineStr">
        <is>
          <t>Full coverage</t>
        </is>
      </c>
      <c r="M124" s="40" t="inlineStr">
        <is>
          <t>Hardening checklist 2026-08</t>
        </is>
      </c>
      <c r="N124" s="40" t="n"/>
      <c r="O124" s="42" t="inlineStr">
        <is>
          <t>High</t>
        </is>
      </c>
      <c r="P124" s="43">
        <f>IF(H124="N/A","N/A",INDEX(CRIT_MATRIX,MATCH(O124,CRIT_MATRIX_ROWS,0),MATCH(APP_RISK_TIER,CRIT_MATRIX_COLS,0)))</f>
        <v/>
      </c>
      <c r="Q124" s="40" t="n"/>
      <c r="R124" s="40" cm="1">
        <f t="array" ref="R124">COUNTIFS(tblThreatControls[Control ID],$A124,tblThreatControls[Threat applies],"Applies")</f>
        <v/>
      </c>
      <c r="S124" s="40" cm="1">
        <f t="array" ref="S124">IF(R124=0,"",INDEX(RISK_SCALE_NAMES,_xlfn.MAXIFS(tblThreatControls[Threat risk score],tblThreatControls[Control ID],$A124)))</f>
        <v/>
      </c>
      <c r="T124" s="40" cm="1">
        <f t="array" ref="T124">IF(AND(H124="Applicable",OR(L124="Not assessed",L124=""),R124&gt;0),"Yes","No")</f>
        <v/>
      </c>
      <c r="U124" s="40" cm="1">
        <f t="array" ref="U124">IF(AND(H124="Applicable",OR(L124="Gap",L124="Partial coverage")),INDEX(RISK_SCALE_NAMES,MAX(IFERROR(MATCH(P124,RISK_SCALE_NAMES,0),1),IFERROR(MATCH(S124,RISK_SCALE_NAMES,0),0))),"")</f>
        <v/>
      </c>
      <c r="V124" s="40" cm="1">
        <f t="array" ref="V124">_xlfn.TEXTJOIN("; ",TRUE,_xlfn._xlws.FILTER(tblThreatControls[Threat ID],(tblThreatControls[Control ID]=$A124)*(tblThreatControls[Threat applies]="Applies"),""))</f>
        <v/>
      </c>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0" t="inlineStr">
        <is>
          <t>SAST + integration testing</t>
        </is>
      </c>
      <c r="J125" s="40" t="inlineStr">
        <is>
          <t>Deterministic, continuous</t>
        </is>
      </c>
      <c r="K125" s="42" t="inlineStr">
        <is>
          <t>Pipeline</t>
        </is>
      </c>
      <c r="L125" s="42" t="inlineStr">
        <is>
          <t>Partial coverage</t>
        </is>
      </c>
      <c r="M125" s="40" t="inlineStr">
        <is>
          <t>MFA for admins</t>
        </is>
      </c>
      <c r="N125" s="40" t="inlineStr">
        <is>
          <t>Customers use password only</t>
        </is>
      </c>
      <c r="O125" s="42" t="inlineStr">
        <is>
          <t>High</t>
        </is>
      </c>
      <c r="P125" s="43">
        <f>IF(H125="N/A","N/A",INDEX(CRIT_MATRIX,MATCH(O125,CRIT_MATRIX_ROWS,0),MATCH(APP_RISK_TIER,CRIT_MATRIX_COLS,0)))</f>
        <v/>
      </c>
      <c r="Q125" s="40" t="inlineStr">
        <is>
          <t>Vendor</t>
        </is>
      </c>
      <c r="R125" s="40" cm="1">
        <f t="array" ref="R125">COUNTIFS(tblThreatControls[Control ID],$A125,tblThreatControls[Threat applies],"Applies")</f>
        <v/>
      </c>
      <c r="S125" s="40" cm="1">
        <f t="array" ref="S125">IF(R125=0,"",INDEX(RISK_SCALE_NAMES,_xlfn.MAXIFS(tblThreatControls[Threat risk score],tblThreatControls[Control ID],$A125)))</f>
        <v/>
      </c>
      <c r="T125" s="40" cm="1">
        <f t="array" ref="T125">IF(AND(H125="Applicable",OR(L125="Not assessed",L125=""),R125&gt;0),"Yes","No")</f>
        <v/>
      </c>
      <c r="U125" s="40" cm="1">
        <f t="array" ref="U125">IF(AND(H125="Applicable",OR(L125="Gap",L125="Partial coverage")),INDEX(RISK_SCALE_NAMES,MAX(IFERROR(MATCH(P125,RISK_SCALE_NAMES,0),1),IFERROR(MATCH(S125,RISK_SCALE_NAMES,0),0))),"")</f>
        <v/>
      </c>
      <c r="V125" s="40" cm="1">
        <f t="array" ref="V125">_xlfn.TEXTJOIN("; ",TRUE,_xlfn._xlws.FILTER(tblThreatControls[Threat ID],(tblThreatControls[Control ID]=$A125)*(tblThreatControls[Threat applies]="Applies"),""))</f>
        <v/>
      </c>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0" t="inlineStr">
        <is>
          <t>SAST + integration testing</t>
        </is>
      </c>
      <c r="J126" s="40" t="inlineStr">
        <is>
          <t>Deterministic, continuous</t>
        </is>
      </c>
      <c r="K126" s="42" t="inlineStr">
        <is>
          <t>Pipeline</t>
        </is>
      </c>
      <c r="L126" s="42" t="inlineStr">
        <is>
          <t>Not assessed</t>
        </is>
      </c>
      <c r="M126" s="40" t="n"/>
      <c r="N126" s="40" t="n"/>
      <c r="O126" s="42" t="inlineStr">
        <is>
          <t>High</t>
        </is>
      </c>
      <c r="P126" s="43">
        <f>IF(H126="N/A","N/A",INDEX(CRIT_MATRIX,MATCH(O126,CRIT_MATRIX_ROWS,0),MATCH(APP_RISK_TIER,CRIT_MATRIX_COLS,0)))</f>
        <v/>
      </c>
      <c r="Q126" s="40" t="n"/>
      <c r="R126" s="40" cm="1">
        <f t="array" ref="R126">COUNTIFS(tblThreatControls[Control ID],$A126,tblThreatControls[Threat applies],"Applies")</f>
        <v/>
      </c>
      <c r="S126" s="40" cm="1">
        <f t="array" ref="S126">IF(R126=0,"",INDEX(RISK_SCALE_NAMES,_xlfn.MAXIFS(tblThreatControls[Threat risk score],tblThreatControls[Control ID],$A126)))</f>
        <v/>
      </c>
      <c r="T126" s="40" cm="1">
        <f t="array" ref="T126">IF(AND(H126="Applicable",OR(L126="Not assessed",L126=""),R126&gt;0),"Yes","No")</f>
        <v/>
      </c>
      <c r="U126" s="40" cm="1">
        <f t="array" ref="U126">IF(AND(H126="Applicable",OR(L126="Gap",L126="Partial coverage")),INDEX(RISK_SCALE_NAMES,MAX(IFERROR(MATCH(P126,RISK_SCALE_NAMES,0),1),IFERROR(MATCH(S126,RISK_SCALE_NAMES,0),0))),"")</f>
        <v/>
      </c>
      <c r="V126" s="40" cm="1">
        <f t="array" ref="V126">_xlfn.TEXTJOIN("; ",TRUE,_xlfn._xlws.FILTER(tblThreatControls[Threat ID],(tblThreatControls[Control ID]=$A126)*(tblThreatControls[Threat applies]="Applies"),""))</f>
        <v/>
      </c>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0" t="inlineStr">
        <is>
          <t>SAST + integration testing</t>
        </is>
      </c>
      <c r="J127" s="40" t="inlineStr">
        <is>
          <t>Deterministic, continuous</t>
        </is>
      </c>
      <c r="K127" s="42" t="inlineStr">
        <is>
          <t>Pipeline</t>
        </is>
      </c>
      <c r="L127" s="42" t="inlineStr">
        <is>
          <t>Not assessed</t>
        </is>
      </c>
      <c r="M127" s="40" t="n"/>
      <c r="N127" s="40" t="n"/>
      <c r="O127" s="42" t="inlineStr">
        <is>
          <t>High</t>
        </is>
      </c>
      <c r="P127" s="43">
        <f>IF(H127="N/A","N/A",INDEX(CRIT_MATRIX,MATCH(O127,CRIT_MATRIX_ROWS,0),MATCH(APP_RISK_TIER,CRIT_MATRIX_COLS,0)))</f>
        <v/>
      </c>
      <c r="Q127" s="40" t="n"/>
      <c r="R127" s="40" cm="1">
        <f t="array" ref="R127">COUNTIFS(tblThreatControls[Control ID],$A127,tblThreatControls[Threat applies],"Applies")</f>
        <v/>
      </c>
      <c r="S127" s="40" cm="1">
        <f t="array" ref="S127">IF(R127=0,"",INDEX(RISK_SCALE_NAMES,_xlfn.MAXIFS(tblThreatControls[Threat risk score],tblThreatControls[Control ID],$A127)))</f>
        <v/>
      </c>
      <c r="T127" s="40" cm="1">
        <f t="array" ref="T127">IF(AND(H127="Applicable",OR(L127="Not assessed",L127=""),R127&gt;0),"Yes","No")</f>
        <v/>
      </c>
      <c r="U127" s="40" cm="1">
        <f t="array" ref="U127">IF(AND(H127="Applicable",OR(L127="Gap",L127="Partial coverage")),INDEX(RISK_SCALE_NAMES,MAX(IFERROR(MATCH(P127,RISK_SCALE_NAMES,0),1),IFERROR(MATCH(S127,RISK_SCALE_NAMES,0),0))),"")</f>
        <v/>
      </c>
      <c r="V127" s="40" cm="1">
        <f t="array" ref="V127">_xlfn.TEXTJOIN("; ",TRUE,_xlfn._xlws.FILTER(tblThreatControls[Threat ID],(tblThreatControls[Control ID]=$A127)*(tblThreatControls[Threat applies]="Applies"),""))</f>
        <v/>
      </c>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0" t="inlineStr">
        <is>
          <t>SAST + integration testing</t>
        </is>
      </c>
      <c r="J128" s="40" t="inlineStr">
        <is>
          <t>Deterministic, continuous</t>
        </is>
      </c>
      <c r="K128" s="42" t="inlineStr">
        <is>
          <t>Pipeline</t>
        </is>
      </c>
      <c r="L128" s="42" t="inlineStr">
        <is>
          <t>Not assessed</t>
        </is>
      </c>
      <c r="M128" s="40" t="n"/>
      <c r="N128" s="40" t="n"/>
      <c r="O128" s="42" t="inlineStr">
        <is>
          <t>High</t>
        </is>
      </c>
      <c r="P128" s="43">
        <f>IF(H128="N/A","N/A",INDEX(CRIT_MATRIX,MATCH(O128,CRIT_MATRIX_ROWS,0),MATCH(APP_RISK_TIER,CRIT_MATRIX_COLS,0)))</f>
        <v/>
      </c>
      <c r="Q128" s="40" t="n"/>
      <c r="R128" s="40" cm="1">
        <f t="array" ref="R128">COUNTIFS(tblThreatControls[Control ID],$A128,tblThreatControls[Threat applies],"Applies")</f>
        <v/>
      </c>
      <c r="S128" s="40" cm="1">
        <f t="array" ref="S128">IF(R128=0,"",INDEX(RISK_SCALE_NAMES,_xlfn.MAXIFS(tblThreatControls[Threat risk score],tblThreatControls[Control ID],$A128)))</f>
        <v/>
      </c>
      <c r="T128" s="40" cm="1">
        <f t="array" ref="T128">IF(AND(H128="Applicable",OR(L128="Not assessed",L128=""),R128&gt;0),"Yes","No")</f>
        <v/>
      </c>
      <c r="U128" s="40" cm="1">
        <f t="array" ref="U128">IF(AND(H128="Applicable",OR(L128="Gap",L128="Partial coverage")),INDEX(RISK_SCALE_NAMES,MAX(IFERROR(MATCH(P128,RISK_SCALE_NAMES,0),1),IFERROR(MATCH(S128,RISK_SCALE_NAMES,0),0))),"")</f>
        <v/>
      </c>
      <c r="V128" s="40" cm="1">
        <f t="array" ref="V128">_xlfn.TEXTJOIN("; ",TRUE,_xlfn._xlws.FILTER(tblThreatControls[Threat ID],(tblThreatControls[Control ID]=$A128)*(tblThreatControls[Threat applies]="Applies"),""))</f>
        <v/>
      </c>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0" t="inlineStr">
        <is>
          <t>SAST + integration testing</t>
        </is>
      </c>
      <c r="J129" s="40" t="inlineStr">
        <is>
          <t>Deterministic, continuous</t>
        </is>
      </c>
      <c r="K129" s="42" t="inlineStr">
        <is>
          <t>Pipeline</t>
        </is>
      </c>
      <c r="L129" s="42" t="inlineStr">
        <is>
          <t>Not assessed</t>
        </is>
      </c>
      <c r="M129" s="40" t="n"/>
      <c r="N129" s="40" t="n"/>
      <c r="O129" s="42" t="inlineStr">
        <is>
          <t>High</t>
        </is>
      </c>
      <c r="P129" s="43">
        <f>IF(H129="N/A","N/A",INDEX(CRIT_MATRIX,MATCH(O129,CRIT_MATRIX_ROWS,0),MATCH(APP_RISK_TIER,CRIT_MATRIX_COLS,0)))</f>
        <v/>
      </c>
      <c r="Q129" s="40" t="n"/>
      <c r="R129" s="40" cm="1">
        <f t="array" ref="R129">COUNTIFS(tblThreatControls[Control ID],$A129,tblThreatControls[Threat applies],"Applies")</f>
        <v/>
      </c>
      <c r="S129" s="40" cm="1">
        <f t="array" ref="S129">IF(R129=0,"",INDEX(RISK_SCALE_NAMES,_xlfn.MAXIFS(tblThreatControls[Threat risk score],tblThreatControls[Control ID],$A129)))</f>
        <v/>
      </c>
      <c r="T129" s="40" cm="1">
        <f t="array" ref="T129">IF(AND(H129="Applicable",OR(L129="Not assessed",L129=""),R129&gt;0),"Yes","No")</f>
        <v/>
      </c>
      <c r="U129" s="40" cm="1">
        <f t="array" ref="U129">IF(AND(H129="Applicable",OR(L129="Gap",L129="Partial coverage")),INDEX(RISK_SCALE_NAMES,MAX(IFERROR(MATCH(P129,RISK_SCALE_NAMES,0),1),IFERROR(MATCH(S129,RISK_SCALE_NAMES,0),0))),"")</f>
        <v/>
      </c>
      <c r="V129" s="40" cm="1">
        <f t="array" ref="V129">_xlfn.TEXTJOIN("; ",TRUE,_xlfn._xlws.FILTER(tblThreatControls[Threat ID],(tblThreatControls[Control ID]=$A129)*(tblThreatControls[Threat applies]="Applies"),""))</f>
        <v/>
      </c>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0" t="inlineStr">
        <is>
          <t>SAST + integration testing</t>
        </is>
      </c>
      <c r="J130" s="40" t="inlineStr">
        <is>
          <t>Deterministic, continuous</t>
        </is>
      </c>
      <c r="K130" s="42" t="inlineStr">
        <is>
          <t>Pipeline</t>
        </is>
      </c>
      <c r="L130" s="42" t="inlineStr">
        <is>
          <t>Not assessed</t>
        </is>
      </c>
      <c r="M130" s="40" t="n"/>
      <c r="N130" s="40" t="n"/>
      <c r="O130" s="42" t="inlineStr">
        <is>
          <t>High</t>
        </is>
      </c>
      <c r="P130" s="43">
        <f>IF(H130="N/A","N/A",INDEX(CRIT_MATRIX,MATCH(O130,CRIT_MATRIX_ROWS,0),MATCH(APP_RISK_TIER,CRIT_MATRIX_COLS,0)))</f>
        <v/>
      </c>
      <c r="Q130" s="40" t="n"/>
      <c r="R130" s="40" cm="1">
        <f t="array" ref="R130">COUNTIFS(tblThreatControls[Control ID],$A130,tblThreatControls[Threat applies],"Applies")</f>
        <v/>
      </c>
      <c r="S130" s="40" cm="1">
        <f t="array" ref="S130">IF(R130=0,"",INDEX(RISK_SCALE_NAMES,_xlfn.MAXIFS(tblThreatControls[Threat risk score],tblThreatControls[Control ID],$A130)))</f>
        <v/>
      </c>
      <c r="T130" s="40" cm="1">
        <f t="array" ref="T130">IF(AND(H130="Applicable",OR(L130="Not assessed",L130=""),R130&gt;0),"Yes","No")</f>
        <v/>
      </c>
      <c r="U130" s="40" cm="1">
        <f t="array" ref="U130">IF(AND(H130="Applicable",OR(L130="Gap",L130="Partial coverage")),INDEX(RISK_SCALE_NAMES,MAX(IFERROR(MATCH(P130,RISK_SCALE_NAMES,0),1),IFERROR(MATCH(S130,RISK_SCALE_NAMES,0),0))),"")</f>
        <v/>
      </c>
      <c r="V130" s="40" cm="1">
        <f t="array" ref="V130">_xlfn.TEXTJOIN("; ",TRUE,_xlfn._xlws.FILTER(tblThreatControls[Threat ID],(tblThreatControls[Control ID]=$A130)*(tblThreatControls[Threat applies]="Applies"),""))</f>
        <v/>
      </c>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0" t="inlineStr">
        <is>
          <t>SAST + integration testing</t>
        </is>
      </c>
      <c r="J131" s="40" t="inlineStr">
        <is>
          <t>Deterministic, continuous</t>
        </is>
      </c>
      <c r="K131" s="42" t="inlineStr">
        <is>
          <t>Pipeline</t>
        </is>
      </c>
      <c r="L131" s="42" t="inlineStr">
        <is>
          <t>Not assessed</t>
        </is>
      </c>
      <c r="M131" s="40" t="n"/>
      <c r="N131" s="40" t="n"/>
      <c r="O131" s="42" t="inlineStr">
        <is>
          <t>High</t>
        </is>
      </c>
      <c r="P131" s="43">
        <f>IF(H131="N/A","N/A",INDEX(CRIT_MATRIX,MATCH(O131,CRIT_MATRIX_ROWS,0),MATCH(APP_RISK_TIER,CRIT_MATRIX_COLS,0)))</f>
        <v/>
      </c>
      <c r="Q131" s="40" t="n"/>
      <c r="R131" s="40" cm="1">
        <f t="array" ref="R131">COUNTIFS(tblThreatControls[Control ID],$A131,tblThreatControls[Threat applies],"Applies")</f>
        <v/>
      </c>
      <c r="S131" s="40" cm="1">
        <f t="array" ref="S131">IF(R131=0,"",INDEX(RISK_SCALE_NAMES,_xlfn.MAXIFS(tblThreatControls[Threat risk score],tblThreatControls[Control ID],$A131)))</f>
        <v/>
      </c>
      <c r="T131" s="40" cm="1">
        <f t="array" ref="T131">IF(AND(H131="Applicable",OR(L131="Not assessed",L131=""),R131&gt;0),"Yes","No")</f>
        <v/>
      </c>
      <c r="U131" s="40" cm="1">
        <f t="array" ref="U131">IF(AND(H131="Applicable",OR(L131="Gap",L131="Partial coverage")),INDEX(RISK_SCALE_NAMES,MAX(IFERROR(MATCH(P131,RISK_SCALE_NAMES,0),1),IFERROR(MATCH(S131,RISK_SCALE_NAMES,0),0))),"")</f>
        <v/>
      </c>
      <c r="V131" s="40" cm="1">
        <f t="array" ref="V131">_xlfn.TEXTJOIN("; ",TRUE,_xlfn._xlws.FILTER(tblThreatControls[Threat ID],(tblThreatControls[Control ID]=$A131)*(tblThreatControls[Threat applies]="Applies"),""))</f>
        <v/>
      </c>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0" t="inlineStr">
        <is>
          <t>SAST + integration testing</t>
        </is>
      </c>
      <c r="J132" s="40" t="inlineStr">
        <is>
          <t>Deterministic, continuous</t>
        </is>
      </c>
      <c r="K132" s="42" t="inlineStr">
        <is>
          <t>Pipeline</t>
        </is>
      </c>
      <c r="L132" s="42" t="inlineStr">
        <is>
          <t>Not assessed</t>
        </is>
      </c>
      <c r="M132" s="40" t="n"/>
      <c r="N132" s="40" t="n"/>
      <c r="O132" s="42" t="inlineStr">
        <is>
          <t>High</t>
        </is>
      </c>
      <c r="P132" s="43">
        <f>IF(H132="N/A","N/A",INDEX(CRIT_MATRIX,MATCH(O132,CRIT_MATRIX_ROWS,0),MATCH(APP_RISK_TIER,CRIT_MATRIX_COLS,0)))</f>
        <v/>
      </c>
      <c r="Q132" s="40" t="n"/>
      <c r="R132" s="40" cm="1">
        <f t="array" ref="R132">COUNTIFS(tblThreatControls[Control ID],$A132,tblThreatControls[Threat applies],"Applies")</f>
        <v/>
      </c>
      <c r="S132" s="40" cm="1">
        <f t="array" ref="S132">IF(R132=0,"",INDEX(RISK_SCALE_NAMES,_xlfn.MAXIFS(tblThreatControls[Threat risk score],tblThreatControls[Control ID],$A132)))</f>
        <v/>
      </c>
      <c r="T132" s="40" cm="1">
        <f t="array" ref="T132">IF(AND(H132="Applicable",OR(L132="Not assessed",L132=""),R132&gt;0),"Yes","No")</f>
        <v/>
      </c>
      <c r="U132" s="40" cm="1">
        <f t="array" ref="U132">IF(AND(H132="Applicable",OR(L132="Gap",L132="Partial coverage")),INDEX(RISK_SCALE_NAMES,MAX(IFERROR(MATCH(P132,RISK_SCALE_NAMES,0),1),IFERROR(MATCH(S132,RISK_SCALE_NAMES,0),0))),"")</f>
        <v/>
      </c>
      <c r="V132" s="40" cm="1">
        <f t="array" ref="V132">_xlfn.TEXTJOIN("; ",TRUE,_xlfn._xlws.FILTER(tblThreatControls[Threat ID],(tblThreatControls[Control ID]=$A132)*(tblThreatControls[Threat applies]="Applies"),""))</f>
        <v/>
      </c>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0" t="inlineStr">
        <is>
          <t>SAST + integration testing</t>
        </is>
      </c>
      <c r="J133" s="40" t="inlineStr">
        <is>
          <t>Deterministic, continuous</t>
        </is>
      </c>
      <c r="K133" s="42" t="inlineStr">
        <is>
          <t>Pipeline</t>
        </is>
      </c>
      <c r="L133" s="42" t="inlineStr">
        <is>
          <t>Not assessed</t>
        </is>
      </c>
      <c r="M133" s="40" t="n"/>
      <c r="N133" s="40" t="n"/>
      <c r="O133" s="42" t="inlineStr">
        <is>
          <t>High</t>
        </is>
      </c>
      <c r="P133" s="43">
        <f>IF(H133="N/A","N/A",INDEX(CRIT_MATRIX,MATCH(O133,CRIT_MATRIX_ROWS,0),MATCH(APP_RISK_TIER,CRIT_MATRIX_COLS,0)))</f>
        <v/>
      </c>
      <c r="Q133" s="40" t="n"/>
      <c r="R133" s="40" cm="1">
        <f t="array" ref="R133">COUNTIFS(tblThreatControls[Control ID],$A133,tblThreatControls[Threat applies],"Applies")</f>
        <v/>
      </c>
      <c r="S133" s="40" cm="1">
        <f t="array" ref="S133">IF(R133=0,"",INDEX(RISK_SCALE_NAMES,_xlfn.MAXIFS(tblThreatControls[Threat risk score],tblThreatControls[Control ID],$A133)))</f>
        <v/>
      </c>
      <c r="T133" s="40" cm="1">
        <f t="array" ref="T133">IF(AND(H133="Applicable",OR(L133="Not assessed",L133=""),R133&gt;0),"Yes","No")</f>
        <v/>
      </c>
      <c r="U133" s="40" cm="1">
        <f t="array" ref="U133">IF(AND(H133="Applicable",OR(L133="Gap",L133="Partial coverage")),INDEX(RISK_SCALE_NAMES,MAX(IFERROR(MATCH(P133,RISK_SCALE_NAMES,0),1),IFERROR(MATCH(S133,RISK_SCALE_NAMES,0),0))),"")</f>
        <v/>
      </c>
      <c r="V133" s="40" cm="1">
        <f t="array" ref="V133">_xlfn.TEXTJOIN("; ",TRUE,_xlfn._xlws.FILTER(tblThreatControls[Threat ID],(tblThreatControls[Control ID]=$A133)*(tblThreatControls[Threat applies]="Applies"),""))</f>
        <v/>
      </c>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0" t="inlineStr">
        <is>
          <t>SAST + integration testing</t>
        </is>
      </c>
      <c r="J134" s="40" t="inlineStr">
        <is>
          <t>Deterministic, continuous</t>
        </is>
      </c>
      <c r="K134" s="42" t="inlineStr">
        <is>
          <t>Pipeline</t>
        </is>
      </c>
      <c r="L134" s="42" t="inlineStr">
        <is>
          <t>Not assessed</t>
        </is>
      </c>
      <c r="M134" s="40" t="n"/>
      <c r="N134" s="40" t="n"/>
      <c r="O134" s="42" t="inlineStr">
        <is>
          <t>High</t>
        </is>
      </c>
      <c r="P134" s="43">
        <f>IF(H134="N/A","N/A",INDEX(CRIT_MATRIX,MATCH(O134,CRIT_MATRIX_ROWS,0),MATCH(APP_RISK_TIER,CRIT_MATRIX_COLS,0)))</f>
        <v/>
      </c>
      <c r="Q134" s="40" t="n"/>
      <c r="R134" s="40" cm="1">
        <f t="array" ref="R134">COUNTIFS(tblThreatControls[Control ID],$A134,tblThreatControls[Threat applies],"Applies")</f>
        <v/>
      </c>
      <c r="S134" s="40" cm="1">
        <f t="array" ref="S134">IF(R134=0,"",INDEX(RISK_SCALE_NAMES,_xlfn.MAXIFS(tblThreatControls[Threat risk score],tblThreatControls[Control ID],$A134)))</f>
        <v/>
      </c>
      <c r="T134" s="40" cm="1">
        <f t="array" ref="T134">IF(AND(H134="Applicable",OR(L134="Not assessed",L134=""),R134&gt;0),"Yes","No")</f>
        <v/>
      </c>
      <c r="U134" s="40" cm="1">
        <f t="array" ref="U134">IF(AND(H134="Applicable",OR(L134="Gap",L134="Partial coverage")),INDEX(RISK_SCALE_NAMES,MAX(IFERROR(MATCH(P134,RISK_SCALE_NAMES,0),1),IFERROR(MATCH(S134,RISK_SCALE_NAMES,0),0))),"")</f>
        <v/>
      </c>
      <c r="V134" s="40" cm="1">
        <f t="array" ref="V134">_xlfn.TEXTJOIN("; ",TRUE,_xlfn._xlws.FILTER(tblThreatControls[Threat ID],(tblThreatControls[Control ID]=$A134)*(tblThreatControls[Threat applies]="Applies"),""))</f>
        <v/>
      </c>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0" t="inlineStr">
        <is>
          <t>SAST + integration testing</t>
        </is>
      </c>
      <c r="J135" s="40" t="inlineStr">
        <is>
          <t>Deterministic, continuous</t>
        </is>
      </c>
      <c r="K135" s="42" t="inlineStr">
        <is>
          <t>Pipeline</t>
        </is>
      </c>
      <c r="L135" s="42" t="inlineStr">
        <is>
          <t>Not assessed</t>
        </is>
      </c>
      <c r="M135" s="40" t="n"/>
      <c r="N135" s="40" t="n"/>
      <c r="O135" s="42" t="inlineStr">
        <is>
          <t>High</t>
        </is>
      </c>
      <c r="P135" s="43">
        <f>IF(H135="N/A","N/A",INDEX(CRIT_MATRIX,MATCH(O135,CRIT_MATRIX_ROWS,0),MATCH(APP_RISK_TIER,CRIT_MATRIX_COLS,0)))</f>
        <v/>
      </c>
      <c r="Q135" s="40" t="n"/>
      <c r="R135" s="40" cm="1">
        <f t="array" ref="R135">COUNTIFS(tblThreatControls[Control ID],$A135,tblThreatControls[Threat applies],"Applies")</f>
        <v/>
      </c>
      <c r="S135" s="40" cm="1">
        <f t="array" ref="S135">IF(R135=0,"",INDEX(RISK_SCALE_NAMES,_xlfn.MAXIFS(tblThreatControls[Threat risk score],tblThreatControls[Control ID],$A135)))</f>
        <v/>
      </c>
      <c r="T135" s="40" cm="1">
        <f t="array" ref="T135">IF(AND(H135="Applicable",OR(L135="Not assessed",L135=""),R135&gt;0),"Yes","No")</f>
        <v/>
      </c>
      <c r="U135" s="40" cm="1">
        <f t="array" ref="U135">IF(AND(H135="Applicable",OR(L135="Gap",L135="Partial coverage")),INDEX(RISK_SCALE_NAMES,MAX(IFERROR(MATCH(P135,RISK_SCALE_NAMES,0),1),IFERROR(MATCH(S135,RISK_SCALE_NAMES,0),0))),"")</f>
        <v/>
      </c>
      <c r="V135" s="40" cm="1">
        <f t="array" ref="V135">_xlfn.TEXTJOIN("; ",TRUE,_xlfn._xlws.FILTER(tblThreatControls[Threat ID],(tblThreatControls[Control ID]=$A135)*(tblThreatControls[Threat applies]="Applies"),""))</f>
        <v/>
      </c>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0" t="inlineStr">
        <is>
          <t>SAST + integration testing</t>
        </is>
      </c>
      <c r="J136" s="40" t="inlineStr">
        <is>
          <t>Deterministic, continuous</t>
        </is>
      </c>
      <c r="K136" s="42" t="inlineStr">
        <is>
          <t>Pipeline</t>
        </is>
      </c>
      <c r="L136" s="42" t="inlineStr">
        <is>
          <t>Not assessed</t>
        </is>
      </c>
      <c r="M136" s="40" t="n"/>
      <c r="N136" s="40" t="n"/>
      <c r="O136" s="42" t="inlineStr">
        <is>
          <t>High</t>
        </is>
      </c>
      <c r="P136" s="43">
        <f>IF(H136="N/A","N/A",INDEX(CRIT_MATRIX,MATCH(O136,CRIT_MATRIX_ROWS,0),MATCH(APP_RISK_TIER,CRIT_MATRIX_COLS,0)))</f>
        <v/>
      </c>
      <c r="Q136" s="40" t="n"/>
      <c r="R136" s="40" cm="1">
        <f t="array" ref="R136">COUNTIFS(tblThreatControls[Control ID],$A136,tblThreatControls[Threat applies],"Applies")</f>
        <v/>
      </c>
      <c r="S136" s="40" cm="1">
        <f t="array" ref="S136">IF(R136=0,"",INDEX(RISK_SCALE_NAMES,_xlfn.MAXIFS(tblThreatControls[Threat risk score],tblThreatControls[Control ID],$A136)))</f>
        <v/>
      </c>
      <c r="T136" s="40" cm="1">
        <f t="array" ref="T136">IF(AND(H136="Applicable",OR(L136="Not assessed",L136=""),R136&gt;0),"Yes","No")</f>
        <v/>
      </c>
      <c r="U136" s="40" cm="1">
        <f t="array" ref="U136">IF(AND(H136="Applicable",OR(L136="Gap",L136="Partial coverage")),INDEX(RISK_SCALE_NAMES,MAX(IFERROR(MATCH(P136,RISK_SCALE_NAMES,0),1),IFERROR(MATCH(S136,RISK_SCALE_NAMES,0),0))),"")</f>
        <v/>
      </c>
      <c r="V136" s="40" cm="1">
        <f t="array" ref="V136">_xlfn.TEXTJOIN("; ",TRUE,_xlfn._xlws.FILTER(tblThreatControls[Threat ID],(tblThreatControls[Control ID]=$A136)*(tblThreatControls[Threat applies]="Applies"),""))</f>
        <v/>
      </c>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0" t="inlineStr">
        <is>
          <t>SAST + integration testing</t>
        </is>
      </c>
      <c r="J137" s="40" t="inlineStr">
        <is>
          <t>Deterministic, continuous</t>
        </is>
      </c>
      <c r="K137" s="42" t="inlineStr">
        <is>
          <t>Pipeline</t>
        </is>
      </c>
      <c r="L137" s="42" t="inlineStr">
        <is>
          <t>Not assessed</t>
        </is>
      </c>
      <c r="M137" s="40" t="n"/>
      <c r="N137" s="40" t="n"/>
      <c r="O137" s="42" t="inlineStr">
        <is>
          <t>High</t>
        </is>
      </c>
      <c r="P137" s="43">
        <f>IF(H137="N/A","N/A",INDEX(CRIT_MATRIX,MATCH(O137,CRIT_MATRIX_ROWS,0),MATCH(APP_RISK_TIER,CRIT_MATRIX_COLS,0)))</f>
        <v/>
      </c>
      <c r="Q137" s="40" t="n"/>
      <c r="R137" s="40" cm="1">
        <f t="array" ref="R137">COUNTIFS(tblThreatControls[Control ID],$A137,tblThreatControls[Threat applies],"Applies")</f>
        <v/>
      </c>
      <c r="S137" s="40" cm="1">
        <f t="array" ref="S137">IF(R137=0,"",INDEX(RISK_SCALE_NAMES,_xlfn.MAXIFS(tblThreatControls[Threat risk score],tblThreatControls[Control ID],$A137)))</f>
        <v/>
      </c>
      <c r="T137" s="40" cm="1">
        <f t="array" ref="T137">IF(AND(H137="Applicable",OR(L137="Not assessed",L137=""),R137&gt;0),"Yes","No")</f>
        <v/>
      </c>
      <c r="U137" s="40" cm="1">
        <f t="array" ref="U137">IF(AND(H137="Applicable",OR(L137="Gap",L137="Partial coverage")),INDEX(RISK_SCALE_NAMES,MAX(IFERROR(MATCH(P137,RISK_SCALE_NAMES,0),1),IFERROR(MATCH(S137,RISK_SCALE_NAMES,0),0))),"")</f>
        <v/>
      </c>
      <c r="V137" s="40" cm="1">
        <f t="array" ref="V137">_xlfn.TEXTJOIN("; ",TRUE,_xlfn._xlws.FILTER(tblThreatControls[Threat ID],(tblThreatControls[Control ID]=$A137)*(tblThreatControls[Threat applies]="Applies"),""))</f>
        <v/>
      </c>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0" t="inlineStr">
        <is>
          <t>SAST + integration testing</t>
        </is>
      </c>
      <c r="J138" s="40" t="inlineStr">
        <is>
          <t>Deterministic, continuous</t>
        </is>
      </c>
      <c r="K138" s="42" t="inlineStr">
        <is>
          <t>Pipeline</t>
        </is>
      </c>
      <c r="L138" s="42" t="inlineStr">
        <is>
          <t>Not assessed</t>
        </is>
      </c>
      <c r="M138" s="40" t="n"/>
      <c r="N138" s="40" t="n"/>
      <c r="O138" s="42" t="inlineStr">
        <is>
          <t>High</t>
        </is>
      </c>
      <c r="P138" s="43">
        <f>IF(H138="N/A","N/A",INDEX(CRIT_MATRIX,MATCH(O138,CRIT_MATRIX_ROWS,0),MATCH(APP_RISK_TIER,CRIT_MATRIX_COLS,0)))</f>
        <v/>
      </c>
      <c r="Q138" s="40" t="n"/>
      <c r="R138" s="40" cm="1">
        <f t="array" ref="R138">COUNTIFS(tblThreatControls[Control ID],$A138,tblThreatControls[Threat applies],"Applies")</f>
        <v/>
      </c>
      <c r="S138" s="40" cm="1">
        <f t="array" ref="S138">IF(R138=0,"",INDEX(RISK_SCALE_NAMES,_xlfn.MAXIFS(tblThreatControls[Threat risk score],tblThreatControls[Control ID],$A138)))</f>
        <v/>
      </c>
      <c r="T138" s="40" cm="1">
        <f t="array" ref="T138">IF(AND(H138="Applicable",OR(L138="Not assessed",L138=""),R138&gt;0),"Yes","No")</f>
        <v/>
      </c>
      <c r="U138" s="40" cm="1">
        <f t="array" ref="U138">IF(AND(H138="Applicable",OR(L138="Gap",L138="Partial coverage")),INDEX(RISK_SCALE_NAMES,MAX(IFERROR(MATCH(P138,RISK_SCALE_NAMES,0),1),IFERROR(MATCH(S138,RISK_SCALE_NAMES,0),0))),"")</f>
        <v/>
      </c>
      <c r="V138" s="40" cm="1">
        <f t="array" ref="V138">_xlfn.TEXTJOIN("; ",TRUE,_xlfn._xlws.FILTER(tblThreatControls[Threat ID],(tblThreatControls[Control ID]=$A138)*(tblThreatControls[Threat applies]="Applies"),""))</f>
        <v/>
      </c>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0" t="inlineStr">
        <is>
          <t>SAST + integration testing</t>
        </is>
      </c>
      <c r="J139" s="40" t="inlineStr">
        <is>
          <t>Deterministic, continuous</t>
        </is>
      </c>
      <c r="K139" s="42" t="inlineStr">
        <is>
          <t>Pipeline</t>
        </is>
      </c>
      <c r="L139" s="42" t="inlineStr">
        <is>
          <t>Not assessed</t>
        </is>
      </c>
      <c r="M139" s="40" t="n"/>
      <c r="N139" s="40" t="n"/>
      <c r="O139" s="42" t="inlineStr">
        <is>
          <t>High</t>
        </is>
      </c>
      <c r="P139" s="43">
        <f>IF(H139="N/A","N/A",INDEX(CRIT_MATRIX,MATCH(O139,CRIT_MATRIX_ROWS,0),MATCH(APP_RISK_TIER,CRIT_MATRIX_COLS,0)))</f>
        <v/>
      </c>
      <c r="Q139" s="40" t="n"/>
      <c r="R139" s="40" cm="1">
        <f t="array" ref="R139">COUNTIFS(tblThreatControls[Control ID],$A139,tblThreatControls[Threat applies],"Applies")</f>
        <v/>
      </c>
      <c r="S139" s="40" cm="1">
        <f t="array" ref="S139">IF(R139=0,"",INDEX(RISK_SCALE_NAMES,_xlfn.MAXIFS(tblThreatControls[Threat risk score],tblThreatControls[Control ID],$A139)))</f>
        <v/>
      </c>
      <c r="T139" s="40" cm="1">
        <f t="array" ref="T139">IF(AND(H139="Applicable",OR(L139="Not assessed",L139=""),R139&gt;0),"Yes","No")</f>
        <v/>
      </c>
      <c r="U139" s="40" cm="1">
        <f t="array" ref="U139">IF(AND(H139="Applicable",OR(L139="Gap",L139="Partial coverage")),INDEX(RISK_SCALE_NAMES,MAX(IFERROR(MATCH(P139,RISK_SCALE_NAMES,0),1),IFERROR(MATCH(S139,RISK_SCALE_NAMES,0),0))),"")</f>
        <v/>
      </c>
      <c r="V139" s="40" cm="1">
        <f t="array" ref="V139">_xlfn.TEXTJOIN("; ",TRUE,_xlfn._xlws.FILTER(tblThreatControls[Threat ID],(tblThreatControls[Control ID]=$A139)*(tblThreatControls[Threat applies]="Applies"),""))</f>
        <v/>
      </c>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0" t="inlineStr">
        <is>
          <t>SAST + integration testing</t>
        </is>
      </c>
      <c r="J140" s="40" t="inlineStr">
        <is>
          <t>Deterministic, continuous</t>
        </is>
      </c>
      <c r="K140" s="42" t="inlineStr">
        <is>
          <t>Pipeline</t>
        </is>
      </c>
      <c r="L140" s="42" t="inlineStr">
        <is>
          <t>Not assessed</t>
        </is>
      </c>
      <c r="M140" s="40" t="n"/>
      <c r="N140" s="40" t="n"/>
      <c r="O140" s="42" t="inlineStr">
        <is>
          <t>High</t>
        </is>
      </c>
      <c r="P140" s="43">
        <f>IF(H140="N/A","N/A",INDEX(CRIT_MATRIX,MATCH(O140,CRIT_MATRIX_ROWS,0),MATCH(APP_RISK_TIER,CRIT_MATRIX_COLS,0)))</f>
        <v/>
      </c>
      <c r="Q140" s="40" t="n"/>
      <c r="R140" s="40" cm="1">
        <f t="array" ref="R140">COUNTIFS(tblThreatControls[Control ID],$A140,tblThreatControls[Threat applies],"Applies")</f>
        <v/>
      </c>
      <c r="S140" s="40" cm="1">
        <f t="array" ref="S140">IF(R140=0,"",INDEX(RISK_SCALE_NAMES,_xlfn.MAXIFS(tblThreatControls[Threat risk score],tblThreatControls[Control ID],$A140)))</f>
        <v/>
      </c>
      <c r="T140" s="40" cm="1">
        <f t="array" ref="T140">IF(AND(H140="Applicable",OR(L140="Not assessed",L140=""),R140&gt;0),"Yes","No")</f>
        <v/>
      </c>
      <c r="U140" s="40" cm="1">
        <f t="array" ref="U140">IF(AND(H140="Applicable",OR(L140="Gap",L140="Partial coverage")),INDEX(RISK_SCALE_NAMES,MAX(IFERROR(MATCH(P140,RISK_SCALE_NAMES,0),1),IFERROR(MATCH(S140,RISK_SCALE_NAMES,0),0))),"")</f>
        <v/>
      </c>
      <c r="V140" s="40" cm="1">
        <f t="array" ref="V140">_xlfn.TEXTJOIN("; ",TRUE,_xlfn._xlws.FILTER(tblThreatControls[Threat ID],(tblThreatControls[Control ID]=$A140)*(tblThreatControls[Threat applies]="Applies"),""))</f>
        <v/>
      </c>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0" t="inlineStr">
        <is>
          <t>SAST + integration testing</t>
        </is>
      </c>
      <c r="J141" s="40" t="inlineStr">
        <is>
          <t>Deterministic, continuous</t>
        </is>
      </c>
      <c r="K141" s="42" t="inlineStr">
        <is>
          <t>Pipeline</t>
        </is>
      </c>
      <c r="L141" s="42" t="inlineStr">
        <is>
          <t>Not assessed</t>
        </is>
      </c>
      <c r="M141" s="40" t="n"/>
      <c r="N141" s="40" t="n"/>
      <c r="O141" s="42" t="inlineStr">
        <is>
          <t>High</t>
        </is>
      </c>
      <c r="P141" s="43">
        <f>IF(H141="N/A","N/A",INDEX(CRIT_MATRIX,MATCH(O141,CRIT_MATRIX_ROWS,0),MATCH(APP_RISK_TIER,CRIT_MATRIX_COLS,0)))</f>
        <v/>
      </c>
      <c r="Q141" s="40" t="n"/>
      <c r="R141" s="40" cm="1">
        <f t="array" ref="R141">COUNTIFS(tblThreatControls[Control ID],$A141,tblThreatControls[Threat applies],"Applies")</f>
        <v/>
      </c>
      <c r="S141" s="40" cm="1">
        <f t="array" ref="S141">IF(R141=0,"",INDEX(RISK_SCALE_NAMES,_xlfn.MAXIFS(tblThreatControls[Threat risk score],tblThreatControls[Control ID],$A141)))</f>
        <v/>
      </c>
      <c r="T141" s="40" cm="1">
        <f t="array" ref="T141">IF(AND(H141="Applicable",OR(L141="Not assessed",L141=""),R141&gt;0),"Yes","No")</f>
        <v/>
      </c>
      <c r="U141" s="40" cm="1">
        <f t="array" ref="U141">IF(AND(H141="Applicable",OR(L141="Gap",L141="Partial coverage")),INDEX(RISK_SCALE_NAMES,MAX(IFERROR(MATCH(P141,RISK_SCALE_NAMES,0),1),IFERROR(MATCH(S141,RISK_SCALE_NAMES,0),0))),"")</f>
        <v/>
      </c>
      <c r="V141" s="40" cm="1">
        <f t="array" ref="V141">_xlfn.TEXTJOIN("; ",TRUE,_xlfn._xlws.FILTER(tblThreatControls[Threat ID],(tblThreatControls[Control ID]=$A141)*(tblThreatControls[Threat applies]="Applies"),""))</f>
        <v/>
      </c>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0" t="inlineStr">
        <is>
          <t>SAST + integration testing</t>
        </is>
      </c>
      <c r="J142" s="40" t="inlineStr">
        <is>
          <t>Deterministic, continuous</t>
        </is>
      </c>
      <c r="K142" s="42" t="inlineStr">
        <is>
          <t>Pipeline</t>
        </is>
      </c>
      <c r="L142" s="42" t="inlineStr">
        <is>
          <t>Not assessed</t>
        </is>
      </c>
      <c r="M142" s="40" t="n"/>
      <c r="N142" s="40" t="n"/>
      <c r="O142" s="42" t="inlineStr">
        <is>
          <t>High</t>
        </is>
      </c>
      <c r="P142" s="43">
        <f>IF(H142="N/A","N/A",INDEX(CRIT_MATRIX,MATCH(O142,CRIT_MATRIX_ROWS,0),MATCH(APP_RISK_TIER,CRIT_MATRIX_COLS,0)))</f>
        <v/>
      </c>
      <c r="Q142" s="40" t="n"/>
      <c r="R142" s="40" cm="1">
        <f t="array" ref="R142">COUNTIFS(tblThreatControls[Control ID],$A142,tblThreatControls[Threat applies],"Applies")</f>
        <v/>
      </c>
      <c r="S142" s="40" cm="1">
        <f t="array" ref="S142">IF(R142=0,"",INDEX(RISK_SCALE_NAMES,_xlfn.MAXIFS(tblThreatControls[Threat risk score],tblThreatControls[Control ID],$A142)))</f>
        <v/>
      </c>
      <c r="T142" s="40" cm="1">
        <f t="array" ref="T142">IF(AND(H142="Applicable",OR(L142="Not assessed",L142=""),R142&gt;0),"Yes","No")</f>
        <v/>
      </c>
      <c r="U142" s="40" cm="1">
        <f t="array" ref="U142">IF(AND(H142="Applicable",OR(L142="Gap",L142="Partial coverage")),INDEX(RISK_SCALE_NAMES,MAX(IFERROR(MATCH(P142,RISK_SCALE_NAMES,0),1),IFERROR(MATCH(S142,RISK_SCALE_NAMES,0),0))),"")</f>
        <v/>
      </c>
      <c r="V142" s="40" cm="1">
        <f t="array" ref="V142">_xlfn.TEXTJOIN("; ",TRUE,_xlfn._xlws.FILTER(tblThreatControls[Threat ID],(tblThreatControls[Control ID]=$A142)*(tblThreatControls[Threat applies]="Applies"),""))</f>
        <v/>
      </c>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0" t="inlineStr">
        <is>
          <t>SAST + integration testing</t>
        </is>
      </c>
      <c r="J143" s="40" t="inlineStr">
        <is>
          <t>Deterministic, continuous</t>
        </is>
      </c>
      <c r="K143" s="42" t="inlineStr">
        <is>
          <t>Pipeline</t>
        </is>
      </c>
      <c r="L143" s="42" t="inlineStr">
        <is>
          <t>Not assessed</t>
        </is>
      </c>
      <c r="M143" s="40" t="n"/>
      <c r="N143" s="40" t="n"/>
      <c r="O143" s="42" t="inlineStr">
        <is>
          <t>High</t>
        </is>
      </c>
      <c r="P143" s="43">
        <f>IF(H143="N/A","N/A",INDEX(CRIT_MATRIX,MATCH(O143,CRIT_MATRIX_ROWS,0),MATCH(APP_RISK_TIER,CRIT_MATRIX_COLS,0)))</f>
        <v/>
      </c>
      <c r="Q143" s="40" t="n"/>
      <c r="R143" s="40" cm="1">
        <f t="array" ref="R143">COUNTIFS(tblThreatControls[Control ID],$A143,tblThreatControls[Threat applies],"Applies")</f>
        <v/>
      </c>
      <c r="S143" s="40" cm="1">
        <f t="array" ref="S143">IF(R143=0,"",INDEX(RISK_SCALE_NAMES,_xlfn.MAXIFS(tblThreatControls[Threat risk score],tblThreatControls[Control ID],$A143)))</f>
        <v/>
      </c>
      <c r="T143" s="40" cm="1">
        <f t="array" ref="T143">IF(AND(H143="Applicable",OR(L143="Not assessed",L143=""),R143&gt;0),"Yes","No")</f>
        <v/>
      </c>
      <c r="U143" s="40" cm="1">
        <f t="array" ref="U143">IF(AND(H143="Applicable",OR(L143="Gap",L143="Partial coverage")),INDEX(RISK_SCALE_NAMES,MAX(IFERROR(MATCH(P143,RISK_SCALE_NAMES,0),1),IFERROR(MATCH(S143,RISK_SCALE_NAMES,0),0))),"")</f>
        <v/>
      </c>
      <c r="V143" s="40" cm="1">
        <f t="array" ref="V143">_xlfn.TEXTJOIN("; ",TRUE,_xlfn._xlws.FILTER(tblThreatControls[Threat ID],(tblThreatControls[Control ID]=$A143)*(tblThreatControls[Threat applies]="Applies"),""))</f>
        <v/>
      </c>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0" t="inlineStr">
        <is>
          <t>SAST + integration testing</t>
        </is>
      </c>
      <c r="J144" s="40" t="inlineStr">
        <is>
          <t>Deterministic, continuous</t>
        </is>
      </c>
      <c r="K144" s="42" t="inlineStr">
        <is>
          <t>Pipeline</t>
        </is>
      </c>
      <c r="L144" s="42" t="inlineStr">
        <is>
          <t>Not assessed</t>
        </is>
      </c>
      <c r="M144" s="40" t="n"/>
      <c r="N144" s="40" t="n"/>
      <c r="O144" s="42" t="inlineStr">
        <is>
          <t>High</t>
        </is>
      </c>
      <c r="P144" s="43">
        <f>IF(H144="N/A","N/A",INDEX(CRIT_MATRIX,MATCH(O144,CRIT_MATRIX_ROWS,0),MATCH(APP_RISK_TIER,CRIT_MATRIX_COLS,0)))</f>
        <v/>
      </c>
      <c r="Q144" s="40" t="n"/>
      <c r="R144" s="40" cm="1">
        <f t="array" ref="R144">COUNTIFS(tblThreatControls[Control ID],$A144,tblThreatControls[Threat applies],"Applies")</f>
        <v/>
      </c>
      <c r="S144" s="40" cm="1">
        <f t="array" ref="S144">IF(R144=0,"",INDEX(RISK_SCALE_NAMES,_xlfn.MAXIFS(tblThreatControls[Threat risk score],tblThreatControls[Control ID],$A144)))</f>
        <v/>
      </c>
      <c r="T144" s="40" cm="1">
        <f t="array" ref="T144">IF(AND(H144="Applicable",OR(L144="Not assessed",L144=""),R144&gt;0),"Yes","No")</f>
        <v/>
      </c>
      <c r="U144" s="40" cm="1">
        <f t="array" ref="U144">IF(AND(H144="Applicable",OR(L144="Gap",L144="Partial coverage")),INDEX(RISK_SCALE_NAMES,MAX(IFERROR(MATCH(P144,RISK_SCALE_NAMES,0),1),IFERROR(MATCH(S144,RISK_SCALE_NAMES,0),0))),"")</f>
        <v/>
      </c>
      <c r="V144" s="40" cm="1">
        <f t="array" ref="V144">_xlfn.TEXTJOIN("; ",TRUE,_xlfn._xlws.FILTER(tblThreatControls[Threat ID],(tblThreatControls[Control ID]=$A144)*(tblThreatControls[Threat applies]="Applies"),""))</f>
        <v/>
      </c>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0" t="inlineStr">
        <is>
          <t>SAST + integration testing</t>
        </is>
      </c>
      <c r="J145" s="40" t="inlineStr">
        <is>
          <t>Deterministic, continuous</t>
        </is>
      </c>
      <c r="K145" s="42" t="inlineStr">
        <is>
          <t>Pipeline</t>
        </is>
      </c>
      <c r="L145" s="42" t="inlineStr">
        <is>
          <t>Not assessed</t>
        </is>
      </c>
      <c r="M145" s="40" t="n"/>
      <c r="N145" s="40" t="n"/>
      <c r="O145" s="42" t="inlineStr">
        <is>
          <t>High</t>
        </is>
      </c>
      <c r="P145" s="43">
        <f>IF(H145="N/A","N/A",INDEX(CRIT_MATRIX,MATCH(O145,CRIT_MATRIX_ROWS,0),MATCH(APP_RISK_TIER,CRIT_MATRIX_COLS,0)))</f>
        <v/>
      </c>
      <c r="Q145" s="40" t="n"/>
      <c r="R145" s="40" cm="1">
        <f t="array" ref="R145">COUNTIFS(tblThreatControls[Control ID],$A145,tblThreatControls[Threat applies],"Applies")</f>
        <v/>
      </c>
      <c r="S145" s="40" cm="1">
        <f t="array" ref="S145">IF(R145=0,"",INDEX(RISK_SCALE_NAMES,_xlfn.MAXIFS(tblThreatControls[Threat risk score],tblThreatControls[Control ID],$A145)))</f>
        <v/>
      </c>
      <c r="T145" s="40" cm="1">
        <f t="array" ref="T145">IF(AND(H145="Applicable",OR(L145="Not assessed",L145=""),R145&gt;0),"Yes","No")</f>
        <v/>
      </c>
      <c r="U145" s="40" cm="1">
        <f t="array" ref="U145">IF(AND(H145="Applicable",OR(L145="Gap",L145="Partial coverage")),INDEX(RISK_SCALE_NAMES,MAX(IFERROR(MATCH(P145,RISK_SCALE_NAMES,0),1),IFERROR(MATCH(S145,RISK_SCALE_NAMES,0),0))),"")</f>
        <v/>
      </c>
      <c r="V145" s="40" cm="1">
        <f t="array" ref="V145">_xlfn.TEXTJOIN("; ",TRUE,_xlfn._xlws.FILTER(tblThreatControls[Threat ID],(tblThreatControls[Control ID]=$A145)*(tblThreatControls[Threat applies]="Applies"),""))</f>
        <v/>
      </c>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0" t="inlineStr">
        <is>
          <t>SAST + integration testing</t>
        </is>
      </c>
      <c r="J146" s="40" t="inlineStr">
        <is>
          <t>Deterministic, continuous</t>
        </is>
      </c>
      <c r="K146" s="42" t="inlineStr">
        <is>
          <t>Pipeline</t>
        </is>
      </c>
      <c r="L146" s="42" t="inlineStr">
        <is>
          <t>Not assessed</t>
        </is>
      </c>
      <c r="M146" s="40" t="n"/>
      <c r="N146" s="40" t="n"/>
      <c r="O146" s="42" t="inlineStr">
        <is>
          <t>High</t>
        </is>
      </c>
      <c r="P146" s="43">
        <f>IF(H146="N/A","N/A",INDEX(CRIT_MATRIX,MATCH(O146,CRIT_MATRIX_ROWS,0),MATCH(APP_RISK_TIER,CRIT_MATRIX_COLS,0)))</f>
        <v/>
      </c>
      <c r="Q146" s="40" t="n"/>
      <c r="R146" s="40" cm="1">
        <f t="array" ref="R146">COUNTIFS(tblThreatControls[Control ID],$A146,tblThreatControls[Threat applies],"Applies")</f>
        <v/>
      </c>
      <c r="S146" s="40" cm="1">
        <f t="array" ref="S146">IF(R146=0,"",INDEX(RISK_SCALE_NAMES,_xlfn.MAXIFS(tblThreatControls[Threat risk score],tblThreatControls[Control ID],$A146)))</f>
        <v/>
      </c>
      <c r="T146" s="40" cm="1">
        <f t="array" ref="T146">IF(AND(H146="Applicable",OR(L146="Not assessed",L146=""),R146&gt;0),"Yes","No")</f>
        <v/>
      </c>
      <c r="U146" s="40" cm="1">
        <f t="array" ref="U146">IF(AND(H146="Applicable",OR(L146="Gap",L146="Partial coverage")),INDEX(RISK_SCALE_NAMES,MAX(IFERROR(MATCH(P146,RISK_SCALE_NAMES,0),1),IFERROR(MATCH(S146,RISK_SCALE_NAMES,0),0))),"")</f>
        <v/>
      </c>
      <c r="V146" s="40" cm="1">
        <f t="array" ref="V146">_xlfn.TEXTJOIN("; ",TRUE,_xlfn._xlws.FILTER(tblThreatControls[Threat ID],(tblThreatControls[Control ID]=$A146)*(tblThreatControls[Threat applies]="Applies"),""))</f>
        <v/>
      </c>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0" t="inlineStr">
        <is>
          <t>SAST + integration testing</t>
        </is>
      </c>
      <c r="J147" s="40" t="inlineStr">
        <is>
          <t>Deterministic, continuous</t>
        </is>
      </c>
      <c r="K147" s="42" t="inlineStr">
        <is>
          <t>Pipeline</t>
        </is>
      </c>
      <c r="L147" s="42" t="inlineStr">
        <is>
          <t>Not assessed</t>
        </is>
      </c>
      <c r="M147" s="40" t="n"/>
      <c r="N147" s="40" t="n"/>
      <c r="O147" s="42" t="inlineStr">
        <is>
          <t>High</t>
        </is>
      </c>
      <c r="P147" s="43">
        <f>IF(H147="N/A","N/A",INDEX(CRIT_MATRIX,MATCH(O147,CRIT_MATRIX_ROWS,0),MATCH(APP_RISK_TIER,CRIT_MATRIX_COLS,0)))</f>
        <v/>
      </c>
      <c r="Q147" s="40" t="n"/>
      <c r="R147" s="40" cm="1">
        <f t="array" ref="R147">COUNTIFS(tblThreatControls[Control ID],$A147,tblThreatControls[Threat applies],"Applies")</f>
        <v/>
      </c>
      <c r="S147" s="40" cm="1">
        <f t="array" ref="S147">IF(R147=0,"",INDEX(RISK_SCALE_NAMES,_xlfn.MAXIFS(tblThreatControls[Threat risk score],tblThreatControls[Control ID],$A147)))</f>
        <v/>
      </c>
      <c r="T147" s="40" cm="1">
        <f t="array" ref="T147">IF(AND(H147="Applicable",OR(L147="Not assessed",L147=""),R147&gt;0),"Yes","No")</f>
        <v/>
      </c>
      <c r="U147" s="40" cm="1">
        <f t="array" ref="U147">IF(AND(H147="Applicable",OR(L147="Gap",L147="Partial coverage")),INDEX(RISK_SCALE_NAMES,MAX(IFERROR(MATCH(P147,RISK_SCALE_NAMES,0),1),IFERROR(MATCH(S147,RISK_SCALE_NAMES,0),0))),"")</f>
        <v/>
      </c>
      <c r="V147" s="40" cm="1">
        <f t="array" ref="V147">_xlfn.TEXTJOIN("; ",TRUE,_xlfn._xlws.FILTER(tblThreatControls[Threat ID],(tblThreatControls[Control ID]=$A147)*(tblThreatControls[Threat applies]="Applies"),""))</f>
        <v/>
      </c>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0" t="inlineStr">
        <is>
          <t>SAST + integration testing</t>
        </is>
      </c>
      <c r="J148" s="40" t="inlineStr">
        <is>
          <t>Deterministic, continuous</t>
        </is>
      </c>
      <c r="K148" s="42" t="inlineStr">
        <is>
          <t>Pipeline</t>
        </is>
      </c>
      <c r="L148" s="42" t="inlineStr">
        <is>
          <t>Not assessed</t>
        </is>
      </c>
      <c r="M148" s="40" t="n"/>
      <c r="N148" s="40" t="n"/>
      <c r="O148" s="42" t="inlineStr">
        <is>
          <t>High</t>
        </is>
      </c>
      <c r="P148" s="43">
        <f>IF(H148="N/A","N/A",INDEX(CRIT_MATRIX,MATCH(O148,CRIT_MATRIX_ROWS,0),MATCH(APP_RISK_TIER,CRIT_MATRIX_COLS,0)))</f>
        <v/>
      </c>
      <c r="Q148" s="40" t="n"/>
      <c r="R148" s="40" cm="1">
        <f t="array" ref="R148">COUNTIFS(tblThreatControls[Control ID],$A148,tblThreatControls[Threat applies],"Applies")</f>
        <v/>
      </c>
      <c r="S148" s="40" cm="1">
        <f t="array" ref="S148">IF(R148=0,"",INDEX(RISK_SCALE_NAMES,_xlfn.MAXIFS(tblThreatControls[Threat risk score],tblThreatControls[Control ID],$A148)))</f>
        <v/>
      </c>
      <c r="T148" s="40" cm="1">
        <f t="array" ref="T148">IF(AND(H148="Applicable",OR(L148="Not assessed",L148=""),R148&gt;0),"Yes","No")</f>
        <v/>
      </c>
      <c r="U148" s="40" cm="1">
        <f t="array" ref="U148">IF(AND(H148="Applicable",OR(L148="Gap",L148="Partial coverage")),INDEX(RISK_SCALE_NAMES,MAX(IFERROR(MATCH(P148,RISK_SCALE_NAMES,0),1),IFERROR(MATCH(S148,RISK_SCALE_NAMES,0),0))),"")</f>
        <v/>
      </c>
      <c r="V148" s="40" cm="1">
        <f t="array" ref="V148">_xlfn.TEXTJOIN("; ",TRUE,_xlfn._xlws.FILTER(tblThreatControls[Threat ID],(tblThreatControls[Control ID]=$A148)*(tblThreatControls[Threat applies]="Applies"),""))</f>
        <v/>
      </c>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0" t="inlineStr">
        <is>
          <t>SAST + integration testing</t>
        </is>
      </c>
      <c r="J149" s="40" t="inlineStr">
        <is>
          <t>Deterministic, continuous</t>
        </is>
      </c>
      <c r="K149" s="42" t="inlineStr">
        <is>
          <t>Pipeline</t>
        </is>
      </c>
      <c r="L149" s="42" t="inlineStr">
        <is>
          <t>Not assessed</t>
        </is>
      </c>
      <c r="M149" s="40" t="n"/>
      <c r="N149" s="40" t="n"/>
      <c r="O149" s="42" t="inlineStr">
        <is>
          <t>High</t>
        </is>
      </c>
      <c r="P149" s="43">
        <f>IF(H149="N/A","N/A",INDEX(CRIT_MATRIX,MATCH(O149,CRIT_MATRIX_ROWS,0),MATCH(APP_RISK_TIER,CRIT_MATRIX_COLS,0)))</f>
        <v/>
      </c>
      <c r="Q149" s="40" t="n"/>
      <c r="R149" s="40" cm="1">
        <f t="array" ref="R149">COUNTIFS(tblThreatControls[Control ID],$A149,tblThreatControls[Threat applies],"Applies")</f>
        <v/>
      </c>
      <c r="S149" s="40" cm="1">
        <f t="array" ref="S149">IF(R149=0,"",INDEX(RISK_SCALE_NAMES,_xlfn.MAXIFS(tblThreatControls[Threat risk score],tblThreatControls[Control ID],$A149)))</f>
        <v/>
      </c>
      <c r="T149" s="40" cm="1">
        <f t="array" ref="T149">IF(AND(H149="Applicable",OR(L149="Not assessed",L149=""),R149&gt;0),"Yes","No")</f>
        <v/>
      </c>
      <c r="U149" s="40" cm="1">
        <f t="array" ref="U149">IF(AND(H149="Applicable",OR(L149="Gap",L149="Partial coverage")),INDEX(RISK_SCALE_NAMES,MAX(IFERROR(MATCH(P149,RISK_SCALE_NAMES,0),1),IFERROR(MATCH(S149,RISK_SCALE_NAMES,0),0))),"")</f>
        <v/>
      </c>
      <c r="V149" s="40" cm="1">
        <f t="array" ref="V149">_xlfn.TEXTJOIN("; ",TRUE,_xlfn._xlws.FILTER(tblThreatControls[Threat ID],(tblThreatControls[Control ID]=$A149)*(tblThreatControls[Threat applies]="Applies"),""))</f>
        <v/>
      </c>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0" t="inlineStr">
        <is>
          <t>SAST + integration testing</t>
        </is>
      </c>
      <c r="J150" s="40" t="inlineStr">
        <is>
          <t>Deterministic, continuous</t>
        </is>
      </c>
      <c r="K150" s="42" t="inlineStr">
        <is>
          <t>Pipeline</t>
        </is>
      </c>
      <c r="L150" s="42" t="inlineStr">
        <is>
          <t>Not assessed</t>
        </is>
      </c>
      <c r="M150" s="40" t="n"/>
      <c r="N150" s="40" t="n"/>
      <c r="O150" s="42" t="inlineStr">
        <is>
          <t>High</t>
        </is>
      </c>
      <c r="P150" s="43">
        <f>IF(H150="N/A","N/A",INDEX(CRIT_MATRIX,MATCH(O150,CRIT_MATRIX_ROWS,0),MATCH(APP_RISK_TIER,CRIT_MATRIX_COLS,0)))</f>
        <v/>
      </c>
      <c r="Q150" s="40" t="n"/>
      <c r="R150" s="40" cm="1">
        <f t="array" ref="R150">COUNTIFS(tblThreatControls[Control ID],$A150,tblThreatControls[Threat applies],"Applies")</f>
        <v/>
      </c>
      <c r="S150" s="40" cm="1">
        <f t="array" ref="S150">IF(R150=0,"",INDEX(RISK_SCALE_NAMES,_xlfn.MAXIFS(tblThreatControls[Threat risk score],tblThreatControls[Control ID],$A150)))</f>
        <v/>
      </c>
      <c r="T150" s="40" cm="1">
        <f t="array" ref="T150">IF(AND(H150="Applicable",OR(L150="Not assessed",L150=""),R150&gt;0),"Yes","No")</f>
        <v/>
      </c>
      <c r="U150" s="40" cm="1">
        <f t="array" ref="U150">IF(AND(H150="Applicable",OR(L150="Gap",L150="Partial coverage")),INDEX(RISK_SCALE_NAMES,MAX(IFERROR(MATCH(P150,RISK_SCALE_NAMES,0),1),IFERROR(MATCH(S150,RISK_SCALE_NAMES,0),0))),"")</f>
        <v/>
      </c>
      <c r="V150" s="40" cm="1">
        <f t="array" ref="V150">_xlfn.TEXTJOIN("; ",TRUE,_xlfn._xlws.FILTER(tblThreatControls[Threat ID],(tblThreatControls[Control ID]=$A150)*(tblThreatControls[Threat applies]="Applies"),""))</f>
        <v/>
      </c>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0" t="inlineStr">
        <is>
          <t>SAST + integration testing</t>
        </is>
      </c>
      <c r="J151" s="40" t="inlineStr">
        <is>
          <t>Deterministic, continuous</t>
        </is>
      </c>
      <c r="K151" s="42" t="inlineStr">
        <is>
          <t>Pipeline</t>
        </is>
      </c>
      <c r="L151" s="42" t="inlineStr">
        <is>
          <t>Not assessed</t>
        </is>
      </c>
      <c r="M151" s="40" t="n"/>
      <c r="N151" s="40" t="n"/>
      <c r="O151" s="42" t="inlineStr">
        <is>
          <t>High</t>
        </is>
      </c>
      <c r="P151" s="43">
        <f>IF(H151="N/A","N/A",INDEX(CRIT_MATRIX,MATCH(O151,CRIT_MATRIX_ROWS,0),MATCH(APP_RISK_TIER,CRIT_MATRIX_COLS,0)))</f>
        <v/>
      </c>
      <c r="Q151" s="40" t="n"/>
      <c r="R151" s="40" cm="1">
        <f t="array" ref="R151">COUNTIFS(tblThreatControls[Control ID],$A151,tblThreatControls[Threat applies],"Applies")</f>
        <v/>
      </c>
      <c r="S151" s="40" cm="1">
        <f t="array" ref="S151">IF(R151=0,"",INDEX(RISK_SCALE_NAMES,_xlfn.MAXIFS(tblThreatControls[Threat risk score],tblThreatControls[Control ID],$A151)))</f>
        <v/>
      </c>
      <c r="T151" s="40" cm="1">
        <f t="array" ref="T151">IF(AND(H151="Applicable",OR(L151="Not assessed",L151=""),R151&gt;0),"Yes","No")</f>
        <v/>
      </c>
      <c r="U151" s="40" cm="1">
        <f t="array" ref="U151">IF(AND(H151="Applicable",OR(L151="Gap",L151="Partial coverage")),INDEX(RISK_SCALE_NAMES,MAX(IFERROR(MATCH(P151,RISK_SCALE_NAMES,0),1),IFERROR(MATCH(S151,RISK_SCALE_NAMES,0),0))),"")</f>
        <v/>
      </c>
      <c r="V151" s="40" cm="1">
        <f t="array" ref="V151">_xlfn.TEXTJOIN("; ",TRUE,_xlfn._xlws.FILTER(tblThreatControls[Threat ID],(tblThreatControls[Control ID]=$A151)*(tblThreatControls[Threat applies]="Applies"),""))</f>
        <v/>
      </c>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0" t="inlineStr">
        <is>
          <t>SAST + integration testing</t>
        </is>
      </c>
      <c r="J152" s="40" t="inlineStr">
        <is>
          <t>Deterministic, continuous</t>
        </is>
      </c>
      <c r="K152" s="42" t="inlineStr">
        <is>
          <t>Pipeline</t>
        </is>
      </c>
      <c r="L152" s="42" t="inlineStr">
        <is>
          <t>Not assessed</t>
        </is>
      </c>
      <c r="M152" s="40" t="n"/>
      <c r="N152" s="40" t="n"/>
      <c r="O152" s="42" t="inlineStr">
        <is>
          <t>High</t>
        </is>
      </c>
      <c r="P152" s="43">
        <f>IF(H152="N/A","N/A",INDEX(CRIT_MATRIX,MATCH(O152,CRIT_MATRIX_ROWS,0),MATCH(APP_RISK_TIER,CRIT_MATRIX_COLS,0)))</f>
        <v/>
      </c>
      <c r="Q152" s="40" t="n"/>
      <c r="R152" s="40" cm="1">
        <f t="array" ref="R152">COUNTIFS(tblThreatControls[Control ID],$A152,tblThreatControls[Threat applies],"Applies")</f>
        <v/>
      </c>
      <c r="S152" s="40" cm="1">
        <f t="array" ref="S152">IF(R152=0,"",INDEX(RISK_SCALE_NAMES,_xlfn.MAXIFS(tblThreatControls[Threat risk score],tblThreatControls[Control ID],$A152)))</f>
        <v/>
      </c>
      <c r="T152" s="40" cm="1">
        <f t="array" ref="T152">IF(AND(H152="Applicable",OR(L152="Not assessed",L152=""),R152&gt;0),"Yes","No")</f>
        <v/>
      </c>
      <c r="U152" s="40" cm="1">
        <f t="array" ref="U152">IF(AND(H152="Applicable",OR(L152="Gap",L152="Partial coverage")),INDEX(RISK_SCALE_NAMES,MAX(IFERROR(MATCH(P152,RISK_SCALE_NAMES,0),1),IFERROR(MATCH(S152,RISK_SCALE_NAMES,0),0))),"")</f>
        <v/>
      </c>
      <c r="V152" s="40" cm="1">
        <f t="array" ref="V152">_xlfn.TEXTJOIN("; ",TRUE,_xlfn._xlws.FILTER(tblThreatControls[Threat ID],(tblThreatControls[Control ID]=$A152)*(tblThreatControls[Threat applies]="Applies"),""))</f>
        <v/>
      </c>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0" t="inlineStr">
        <is>
          <t>SAST + integration testing</t>
        </is>
      </c>
      <c r="J153" s="40" t="inlineStr">
        <is>
          <t>Deterministic, continuous</t>
        </is>
      </c>
      <c r="K153" s="42" t="inlineStr">
        <is>
          <t>Pipeline</t>
        </is>
      </c>
      <c r="L153" s="42" t="inlineStr">
        <is>
          <t>Not assessed</t>
        </is>
      </c>
      <c r="M153" s="40" t="n"/>
      <c r="N153" s="40" t="n"/>
      <c r="O153" s="42" t="inlineStr">
        <is>
          <t>High</t>
        </is>
      </c>
      <c r="P153" s="43">
        <f>IF(H153="N/A","N/A",INDEX(CRIT_MATRIX,MATCH(O153,CRIT_MATRIX_ROWS,0),MATCH(APP_RISK_TIER,CRIT_MATRIX_COLS,0)))</f>
        <v/>
      </c>
      <c r="Q153" s="40" t="n"/>
      <c r="R153" s="40" cm="1">
        <f t="array" ref="R153">COUNTIFS(tblThreatControls[Control ID],$A153,tblThreatControls[Threat applies],"Applies")</f>
        <v/>
      </c>
      <c r="S153" s="40" cm="1">
        <f t="array" ref="S153">IF(R153=0,"",INDEX(RISK_SCALE_NAMES,_xlfn.MAXIFS(tblThreatControls[Threat risk score],tblThreatControls[Control ID],$A153)))</f>
        <v/>
      </c>
      <c r="T153" s="40" cm="1">
        <f t="array" ref="T153">IF(AND(H153="Applicable",OR(L153="Not assessed",L153=""),R153&gt;0),"Yes","No")</f>
        <v/>
      </c>
      <c r="U153" s="40" cm="1">
        <f t="array" ref="U153">IF(AND(H153="Applicable",OR(L153="Gap",L153="Partial coverage")),INDEX(RISK_SCALE_NAMES,MAX(IFERROR(MATCH(P153,RISK_SCALE_NAMES,0),1),IFERROR(MATCH(S153,RISK_SCALE_NAMES,0),0))),"")</f>
        <v/>
      </c>
      <c r="V153" s="40" cm="1">
        <f t="array" ref="V153">_xlfn.TEXTJOIN("; ",TRUE,_xlfn._xlws.FILTER(tblThreatControls[Threat ID],(tblThreatControls[Control ID]=$A153)*(tblThreatControls[Threat applies]="Applies"),""))</f>
        <v/>
      </c>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0" t="inlineStr">
        <is>
          <t>SAST + integration testing</t>
        </is>
      </c>
      <c r="J154" s="40" t="inlineStr">
        <is>
          <t>Deterministic, continuous</t>
        </is>
      </c>
      <c r="K154" s="42" t="inlineStr">
        <is>
          <t>Pipeline</t>
        </is>
      </c>
      <c r="L154" s="42" t="inlineStr">
        <is>
          <t>Not assessed</t>
        </is>
      </c>
      <c r="M154" s="40" t="n"/>
      <c r="N154" s="40" t="n"/>
      <c r="O154" s="42" t="inlineStr">
        <is>
          <t>High</t>
        </is>
      </c>
      <c r="P154" s="43">
        <f>IF(H154="N/A","N/A",INDEX(CRIT_MATRIX,MATCH(O154,CRIT_MATRIX_ROWS,0),MATCH(APP_RISK_TIER,CRIT_MATRIX_COLS,0)))</f>
        <v/>
      </c>
      <c r="Q154" s="40" t="n"/>
      <c r="R154" s="40" cm="1">
        <f t="array" ref="R154">COUNTIFS(tblThreatControls[Control ID],$A154,tblThreatControls[Threat applies],"Applies")</f>
        <v/>
      </c>
      <c r="S154" s="40" cm="1">
        <f t="array" ref="S154">IF(R154=0,"",INDEX(RISK_SCALE_NAMES,_xlfn.MAXIFS(tblThreatControls[Threat risk score],tblThreatControls[Control ID],$A154)))</f>
        <v/>
      </c>
      <c r="T154" s="40" cm="1">
        <f t="array" ref="T154">IF(AND(H154="Applicable",OR(L154="Not assessed",L154=""),R154&gt;0),"Yes","No")</f>
        <v/>
      </c>
      <c r="U154" s="40" cm="1">
        <f t="array" ref="U154">IF(AND(H154="Applicable",OR(L154="Gap",L154="Partial coverage")),INDEX(RISK_SCALE_NAMES,MAX(IFERROR(MATCH(P154,RISK_SCALE_NAMES,0),1),IFERROR(MATCH(S154,RISK_SCALE_NAMES,0),0))),"")</f>
        <v/>
      </c>
      <c r="V154" s="40" cm="1">
        <f t="array" ref="V154">_xlfn.TEXTJOIN("; ",TRUE,_xlfn._xlws.FILTER(tblThreatControls[Threat ID],(tblThreatControls[Control ID]=$A154)*(tblThreatControls[Threat applies]="Applies"),""))</f>
        <v/>
      </c>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0" t="inlineStr">
        <is>
          <t>Architecture / documentation review</t>
        </is>
      </c>
      <c r="J155" s="40" t="inlineStr">
        <is>
          <t>Sampled, periodic</t>
        </is>
      </c>
      <c r="K155" s="42" t="inlineStr">
        <is>
          <t>Design/Governance</t>
        </is>
      </c>
      <c r="L155" s="42" t="inlineStr">
        <is>
          <t>Not assessed</t>
        </is>
      </c>
      <c r="M155" s="40" t="n"/>
      <c r="N155" s="40" t="n"/>
      <c r="O155" s="42" t="inlineStr">
        <is>
          <t>High</t>
        </is>
      </c>
      <c r="P155" s="43">
        <f>IF(H155="N/A","N/A",INDEX(CRIT_MATRIX,MATCH(O155,CRIT_MATRIX_ROWS,0),MATCH(APP_RISK_TIER,CRIT_MATRIX_COLS,0)))</f>
        <v/>
      </c>
      <c r="Q155" s="40" t="n"/>
      <c r="R155" s="40" cm="1">
        <f t="array" ref="R155">COUNTIFS(tblThreatControls[Control ID],$A155,tblThreatControls[Threat applies],"Applies")</f>
        <v/>
      </c>
      <c r="S155" s="40" cm="1">
        <f t="array" ref="S155">IF(R155=0,"",INDEX(RISK_SCALE_NAMES,_xlfn.MAXIFS(tblThreatControls[Threat risk score],tblThreatControls[Control ID],$A155)))</f>
        <v/>
      </c>
      <c r="T155" s="40" cm="1">
        <f t="array" ref="T155">IF(AND(H155="Applicable",OR(L155="Not assessed",L155=""),R155&gt;0),"Yes","No")</f>
        <v/>
      </c>
      <c r="U155" s="40" cm="1">
        <f t="array" ref="U155">IF(AND(H155="Applicable",OR(L155="Gap",L155="Partial coverage")),INDEX(RISK_SCALE_NAMES,MAX(IFERROR(MATCH(P155,RISK_SCALE_NAMES,0),1),IFERROR(MATCH(S155,RISK_SCALE_NAMES,0),0))),"")</f>
        <v/>
      </c>
      <c r="V155" s="40" cm="1">
        <f t="array" ref="V155">_xlfn.TEXTJOIN("; ",TRUE,_xlfn._xlws.FILTER(tblThreatControls[Threat ID],(tblThreatControls[Control ID]=$A155)*(tblThreatControls[Threat applies]="Applies"),""))</f>
        <v/>
      </c>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0" t="inlineStr">
        <is>
          <t>Architecture / documentation review</t>
        </is>
      </c>
      <c r="J156" s="40" t="inlineStr">
        <is>
          <t>Sampled, periodic</t>
        </is>
      </c>
      <c r="K156" s="42" t="inlineStr">
        <is>
          <t>Design/Governance</t>
        </is>
      </c>
      <c r="L156" s="42" t="inlineStr">
        <is>
          <t>Not assessed</t>
        </is>
      </c>
      <c r="M156" s="40" t="n"/>
      <c r="N156" s="40" t="n"/>
      <c r="O156" s="42" t="inlineStr">
        <is>
          <t>High</t>
        </is>
      </c>
      <c r="P156" s="43">
        <f>IF(H156="N/A","N/A",INDEX(CRIT_MATRIX,MATCH(O156,CRIT_MATRIX_ROWS,0),MATCH(APP_RISK_TIER,CRIT_MATRIX_COLS,0)))</f>
        <v/>
      </c>
      <c r="Q156" s="40" t="n"/>
      <c r="R156" s="40" cm="1">
        <f t="array" ref="R156">COUNTIFS(tblThreatControls[Control ID],$A156,tblThreatControls[Threat applies],"Applies")</f>
        <v/>
      </c>
      <c r="S156" s="40" cm="1">
        <f t="array" ref="S156">IF(R156=0,"",INDEX(RISK_SCALE_NAMES,_xlfn.MAXIFS(tblThreatControls[Threat risk score],tblThreatControls[Control ID],$A156)))</f>
        <v/>
      </c>
      <c r="T156" s="40" cm="1">
        <f t="array" ref="T156">IF(AND(H156="Applicable",OR(L156="Not assessed",L156=""),R156&gt;0),"Yes","No")</f>
        <v/>
      </c>
      <c r="U156" s="40" cm="1">
        <f t="array" ref="U156">IF(AND(H156="Applicable",OR(L156="Gap",L156="Partial coverage")),INDEX(RISK_SCALE_NAMES,MAX(IFERROR(MATCH(P156,RISK_SCALE_NAMES,0),1),IFERROR(MATCH(S156,RISK_SCALE_NAMES,0),0))),"")</f>
        <v/>
      </c>
      <c r="V156" s="40" cm="1">
        <f t="array" ref="V156">_xlfn.TEXTJOIN("; ",TRUE,_xlfn._xlws.FILTER(tblThreatControls[Threat ID],(tblThreatControls[Control ID]=$A156)*(tblThreatControls[Threat applies]="Applies"),""))</f>
        <v/>
      </c>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0" t="inlineStr">
        <is>
          <t>Architecture / documentation review</t>
        </is>
      </c>
      <c r="J157" s="40" t="inlineStr">
        <is>
          <t>Sampled, periodic</t>
        </is>
      </c>
      <c r="K157" s="42" t="inlineStr">
        <is>
          <t>Design/Governance</t>
        </is>
      </c>
      <c r="L157" s="42" t="inlineStr">
        <is>
          <t>Not assessed</t>
        </is>
      </c>
      <c r="M157" s="40" t="n"/>
      <c r="N157" s="40" t="n"/>
      <c r="O157" s="42" t="inlineStr">
        <is>
          <t>High</t>
        </is>
      </c>
      <c r="P157" s="43">
        <f>IF(H157="N/A","N/A",INDEX(CRIT_MATRIX,MATCH(O157,CRIT_MATRIX_ROWS,0),MATCH(APP_RISK_TIER,CRIT_MATRIX_COLS,0)))</f>
        <v/>
      </c>
      <c r="Q157" s="40" t="n"/>
      <c r="R157" s="40" cm="1">
        <f t="array" ref="R157">COUNTIFS(tblThreatControls[Control ID],$A157,tblThreatControls[Threat applies],"Applies")</f>
        <v/>
      </c>
      <c r="S157" s="40" cm="1">
        <f t="array" ref="S157">IF(R157=0,"",INDEX(RISK_SCALE_NAMES,_xlfn.MAXIFS(tblThreatControls[Threat risk score],tblThreatControls[Control ID],$A157)))</f>
        <v/>
      </c>
      <c r="T157" s="40" cm="1">
        <f t="array" ref="T157">IF(AND(H157="Applicable",OR(L157="Not assessed",L157=""),R157&gt;0),"Yes","No")</f>
        <v/>
      </c>
      <c r="U157" s="40" cm="1">
        <f t="array" ref="U157">IF(AND(H157="Applicable",OR(L157="Gap",L157="Partial coverage")),INDEX(RISK_SCALE_NAMES,MAX(IFERROR(MATCH(P157,RISK_SCALE_NAMES,0),1),IFERROR(MATCH(S157,RISK_SCALE_NAMES,0),0))),"")</f>
        <v/>
      </c>
      <c r="V157" s="40" cm="1">
        <f t="array" ref="V157">_xlfn.TEXTJOIN("; ",TRUE,_xlfn._xlws.FILTER(tblThreatControls[Threat ID],(tblThreatControls[Control ID]=$A157)*(tblThreatControls[Threat applies]="Applies"),""))</f>
        <v/>
      </c>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0" t="inlineStr">
        <is>
          <t>Integration testing</t>
        </is>
      </c>
      <c r="J158" s="40" t="inlineStr">
        <is>
          <t>Deterministic, continuous</t>
        </is>
      </c>
      <c r="K158" s="42" t="inlineStr">
        <is>
          <t>Pipeline</t>
        </is>
      </c>
      <c r="L158" s="42" t="inlineStr">
        <is>
          <t>Not assessed</t>
        </is>
      </c>
      <c r="M158" s="40" t="n"/>
      <c r="N158" s="40" t="n"/>
      <c r="O158" s="42" t="inlineStr">
        <is>
          <t>High</t>
        </is>
      </c>
      <c r="P158" s="43">
        <f>IF(H158="N/A","N/A",INDEX(CRIT_MATRIX,MATCH(O158,CRIT_MATRIX_ROWS,0),MATCH(APP_RISK_TIER,CRIT_MATRIX_COLS,0)))</f>
        <v/>
      </c>
      <c r="Q158" s="40" t="n"/>
      <c r="R158" s="40" cm="1">
        <f t="array" ref="R158">COUNTIFS(tblThreatControls[Control ID],$A158,tblThreatControls[Threat applies],"Applies")</f>
        <v/>
      </c>
      <c r="S158" s="40" cm="1">
        <f t="array" ref="S158">IF(R158=0,"",INDEX(RISK_SCALE_NAMES,_xlfn.MAXIFS(tblThreatControls[Threat risk score],tblThreatControls[Control ID],$A158)))</f>
        <v/>
      </c>
      <c r="T158" s="40" cm="1">
        <f t="array" ref="T158">IF(AND(H158="Applicable",OR(L158="Not assessed",L158=""),R158&gt;0),"Yes","No")</f>
        <v/>
      </c>
      <c r="U158" s="40" cm="1">
        <f t="array" ref="U158">IF(AND(H158="Applicable",OR(L158="Gap",L158="Partial coverage")),INDEX(RISK_SCALE_NAMES,MAX(IFERROR(MATCH(P158,RISK_SCALE_NAMES,0),1),IFERROR(MATCH(S158,RISK_SCALE_NAMES,0),0))),"")</f>
        <v/>
      </c>
      <c r="V158" s="40" cm="1">
        <f t="array" ref="V158">_xlfn.TEXTJOIN("; ",TRUE,_xlfn._xlws.FILTER(tblThreatControls[Threat ID],(tblThreatControls[Control ID]=$A158)*(tblThreatControls[Threat applies]="Applies"),""))</f>
        <v/>
      </c>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0" t="inlineStr">
        <is>
          <t>Integration testing</t>
        </is>
      </c>
      <c r="J159" s="40" t="inlineStr">
        <is>
          <t>Deterministic, continuous</t>
        </is>
      </c>
      <c r="K159" s="42" t="inlineStr">
        <is>
          <t>Pipeline</t>
        </is>
      </c>
      <c r="L159" s="42" t="inlineStr">
        <is>
          <t>Not assessed</t>
        </is>
      </c>
      <c r="M159" s="40" t="n"/>
      <c r="N159" s="40" t="n"/>
      <c r="O159" s="42" t="inlineStr">
        <is>
          <t>High</t>
        </is>
      </c>
      <c r="P159" s="43">
        <f>IF(H159="N/A","N/A",INDEX(CRIT_MATRIX,MATCH(O159,CRIT_MATRIX_ROWS,0),MATCH(APP_RISK_TIER,CRIT_MATRIX_COLS,0)))</f>
        <v/>
      </c>
      <c r="Q159" s="40" t="n"/>
      <c r="R159" s="40" cm="1">
        <f t="array" ref="R159">COUNTIFS(tblThreatControls[Control ID],$A159,tblThreatControls[Threat applies],"Applies")</f>
        <v/>
      </c>
      <c r="S159" s="40" cm="1">
        <f t="array" ref="S159">IF(R159=0,"",INDEX(RISK_SCALE_NAMES,_xlfn.MAXIFS(tblThreatControls[Threat risk score],tblThreatControls[Control ID],$A159)))</f>
        <v/>
      </c>
      <c r="T159" s="40" cm="1">
        <f t="array" ref="T159">IF(AND(H159="Applicable",OR(L159="Not assessed",L159=""),R159&gt;0),"Yes","No")</f>
        <v/>
      </c>
      <c r="U159" s="40" cm="1">
        <f t="array" ref="U159">IF(AND(H159="Applicable",OR(L159="Gap",L159="Partial coverage")),INDEX(RISK_SCALE_NAMES,MAX(IFERROR(MATCH(P159,RISK_SCALE_NAMES,0),1),IFERROR(MATCH(S159,RISK_SCALE_NAMES,0),0))),"")</f>
        <v/>
      </c>
      <c r="V159" s="40" cm="1">
        <f t="array" ref="V159">_xlfn.TEXTJOIN("; ",TRUE,_xlfn._xlws.FILTER(tblThreatControls[Threat ID],(tblThreatControls[Control ID]=$A159)*(tblThreatControls[Threat applies]="Applies"),""))</f>
        <v/>
      </c>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0" t="inlineStr">
        <is>
          <t>Integration testing</t>
        </is>
      </c>
      <c r="J160" s="40" t="inlineStr">
        <is>
          <t>Deterministic, continuous</t>
        </is>
      </c>
      <c r="K160" s="42" t="inlineStr">
        <is>
          <t>Pipeline</t>
        </is>
      </c>
      <c r="L160" s="42" t="inlineStr">
        <is>
          <t>Not assessed</t>
        </is>
      </c>
      <c r="M160" s="40" t="n"/>
      <c r="N160" s="40" t="n"/>
      <c r="O160" s="42" t="inlineStr">
        <is>
          <t>High</t>
        </is>
      </c>
      <c r="P160" s="43">
        <f>IF(H160="N/A","N/A",INDEX(CRIT_MATRIX,MATCH(O160,CRIT_MATRIX_ROWS,0),MATCH(APP_RISK_TIER,CRIT_MATRIX_COLS,0)))</f>
        <v/>
      </c>
      <c r="Q160" s="40" t="n"/>
      <c r="R160" s="40" cm="1">
        <f t="array" ref="R160">COUNTIFS(tblThreatControls[Control ID],$A160,tblThreatControls[Threat applies],"Applies")</f>
        <v/>
      </c>
      <c r="S160" s="40" cm="1">
        <f t="array" ref="S160">IF(R160=0,"",INDEX(RISK_SCALE_NAMES,_xlfn.MAXIFS(tblThreatControls[Threat risk score],tblThreatControls[Control ID],$A160)))</f>
        <v/>
      </c>
      <c r="T160" s="40" cm="1">
        <f t="array" ref="T160">IF(AND(H160="Applicable",OR(L160="Not assessed",L160=""),R160&gt;0),"Yes","No")</f>
        <v/>
      </c>
      <c r="U160" s="40" cm="1">
        <f t="array" ref="U160">IF(AND(H160="Applicable",OR(L160="Gap",L160="Partial coverage")),INDEX(RISK_SCALE_NAMES,MAX(IFERROR(MATCH(P160,RISK_SCALE_NAMES,0),1),IFERROR(MATCH(S160,RISK_SCALE_NAMES,0),0))),"")</f>
        <v/>
      </c>
      <c r="V160" s="40" cm="1">
        <f t="array" ref="V160">_xlfn.TEXTJOIN("; ",TRUE,_xlfn._xlws.FILTER(tblThreatControls[Threat ID],(tblThreatControls[Control ID]=$A160)*(tblThreatControls[Threat applies]="Applies"),""))</f>
        <v/>
      </c>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0" t="inlineStr">
        <is>
          <t>Integration testing</t>
        </is>
      </c>
      <c r="J161" s="40" t="inlineStr">
        <is>
          <t>Deterministic, continuous</t>
        </is>
      </c>
      <c r="K161" s="42" t="inlineStr">
        <is>
          <t>Pipeline</t>
        </is>
      </c>
      <c r="L161" s="42" t="inlineStr">
        <is>
          <t>Not assessed</t>
        </is>
      </c>
      <c r="M161" s="40" t="n"/>
      <c r="N161" s="40" t="n"/>
      <c r="O161" s="42" t="inlineStr">
        <is>
          <t>High</t>
        </is>
      </c>
      <c r="P161" s="43">
        <f>IF(H161="N/A","N/A",INDEX(CRIT_MATRIX,MATCH(O161,CRIT_MATRIX_ROWS,0),MATCH(APP_RISK_TIER,CRIT_MATRIX_COLS,0)))</f>
        <v/>
      </c>
      <c r="Q161" s="40" t="n"/>
      <c r="R161" s="40" cm="1">
        <f t="array" ref="R161">COUNTIFS(tblThreatControls[Control ID],$A161,tblThreatControls[Threat applies],"Applies")</f>
        <v/>
      </c>
      <c r="S161" s="40" cm="1">
        <f t="array" ref="S161">IF(R161=0,"",INDEX(RISK_SCALE_NAMES,_xlfn.MAXIFS(tblThreatControls[Threat risk score],tblThreatControls[Control ID],$A161)))</f>
        <v/>
      </c>
      <c r="T161" s="40" cm="1">
        <f t="array" ref="T161">IF(AND(H161="Applicable",OR(L161="Not assessed",L161=""),R161&gt;0),"Yes","No")</f>
        <v/>
      </c>
      <c r="U161" s="40" cm="1">
        <f t="array" ref="U161">IF(AND(H161="Applicable",OR(L161="Gap",L161="Partial coverage")),INDEX(RISK_SCALE_NAMES,MAX(IFERROR(MATCH(P161,RISK_SCALE_NAMES,0),1),IFERROR(MATCH(S161,RISK_SCALE_NAMES,0),0))),"")</f>
        <v/>
      </c>
      <c r="V161" s="40" cm="1">
        <f t="array" ref="V161">_xlfn.TEXTJOIN("; ",TRUE,_xlfn._xlws.FILTER(tblThreatControls[Threat ID],(tblThreatControls[Control ID]=$A161)*(tblThreatControls[Threat applies]="Applies"),""))</f>
        <v/>
      </c>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0" t="inlineStr">
        <is>
          <t>Integration testing</t>
        </is>
      </c>
      <c r="J162" s="40" t="inlineStr">
        <is>
          <t>Deterministic, continuous</t>
        </is>
      </c>
      <c r="K162" s="42" t="inlineStr">
        <is>
          <t>Pipeline</t>
        </is>
      </c>
      <c r="L162" s="42" t="inlineStr">
        <is>
          <t>Not assessed</t>
        </is>
      </c>
      <c r="M162" s="40" t="n"/>
      <c r="N162" s="40" t="n"/>
      <c r="O162" s="42" t="inlineStr">
        <is>
          <t>High</t>
        </is>
      </c>
      <c r="P162" s="43">
        <f>IF(H162="N/A","N/A",INDEX(CRIT_MATRIX,MATCH(O162,CRIT_MATRIX_ROWS,0),MATCH(APP_RISK_TIER,CRIT_MATRIX_COLS,0)))</f>
        <v/>
      </c>
      <c r="Q162" s="40" t="n"/>
      <c r="R162" s="40" cm="1">
        <f t="array" ref="R162">COUNTIFS(tblThreatControls[Control ID],$A162,tblThreatControls[Threat applies],"Applies")</f>
        <v/>
      </c>
      <c r="S162" s="40" cm="1">
        <f t="array" ref="S162">IF(R162=0,"",INDEX(RISK_SCALE_NAMES,_xlfn.MAXIFS(tblThreatControls[Threat risk score],tblThreatControls[Control ID],$A162)))</f>
        <v/>
      </c>
      <c r="T162" s="40" cm="1">
        <f t="array" ref="T162">IF(AND(H162="Applicable",OR(L162="Not assessed",L162=""),R162&gt;0),"Yes","No")</f>
        <v/>
      </c>
      <c r="U162" s="40" cm="1">
        <f t="array" ref="U162">IF(AND(H162="Applicable",OR(L162="Gap",L162="Partial coverage")),INDEX(RISK_SCALE_NAMES,MAX(IFERROR(MATCH(P162,RISK_SCALE_NAMES,0),1),IFERROR(MATCH(S162,RISK_SCALE_NAMES,0),0))),"")</f>
        <v/>
      </c>
      <c r="V162" s="40" cm="1">
        <f t="array" ref="V162">_xlfn.TEXTJOIN("; ",TRUE,_xlfn._xlws.FILTER(tblThreatControls[Threat ID],(tblThreatControls[Control ID]=$A162)*(tblThreatControls[Threat applies]="Applies"),""))</f>
        <v/>
      </c>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0" t="inlineStr">
        <is>
          <t>Integration testing</t>
        </is>
      </c>
      <c r="J163" s="40" t="inlineStr">
        <is>
          <t>Deterministic, continuous</t>
        </is>
      </c>
      <c r="K163" s="42" t="inlineStr">
        <is>
          <t>Pipeline</t>
        </is>
      </c>
      <c r="L163" s="42" t="inlineStr">
        <is>
          <t>Not assessed</t>
        </is>
      </c>
      <c r="M163" s="40" t="n"/>
      <c r="N163" s="40" t="n"/>
      <c r="O163" s="42" t="inlineStr">
        <is>
          <t>High</t>
        </is>
      </c>
      <c r="P163" s="43">
        <f>IF(H163="N/A","N/A",INDEX(CRIT_MATRIX,MATCH(O163,CRIT_MATRIX_ROWS,0),MATCH(APP_RISK_TIER,CRIT_MATRIX_COLS,0)))</f>
        <v/>
      </c>
      <c r="Q163" s="40" t="n"/>
      <c r="R163" s="40" cm="1">
        <f t="array" ref="R163">COUNTIFS(tblThreatControls[Control ID],$A163,tblThreatControls[Threat applies],"Applies")</f>
        <v/>
      </c>
      <c r="S163" s="40" cm="1">
        <f t="array" ref="S163">IF(R163=0,"",INDEX(RISK_SCALE_NAMES,_xlfn.MAXIFS(tblThreatControls[Threat risk score],tblThreatControls[Control ID],$A163)))</f>
        <v/>
      </c>
      <c r="T163" s="40" cm="1">
        <f t="array" ref="T163">IF(AND(H163="Applicable",OR(L163="Not assessed",L163=""),R163&gt;0),"Yes","No")</f>
        <v/>
      </c>
      <c r="U163" s="40" cm="1">
        <f t="array" ref="U163">IF(AND(H163="Applicable",OR(L163="Gap",L163="Partial coverage")),INDEX(RISK_SCALE_NAMES,MAX(IFERROR(MATCH(P163,RISK_SCALE_NAMES,0),1),IFERROR(MATCH(S163,RISK_SCALE_NAMES,0),0))),"")</f>
        <v/>
      </c>
      <c r="V163" s="40" cm="1">
        <f t="array" ref="V163">_xlfn.TEXTJOIN("; ",TRUE,_xlfn._xlws.FILTER(tblThreatControls[Threat ID],(tblThreatControls[Control ID]=$A163)*(tblThreatControls[Threat applies]="Applies"),""))</f>
        <v/>
      </c>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0" t="inlineStr">
        <is>
          <t>Integration testing</t>
        </is>
      </c>
      <c r="J164" s="40" t="inlineStr">
        <is>
          <t>Deterministic, continuous</t>
        </is>
      </c>
      <c r="K164" s="42" t="inlineStr">
        <is>
          <t>Pipeline</t>
        </is>
      </c>
      <c r="L164" s="42" t="inlineStr">
        <is>
          <t>Not assessed</t>
        </is>
      </c>
      <c r="M164" s="40" t="n"/>
      <c r="N164" s="40" t="n"/>
      <c r="O164" s="42" t="inlineStr">
        <is>
          <t>High</t>
        </is>
      </c>
      <c r="P164" s="43">
        <f>IF(H164="N/A","N/A",INDEX(CRIT_MATRIX,MATCH(O164,CRIT_MATRIX_ROWS,0),MATCH(APP_RISK_TIER,CRIT_MATRIX_COLS,0)))</f>
        <v/>
      </c>
      <c r="Q164" s="40" t="n"/>
      <c r="R164" s="40" cm="1">
        <f t="array" ref="R164">COUNTIFS(tblThreatControls[Control ID],$A164,tblThreatControls[Threat applies],"Applies")</f>
        <v/>
      </c>
      <c r="S164" s="40" cm="1">
        <f t="array" ref="S164">IF(R164=0,"",INDEX(RISK_SCALE_NAMES,_xlfn.MAXIFS(tblThreatControls[Threat risk score],tblThreatControls[Control ID],$A164)))</f>
        <v/>
      </c>
      <c r="T164" s="40" cm="1">
        <f t="array" ref="T164">IF(AND(H164="Applicable",OR(L164="Not assessed",L164=""),R164&gt;0),"Yes","No")</f>
        <v/>
      </c>
      <c r="U164" s="40" cm="1">
        <f t="array" ref="U164">IF(AND(H164="Applicable",OR(L164="Gap",L164="Partial coverage")),INDEX(RISK_SCALE_NAMES,MAX(IFERROR(MATCH(P164,RISK_SCALE_NAMES,0),1),IFERROR(MATCH(S164,RISK_SCALE_NAMES,0),0))),"")</f>
        <v/>
      </c>
      <c r="V164" s="40" cm="1">
        <f t="array" ref="V164">_xlfn.TEXTJOIN("; ",TRUE,_xlfn._xlws.FILTER(tblThreatControls[Threat ID],(tblThreatControls[Control ID]=$A164)*(tblThreatControls[Threat applies]="Applies"),""))</f>
        <v/>
      </c>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0" t="inlineStr">
        <is>
          <t>Integration testing</t>
        </is>
      </c>
      <c r="J165" s="40" t="inlineStr">
        <is>
          <t>Deterministic, continuous</t>
        </is>
      </c>
      <c r="K165" s="42" t="inlineStr">
        <is>
          <t>Pipeline</t>
        </is>
      </c>
      <c r="L165" s="42" t="inlineStr">
        <is>
          <t>Not assessed</t>
        </is>
      </c>
      <c r="M165" s="40" t="n"/>
      <c r="N165" s="40" t="n"/>
      <c r="O165" s="42" t="inlineStr">
        <is>
          <t>High</t>
        </is>
      </c>
      <c r="P165" s="43">
        <f>IF(H165="N/A","N/A",INDEX(CRIT_MATRIX,MATCH(O165,CRIT_MATRIX_ROWS,0),MATCH(APP_RISK_TIER,CRIT_MATRIX_COLS,0)))</f>
        <v/>
      </c>
      <c r="Q165" s="40" t="n"/>
      <c r="R165" s="40" cm="1">
        <f t="array" ref="R165">COUNTIFS(tblThreatControls[Control ID],$A165,tblThreatControls[Threat applies],"Applies")</f>
        <v/>
      </c>
      <c r="S165" s="40" cm="1">
        <f t="array" ref="S165">IF(R165=0,"",INDEX(RISK_SCALE_NAMES,_xlfn.MAXIFS(tblThreatControls[Threat risk score],tblThreatControls[Control ID],$A165)))</f>
        <v/>
      </c>
      <c r="T165" s="40" cm="1">
        <f t="array" ref="T165">IF(AND(H165="Applicable",OR(L165="Not assessed",L165=""),R165&gt;0),"Yes","No")</f>
        <v/>
      </c>
      <c r="U165" s="40" cm="1">
        <f t="array" ref="U165">IF(AND(H165="Applicable",OR(L165="Gap",L165="Partial coverage")),INDEX(RISK_SCALE_NAMES,MAX(IFERROR(MATCH(P165,RISK_SCALE_NAMES,0),1),IFERROR(MATCH(S165,RISK_SCALE_NAMES,0),0))),"")</f>
        <v/>
      </c>
      <c r="V165" s="40" cm="1">
        <f t="array" ref="V165">_xlfn.TEXTJOIN("; ",TRUE,_xlfn._xlws.FILTER(tblThreatControls[Threat ID],(tblThreatControls[Control ID]=$A165)*(tblThreatControls[Threat applies]="Applies"),""))</f>
        <v/>
      </c>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0" t="inlineStr">
        <is>
          <t>Integration testing</t>
        </is>
      </c>
      <c r="J166" s="40" t="inlineStr">
        <is>
          <t>Deterministic, continuous</t>
        </is>
      </c>
      <c r="K166" s="42" t="inlineStr">
        <is>
          <t>Pipeline</t>
        </is>
      </c>
      <c r="L166" s="42" t="inlineStr">
        <is>
          <t>Not assessed</t>
        </is>
      </c>
      <c r="M166" s="40" t="n"/>
      <c r="N166" s="40" t="n"/>
      <c r="O166" s="42" t="inlineStr">
        <is>
          <t>High</t>
        </is>
      </c>
      <c r="P166" s="43">
        <f>IF(H166="N/A","N/A",INDEX(CRIT_MATRIX,MATCH(O166,CRIT_MATRIX_ROWS,0),MATCH(APP_RISK_TIER,CRIT_MATRIX_COLS,0)))</f>
        <v/>
      </c>
      <c r="Q166" s="40" t="n"/>
      <c r="R166" s="40" cm="1">
        <f t="array" ref="R166">COUNTIFS(tblThreatControls[Control ID],$A166,tblThreatControls[Threat applies],"Applies")</f>
        <v/>
      </c>
      <c r="S166" s="40" cm="1">
        <f t="array" ref="S166">IF(R166=0,"",INDEX(RISK_SCALE_NAMES,_xlfn.MAXIFS(tblThreatControls[Threat risk score],tblThreatControls[Control ID],$A166)))</f>
        <v/>
      </c>
      <c r="T166" s="40" cm="1">
        <f t="array" ref="T166">IF(AND(H166="Applicable",OR(L166="Not assessed",L166=""),R166&gt;0),"Yes","No")</f>
        <v/>
      </c>
      <c r="U166" s="40" cm="1">
        <f t="array" ref="U166">IF(AND(H166="Applicable",OR(L166="Gap",L166="Partial coverage")),INDEX(RISK_SCALE_NAMES,MAX(IFERROR(MATCH(P166,RISK_SCALE_NAMES,0),1),IFERROR(MATCH(S166,RISK_SCALE_NAMES,0),0))),"")</f>
        <v/>
      </c>
      <c r="V166" s="40" cm="1">
        <f t="array" ref="V166">_xlfn.TEXTJOIN("; ",TRUE,_xlfn._xlws.FILTER(tblThreatControls[Threat ID],(tblThreatControls[Control ID]=$A166)*(tblThreatControls[Threat applies]="Applies"),""))</f>
        <v/>
      </c>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0" t="inlineStr">
        <is>
          <t>Integration testing</t>
        </is>
      </c>
      <c r="J167" s="40" t="inlineStr">
        <is>
          <t>Deterministic, continuous</t>
        </is>
      </c>
      <c r="K167" s="42" t="inlineStr">
        <is>
          <t>Pipeline</t>
        </is>
      </c>
      <c r="L167" s="42" t="inlineStr">
        <is>
          <t>Not assessed</t>
        </is>
      </c>
      <c r="M167" s="40" t="n"/>
      <c r="N167" s="40" t="n"/>
      <c r="O167" s="42" t="inlineStr">
        <is>
          <t>High</t>
        </is>
      </c>
      <c r="P167" s="43">
        <f>IF(H167="N/A","N/A",INDEX(CRIT_MATRIX,MATCH(O167,CRIT_MATRIX_ROWS,0),MATCH(APP_RISK_TIER,CRIT_MATRIX_COLS,0)))</f>
        <v/>
      </c>
      <c r="Q167" s="40" t="n"/>
      <c r="R167" s="40" cm="1">
        <f t="array" ref="R167">COUNTIFS(tblThreatControls[Control ID],$A167,tblThreatControls[Threat applies],"Applies")</f>
        <v/>
      </c>
      <c r="S167" s="40" cm="1">
        <f t="array" ref="S167">IF(R167=0,"",INDEX(RISK_SCALE_NAMES,_xlfn.MAXIFS(tblThreatControls[Threat risk score],tblThreatControls[Control ID],$A167)))</f>
        <v/>
      </c>
      <c r="T167" s="40" cm="1">
        <f t="array" ref="T167">IF(AND(H167="Applicable",OR(L167="Not assessed",L167=""),R167&gt;0),"Yes","No")</f>
        <v/>
      </c>
      <c r="U167" s="40" cm="1">
        <f t="array" ref="U167">IF(AND(H167="Applicable",OR(L167="Gap",L167="Partial coverage")),INDEX(RISK_SCALE_NAMES,MAX(IFERROR(MATCH(P167,RISK_SCALE_NAMES,0),1),IFERROR(MATCH(S167,RISK_SCALE_NAMES,0),0))),"")</f>
        <v/>
      </c>
      <c r="V167" s="40" cm="1">
        <f t="array" ref="V167">_xlfn.TEXTJOIN("; ",TRUE,_xlfn._xlws.FILTER(tblThreatControls[Threat ID],(tblThreatControls[Control ID]=$A167)*(tblThreatControls[Threat applies]="Applies"),""))</f>
        <v/>
      </c>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0" t="inlineStr">
        <is>
          <t>Integration testing</t>
        </is>
      </c>
      <c r="J168" s="40" t="inlineStr">
        <is>
          <t>Deterministic, continuous</t>
        </is>
      </c>
      <c r="K168" s="42" t="inlineStr">
        <is>
          <t>Pipeline</t>
        </is>
      </c>
      <c r="L168" s="42" t="inlineStr">
        <is>
          <t>Not assessed</t>
        </is>
      </c>
      <c r="M168" s="40" t="n"/>
      <c r="N168" s="40" t="n"/>
      <c r="O168" s="42" t="inlineStr">
        <is>
          <t>High</t>
        </is>
      </c>
      <c r="P168" s="43">
        <f>IF(H168="N/A","N/A",INDEX(CRIT_MATRIX,MATCH(O168,CRIT_MATRIX_ROWS,0),MATCH(APP_RISK_TIER,CRIT_MATRIX_COLS,0)))</f>
        <v/>
      </c>
      <c r="Q168" s="40" t="n"/>
      <c r="R168" s="40" cm="1">
        <f t="array" ref="R168">COUNTIFS(tblThreatControls[Control ID],$A168,tblThreatControls[Threat applies],"Applies")</f>
        <v/>
      </c>
      <c r="S168" s="40" cm="1">
        <f t="array" ref="S168">IF(R168=0,"",INDEX(RISK_SCALE_NAMES,_xlfn.MAXIFS(tblThreatControls[Threat risk score],tblThreatControls[Control ID],$A168)))</f>
        <v/>
      </c>
      <c r="T168" s="40" cm="1">
        <f t="array" ref="T168">IF(AND(H168="Applicable",OR(L168="Not assessed",L168=""),R168&gt;0),"Yes","No")</f>
        <v/>
      </c>
      <c r="U168" s="40" cm="1">
        <f t="array" ref="U168">IF(AND(H168="Applicable",OR(L168="Gap",L168="Partial coverage")),INDEX(RISK_SCALE_NAMES,MAX(IFERROR(MATCH(P168,RISK_SCALE_NAMES,0),1),IFERROR(MATCH(S168,RISK_SCALE_NAMES,0),0))),"")</f>
        <v/>
      </c>
      <c r="V168" s="40" cm="1">
        <f t="array" ref="V168">_xlfn.TEXTJOIN("; ",TRUE,_xlfn._xlws.FILTER(tblThreatControls[Threat ID],(tblThreatControls[Control ID]=$A168)*(tblThreatControls[Threat applies]="Applies"),""))</f>
        <v/>
      </c>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0" t="inlineStr">
        <is>
          <t>Integration testing</t>
        </is>
      </c>
      <c r="J169" s="40" t="inlineStr">
        <is>
          <t>Deterministic, continuous</t>
        </is>
      </c>
      <c r="K169" s="42" t="inlineStr">
        <is>
          <t>Pipeline</t>
        </is>
      </c>
      <c r="L169" s="42" t="inlineStr">
        <is>
          <t>Not assessed</t>
        </is>
      </c>
      <c r="M169" s="40" t="n"/>
      <c r="N169" s="40" t="n"/>
      <c r="O169" s="42" t="inlineStr">
        <is>
          <t>High</t>
        </is>
      </c>
      <c r="P169" s="43">
        <f>IF(H169="N/A","N/A",INDEX(CRIT_MATRIX,MATCH(O169,CRIT_MATRIX_ROWS,0),MATCH(APP_RISK_TIER,CRIT_MATRIX_COLS,0)))</f>
        <v/>
      </c>
      <c r="Q169" s="40" t="n"/>
      <c r="R169" s="40" cm="1">
        <f t="array" ref="R169">COUNTIFS(tblThreatControls[Control ID],$A169,tblThreatControls[Threat applies],"Applies")</f>
        <v/>
      </c>
      <c r="S169" s="40" cm="1">
        <f t="array" ref="S169">IF(R169=0,"",INDEX(RISK_SCALE_NAMES,_xlfn.MAXIFS(tblThreatControls[Threat risk score],tblThreatControls[Control ID],$A169)))</f>
        <v/>
      </c>
      <c r="T169" s="40" cm="1">
        <f t="array" ref="T169">IF(AND(H169="Applicable",OR(L169="Not assessed",L169=""),R169&gt;0),"Yes","No")</f>
        <v/>
      </c>
      <c r="U169" s="40" cm="1">
        <f t="array" ref="U169">IF(AND(H169="Applicable",OR(L169="Gap",L169="Partial coverage")),INDEX(RISK_SCALE_NAMES,MAX(IFERROR(MATCH(P169,RISK_SCALE_NAMES,0),1),IFERROR(MATCH(S169,RISK_SCALE_NAMES,0),0))),"")</f>
        <v/>
      </c>
      <c r="V169" s="40" cm="1">
        <f t="array" ref="V169">_xlfn.TEXTJOIN("; ",TRUE,_xlfn._xlws.FILTER(tblThreatControls[Threat ID],(tblThreatControls[Control ID]=$A169)*(tblThreatControls[Threat applies]="Applies"),""))</f>
        <v/>
      </c>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0" t="inlineStr">
        <is>
          <t>Integration testing</t>
        </is>
      </c>
      <c r="J170" s="40" t="inlineStr">
        <is>
          <t>Deterministic, continuous</t>
        </is>
      </c>
      <c r="K170" s="42" t="inlineStr">
        <is>
          <t>Pipeline</t>
        </is>
      </c>
      <c r="L170" s="42" t="inlineStr">
        <is>
          <t>Not assessed</t>
        </is>
      </c>
      <c r="M170" s="40" t="n"/>
      <c r="N170" s="40" t="n"/>
      <c r="O170" s="42" t="inlineStr">
        <is>
          <t>High</t>
        </is>
      </c>
      <c r="P170" s="43">
        <f>IF(H170="N/A","N/A",INDEX(CRIT_MATRIX,MATCH(O170,CRIT_MATRIX_ROWS,0),MATCH(APP_RISK_TIER,CRIT_MATRIX_COLS,0)))</f>
        <v/>
      </c>
      <c r="Q170" s="40" t="n"/>
      <c r="R170" s="40" cm="1">
        <f t="array" ref="R170">COUNTIFS(tblThreatControls[Control ID],$A170,tblThreatControls[Threat applies],"Applies")</f>
        <v/>
      </c>
      <c r="S170" s="40" cm="1">
        <f t="array" ref="S170">IF(R170=0,"",INDEX(RISK_SCALE_NAMES,_xlfn.MAXIFS(tblThreatControls[Threat risk score],tblThreatControls[Control ID],$A170)))</f>
        <v/>
      </c>
      <c r="T170" s="40" cm="1">
        <f t="array" ref="T170">IF(AND(H170="Applicable",OR(L170="Not assessed",L170=""),R170&gt;0),"Yes","No")</f>
        <v/>
      </c>
      <c r="U170" s="40" cm="1">
        <f t="array" ref="U170">IF(AND(H170="Applicable",OR(L170="Gap",L170="Partial coverage")),INDEX(RISK_SCALE_NAMES,MAX(IFERROR(MATCH(P170,RISK_SCALE_NAMES,0),1),IFERROR(MATCH(S170,RISK_SCALE_NAMES,0),0))),"")</f>
        <v/>
      </c>
      <c r="V170" s="40" cm="1">
        <f t="array" ref="V170">_xlfn.TEXTJOIN("; ",TRUE,_xlfn._xlws.FILTER(tblThreatControls[Threat ID],(tblThreatControls[Control ID]=$A170)*(tblThreatControls[Threat applies]="Applies"),""))</f>
        <v/>
      </c>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0" t="inlineStr">
        <is>
          <t>Integration testing</t>
        </is>
      </c>
      <c r="J171" s="40" t="inlineStr">
        <is>
          <t>Deterministic, continuous</t>
        </is>
      </c>
      <c r="K171" s="42" t="inlineStr">
        <is>
          <t>Pipeline</t>
        </is>
      </c>
      <c r="L171" s="42" t="inlineStr">
        <is>
          <t>Not assessed</t>
        </is>
      </c>
      <c r="M171" s="40" t="n"/>
      <c r="N171" s="40" t="n"/>
      <c r="O171" s="42" t="inlineStr">
        <is>
          <t>High</t>
        </is>
      </c>
      <c r="P171" s="43">
        <f>IF(H171="N/A","N/A",INDEX(CRIT_MATRIX,MATCH(O171,CRIT_MATRIX_ROWS,0),MATCH(APP_RISK_TIER,CRIT_MATRIX_COLS,0)))</f>
        <v/>
      </c>
      <c r="Q171" s="40" t="n"/>
      <c r="R171" s="40" cm="1">
        <f t="array" ref="R171">COUNTIFS(tblThreatControls[Control ID],$A171,tblThreatControls[Threat applies],"Applies")</f>
        <v/>
      </c>
      <c r="S171" s="40" cm="1">
        <f t="array" ref="S171">IF(R171=0,"",INDEX(RISK_SCALE_NAMES,_xlfn.MAXIFS(tblThreatControls[Threat risk score],tblThreatControls[Control ID],$A171)))</f>
        <v/>
      </c>
      <c r="T171" s="40" cm="1">
        <f t="array" ref="T171">IF(AND(H171="Applicable",OR(L171="Not assessed",L171=""),R171&gt;0),"Yes","No")</f>
        <v/>
      </c>
      <c r="U171" s="40" cm="1">
        <f t="array" ref="U171">IF(AND(H171="Applicable",OR(L171="Gap",L171="Partial coverage")),INDEX(RISK_SCALE_NAMES,MAX(IFERROR(MATCH(P171,RISK_SCALE_NAMES,0),1),IFERROR(MATCH(S171,RISK_SCALE_NAMES,0),0))),"")</f>
        <v/>
      </c>
      <c r="V171" s="40" cm="1">
        <f t="array" ref="V171">_xlfn.TEXTJOIN("; ",TRUE,_xlfn._xlws.FILTER(tblThreatControls[Threat ID],(tblThreatControls[Control ID]=$A171)*(tblThreatControls[Threat applies]="Applies"),""))</f>
        <v/>
      </c>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0" t="inlineStr">
        <is>
          <t>Integration testing</t>
        </is>
      </c>
      <c r="J172" s="40" t="inlineStr">
        <is>
          <t>Deterministic, continuous</t>
        </is>
      </c>
      <c r="K172" s="42" t="inlineStr">
        <is>
          <t>Pipeline</t>
        </is>
      </c>
      <c r="L172" s="42" t="inlineStr">
        <is>
          <t>Not assessed</t>
        </is>
      </c>
      <c r="M172" s="40" t="n"/>
      <c r="N172" s="40" t="n"/>
      <c r="O172" s="42" t="inlineStr">
        <is>
          <t>High</t>
        </is>
      </c>
      <c r="P172" s="43">
        <f>IF(H172="N/A","N/A",INDEX(CRIT_MATRIX,MATCH(O172,CRIT_MATRIX_ROWS,0),MATCH(APP_RISK_TIER,CRIT_MATRIX_COLS,0)))</f>
        <v/>
      </c>
      <c r="Q172" s="40" t="n"/>
      <c r="R172" s="40" cm="1">
        <f t="array" ref="R172">COUNTIFS(tblThreatControls[Control ID],$A172,tblThreatControls[Threat applies],"Applies")</f>
        <v/>
      </c>
      <c r="S172" s="40" cm="1">
        <f t="array" ref="S172">IF(R172=0,"",INDEX(RISK_SCALE_NAMES,_xlfn.MAXIFS(tblThreatControls[Threat risk score],tblThreatControls[Control ID],$A172)))</f>
        <v/>
      </c>
      <c r="T172" s="40" cm="1">
        <f t="array" ref="T172">IF(AND(H172="Applicable",OR(L172="Not assessed",L172=""),R172&gt;0),"Yes","No")</f>
        <v/>
      </c>
      <c r="U172" s="40" cm="1">
        <f t="array" ref="U172">IF(AND(H172="Applicable",OR(L172="Gap",L172="Partial coverage")),INDEX(RISK_SCALE_NAMES,MAX(IFERROR(MATCH(P172,RISK_SCALE_NAMES,0),1),IFERROR(MATCH(S172,RISK_SCALE_NAMES,0),0))),"")</f>
        <v/>
      </c>
      <c r="V172" s="40" cm="1">
        <f t="array" ref="V172">_xlfn.TEXTJOIN("; ",TRUE,_xlfn._xlws.FILTER(tblThreatControls[Threat ID],(tblThreatControls[Control ID]=$A172)*(tblThreatControls[Threat applies]="Applies"),""))</f>
        <v/>
      </c>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0" t="inlineStr">
        <is>
          <t>Integration testing</t>
        </is>
      </c>
      <c r="J173" s="40" t="inlineStr">
        <is>
          <t>Deterministic, continuous</t>
        </is>
      </c>
      <c r="K173" s="42" t="inlineStr">
        <is>
          <t>Pipeline</t>
        </is>
      </c>
      <c r="L173" s="42" t="inlineStr">
        <is>
          <t>Not assessed</t>
        </is>
      </c>
      <c r="M173" s="40" t="n"/>
      <c r="N173" s="40" t="n"/>
      <c r="O173" s="42" t="inlineStr">
        <is>
          <t>High</t>
        </is>
      </c>
      <c r="P173" s="43">
        <f>IF(H173="N/A","N/A",INDEX(CRIT_MATRIX,MATCH(O173,CRIT_MATRIX_ROWS,0),MATCH(APP_RISK_TIER,CRIT_MATRIX_COLS,0)))</f>
        <v/>
      </c>
      <c r="Q173" s="40" t="n"/>
      <c r="R173" s="40" cm="1">
        <f t="array" ref="R173">COUNTIFS(tblThreatControls[Control ID],$A173,tblThreatControls[Threat applies],"Applies")</f>
        <v/>
      </c>
      <c r="S173" s="40" cm="1">
        <f t="array" ref="S173">IF(R173=0,"",INDEX(RISK_SCALE_NAMES,_xlfn.MAXIFS(tblThreatControls[Threat risk score],tblThreatControls[Control ID],$A173)))</f>
        <v/>
      </c>
      <c r="T173" s="40" cm="1">
        <f t="array" ref="T173">IF(AND(H173="Applicable",OR(L173="Not assessed",L173=""),R173&gt;0),"Yes","No")</f>
        <v/>
      </c>
      <c r="U173" s="40" cm="1">
        <f t="array" ref="U173">IF(AND(H173="Applicable",OR(L173="Gap",L173="Partial coverage")),INDEX(RISK_SCALE_NAMES,MAX(IFERROR(MATCH(P173,RISK_SCALE_NAMES,0),1),IFERROR(MATCH(S173,RISK_SCALE_NAMES,0),0))),"")</f>
        <v/>
      </c>
      <c r="V173" s="40" cm="1">
        <f t="array" ref="V173">_xlfn.TEXTJOIN("; ",TRUE,_xlfn._xlws.FILTER(tblThreatControls[Threat ID],(tblThreatControls[Control ID]=$A173)*(tblThreatControls[Threat applies]="Applies"),""))</f>
        <v/>
      </c>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0" t="inlineStr">
        <is>
          <t>Architecture / documentation review</t>
        </is>
      </c>
      <c r="J174" s="40" t="inlineStr">
        <is>
          <t>Sampled, periodic</t>
        </is>
      </c>
      <c r="K174" s="42" t="inlineStr">
        <is>
          <t>Design/Governance</t>
        </is>
      </c>
      <c r="L174" s="42" t="inlineStr">
        <is>
          <t>Not assessed</t>
        </is>
      </c>
      <c r="M174" s="40" t="n"/>
      <c r="N174" s="40" t="n"/>
      <c r="O174" s="42" t="inlineStr">
        <is>
          <t>High</t>
        </is>
      </c>
      <c r="P174" s="43">
        <f>IF(H174="N/A","N/A",INDEX(CRIT_MATRIX,MATCH(O174,CRIT_MATRIX_ROWS,0),MATCH(APP_RISK_TIER,CRIT_MATRIX_COLS,0)))</f>
        <v/>
      </c>
      <c r="Q174" s="40" t="n"/>
      <c r="R174" s="40" cm="1">
        <f t="array" ref="R174">COUNTIFS(tblThreatControls[Control ID],$A174,tblThreatControls[Threat applies],"Applies")</f>
        <v/>
      </c>
      <c r="S174" s="40" cm="1">
        <f t="array" ref="S174">IF(R174=0,"",INDEX(RISK_SCALE_NAMES,_xlfn.MAXIFS(tblThreatControls[Threat risk score],tblThreatControls[Control ID],$A174)))</f>
        <v/>
      </c>
      <c r="T174" s="40" cm="1">
        <f t="array" ref="T174">IF(AND(H174="Applicable",OR(L174="Not assessed",L174=""),R174&gt;0),"Yes","No")</f>
        <v/>
      </c>
      <c r="U174" s="40" cm="1">
        <f t="array" ref="U174">IF(AND(H174="Applicable",OR(L174="Gap",L174="Partial coverage")),INDEX(RISK_SCALE_NAMES,MAX(IFERROR(MATCH(P174,RISK_SCALE_NAMES,0),1),IFERROR(MATCH(S174,RISK_SCALE_NAMES,0),0))),"")</f>
        <v/>
      </c>
      <c r="V174" s="40" cm="1">
        <f t="array" ref="V174">_xlfn.TEXTJOIN("; ",TRUE,_xlfn._xlws.FILTER(tblThreatControls[Threat ID],(tblThreatControls[Control ID]=$A174)*(tblThreatControls[Threat applies]="Applies"),""))</f>
        <v/>
      </c>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0" t="inlineStr">
        <is>
          <t>Architecture / documentation review</t>
        </is>
      </c>
      <c r="J175" s="40" t="inlineStr">
        <is>
          <t>Sampled, periodic</t>
        </is>
      </c>
      <c r="K175" s="42" t="inlineStr">
        <is>
          <t>Design/Governance</t>
        </is>
      </c>
      <c r="L175" s="42" t="inlineStr">
        <is>
          <t>Not assessed</t>
        </is>
      </c>
      <c r="M175" s="40" t="n"/>
      <c r="N175" s="40" t="n"/>
      <c r="O175" s="42" t="inlineStr">
        <is>
          <t>High</t>
        </is>
      </c>
      <c r="P175" s="43">
        <f>IF(H175="N/A","N/A",INDEX(CRIT_MATRIX,MATCH(O175,CRIT_MATRIX_ROWS,0),MATCH(APP_RISK_TIER,CRIT_MATRIX_COLS,0)))</f>
        <v/>
      </c>
      <c r="Q175" s="40" t="n"/>
      <c r="R175" s="40" cm="1">
        <f t="array" ref="R175">COUNTIFS(tblThreatControls[Control ID],$A175,tblThreatControls[Threat applies],"Applies")</f>
        <v/>
      </c>
      <c r="S175" s="40" cm="1">
        <f t="array" ref="S175">IF(R175=0,"",INDEX(RISK_SCALE_NAMES,_xlfn.MAXIFS(tblThreatControls[Threat risk score],tblThreatControls[Control ID],$A175)))</f>
        <v/>
      </c>
      <c r="T175" s="40" cm="1">
        <f t="array" ref="T175">IF(AND(H175="Applicable",OR(L175="Not assessed",L175=""),R175&gt;0),"Yes","No")</f>
        <v/>
      </c>
      <c r="U175" s="40" cm="1">
        <f t="array" ref="U175">IF(AND(H175="Applicable",OR(L175="Gap",L175="Partial coverage")),INDEX(RISK_SCALE_NAMES,MAX(IFERROR(MATCH(P175,RISK_SCALE_NAMES,0),1),IFERROR(MATCH(S175,RISK_SCALE_NAMES,0),0))),"")</f>
        <v/>
      </c>
      <c r="V175" s="40" cm="1">
        <f t="array" ref="V175">_xlfn.TEXTJOIN("; ",TRUE,_xlfn._xlws.FILTER(tblThreatControls[Threat ID],(tblThreatControls[Control ID]=$A175)*(tblThreatControls[Threat applies]="Applies"),""))</f>
        <v/>
      </c>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0" t="inlineStr">
        <is>
          <t>Architecture / documentation review</t>
        </is>
      </c>
      <c r="J176" s="40" t="inlineStr">
        <is>
          <t>Sampled, periodic</t>
        </is>
      </c>
      <c r="K176" s="42" t="inlineStr">
        <is>
          <t>Design/Governance</t>
        </is>
      </c>
      <c r="L176" s="42" t="inlineStr">
        <is>
          <t>Not assessed</t>
        </is>
      </c>
      <c r="M176" s="40" t="n"/>
      <c r="N176" s="40" t="n"/>
      <c r="O176" s="42" t="inlineStr">
        <is>
          <t>High</t>
        </is>
      </c>
      <c r="P176" s="43">
        <f>IF(H176="N/A","N/A",INDEX(CRIT_MATRIX,MATCH(O176,CRIT_MATRIX_ROWS,0),MATCH(APP_RISK_TIER,CRIT_MATRIX_COLS,0)))</f>
        <v/>
      </c>
      <c r="Q176" s="40" t="n"/>
      <c r="R176" s="40" cm="1">
        <f t="array" ref="R176">COUNTIFS(tblThreatControls[Control ID],$A176,tblThreatControls[Threat applies],"Applies")</f>
        <v/>
      </c>
      <c r="S176" s="40" cm="1">
        <f t="array" ref="S176">IF(R176=0,"",INDEX(RISK_SCALE_NAMES,_xlfn.MAXIFS(tblThreatControls[Threat risk score],tblThreatControls[Control ID],$A176)))</f>
        <v/>
      </c>
      <c r="T176" s="40" cm="1">
        <f t="array" ref="T176">IF(AND(H176="Applicable",OR(L176="Not assessed",L176=""),R176&gt;0),"Yes","No")</f>
        <v/>
      </c>
      <c r="U176" s="40" cm="1">
        <f t="array" ref="U176">IF(AND(H176="Applicable",OR(L176="Gap",L176="Partial coverage")),INDEX(RISK_SCALE_NAMES,MAX(IFERROR(MATCH(P176,RISK_SCALE_NAMES,0),1),IFERROR(MATCH(S176,RISK_SCALE_NAMES,0),0))),"")</f>
        <v/>
      </c>
      <c r="V176" s="40" cm="1">
        <f t="array" ref="V176">_xlfn.TEXTJOIN("; ",TRUE,_xlfn._xlws.FILTER(tblThreatControls[Threat ID],(tblThreatControls[Control ID]=$A176)*(tblThreatControls[Threat applies]="Applies"),""))</f>
        <v/>
      </c>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0" t="inlineStr">
        <is>
          <t>Architecture / documentation review</t>
        </is>
      </c>
      <c r="J177" s="40" t="inlineStr">
        <is>
          <t>Sampled, periodic</t>
        </is>
      </c>
      <c r="K177" s="42" t="inlineStr">
        <is>
          <t>Design/Governance</t>
        </is>
      </c>
      <c r="L177" s="42" t="inlineStr">
        <is>
          <t>Not assessed</t>
        </is>
      </c>
      <c r="M177" s="40" t="n"/>
      <c r="N177" s="40" t="n"/>
      <c r="O177" s="42" t="inlineStr">
        <is>
          <t>High</t>
        </is>
      </c>
      <c r="P177" s="43">
        <f>IF(H177="N/A","N/A",INDEX(CRIT_MATRIX,MATCH(O177,CRIT_MATRIX_ROWS,0),MATCH(APP_RISK_TIER,CRIT_MATRIX_COLS,0)))</f>
        <v/>
      </c>
      <c r="Q177" s="40" t="n"/>
      <c r="R177" s="40" cm="1">
        <f t="array" ref="R177">COUNTIFS(tblThreatControls[Control ID],$A177,tblThreatControls[Threat applies],"Applies")</f>
        <v/>
      </c>
      <c r="S177" s="40" cm="1">
        <f t="array" ref="S177">IF(R177=0,"",INDEX(RISK_SCALE_NAMES,_xlfn.MAXIFS(tblThreatControls[Threat risk score],tblThreatControls[Control ID],$A177)))</f>
        <v/>
      </c>
      <c r="T177" s="40" cm="1">
        <f t="array" ref="T177">IF(AND(H177="Applicable",OR(L177="Not assessed",L177=""),R177&gt;0),"Yes","No")</f>
        <v/>
      </c>
      <c r="U177" s="40" cm="1">
        <f t="array" ref="U177">IF(AND(H177="Applicable",OR(L177="Gap",L177="Partial coverage")),INDEX(RISK_SCALE_NAMES,MAX(IFERROR(MATCH(P177,RISK_SCALE_NAMES,0),1),IFERROR(MATCH(S177,RISK_SCALE_NAMES,0),0))),"")</f>
        <v/>
      </c>
      <c r="V177" s="40" cm="1">
        <f t="array" ref="V177">_xlfn.TEXTJOIN("; ",TRUE,_xlfn._xlws.FILTER(tblThreatControls[Threat ID],(tblThreatControls[Control ID]=$A177)*(tblThreatControls[Threat applies]="Applies"),""))</f>
        <v/>
      </c>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0" t="inlineStr">
        <is>
          <t>SAST + integration testing</t>
        </is>
      </c>
      <c r="J178" s="40" t="inlineStr">
        <is>
          <t>Deterministic, continuous</t>
        </is>
      </c>
      <c r="K178" s="42" t="inlineStr">
        <is>
          <t>Pipeline</t>
        </is>
      </c>
      <c r="L178" s="42" t="inlineStr">
        <is>
          <t>Not assessed</t>
        </is>
      </c>
      <c r="M178" s="40" t="n"/>
      <c r="N178" s="40" t="n"/>
      <c r="O178" s="42" t="inlineStr">
        <is>
          <t>High</t>
        </is>
      </c>
      <c r="P178" s="43">
        <f>IF(H178="N/A","N/A",INDEX(CRIT_MATRIX,MATCH(O178,CRIT_MATRIX_ROWS,0),MATCH(APP_RISK_TIER,CRIT_MATRIX_COLS,0)))</f>
        <v/>
      </c>
      <c r="Q178" s="40" t="n"/>
      <c r="R178" s="40" cm="1">
        <f t="array" ref="R178">COUNTIFS(tblThreatControls[Control ID],$A178,tblThreatControls[Threat applies],"Applies")</f>
        <v/>
      </c>
      <c r="S178" s="40" cm="1">
        <f t="array" ref="S178">IF(R178=0,"",INDEX(RISK_SCALE_NAMES,_xlfn.MAXIFS(tblThreatControls[Threat risk score],tblThreatControls[Control ID],$A178)))</f>
        <v/>
      </c>
      <c r="T178" s="40" cm="1">
        <f t="array" ref="T178">IF(AND(H178="Applicable",OR(L178="Not assessed",L178=""),R178&gt;0),"Yes","No")</f>
        <v/>
      </c>
      <c r="U178" s="40" cm="1">
        <f t="array" ref="U178">IF(AND(H178="Applicable",OR(L178="Gap",L178="Partial coverage")),INDEX(RISK_SCALE_NAMES,MAX(IFERROR(MATCH(P178,RISK_SCALE_NAMES,0),1),IFERROR(MATCH(S178,RISK_SCALE_NAMES,0),0))),"")</f>
        <v/>
      </c>
      <c r="V178" s="40" cm="1">
        <f t="array" ref="V178">_xlfn.TEXTJOIN("; ",TRUE,_xlfn._xlws.FILTER(tblThreatControls[Threat ID],(tblThreatControls[Control ID]=$A178)*(tblThreatControls[Threat applies]="Applies"),""))</f>
        <v/>
      </c>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0" t="inlineStr">
        <is>
          <t>SAST + integration testing</t>
        </is>
      </c>
      <c r="J179" s="40" t="inlineStr">
        <is>
          <t>Deterministic, continuous</t>
        </is>
      </c>
      <c r="K179" s="42" t="inlineStr">
        <is>
          <t>Pipeline</t>
        </is>
      </c>
      <c r="L179" s="42" t="inlineStr">
        <is>
          <t>Gap</t>
        </is>
      </c>
      <c r="M179" s="40" t="n"/>
      <c r="N179" s="40" t="inlineStr">
        <is>
          <t>Document IDs are sequential and not re-checked</t>
        </is>
      </c>
      <c r="O179" s="42" t="inlineStr">
        <is>
          <t>High</t>
        </is>
      </c>
      <c r="P179" s="43">
        <f>IF(H179="N/A","N/A",INDEX(CRIT_MATRIX,MATCH(O179,CRIT_MATRIX_ROWS,0),MATCH(APP_RISK_TIER,CRIT_MATRIX_COLS,0)))</f>
        <v/>
      </c>
      <c r="Q179" s="40" t="inlineStr">
        <is>
          <t>Vendor</t>
        </is>
      </c>
      <c r="R179" s="40" cm="1">
        <f t="array" ref="R179">COUNTIFS(tblThreatControls[Control ID],$A179,tblThreatControls[Threat applies],"Applies")</f>
        <v/>
      </c>
      <c r="S179" s="40" cm="1">
        <f t="array" ref="S179">IF(R179=0,"",INDEX(RISK_SCALE_NAMES,_xlfn.MAXIFS(tblThreatControls[Threat risk score],tblThreatControls[Control ID],$A179)))</f>
        <v/>
      </c>
      <c r="T179" s="40" cm="1">
        <f t="array" ref="T179">IF(AND(H179="Applicable",OR(L179="Not assessed",L179=""),R179&gt;0),"Yes","No")</f>
        <v/>
      </c>
      <c r="U179" s="40" cm="1">
        <f t="array" ref="U179">IF(AND(H179="Applicable",OR(L179="Gap",L179="Partial coverage")),INDEX(RISK_SCALE_NAMES,MAX(IFERROR(MATCH(P179,RISK_SCALE_NAMES,0),1),IFERROR(MATCH(S179,RISK_SCALE_NAMES,0),0))),"")</f>
        <v/>
      </c>
      <c r="V179" s="40" cm="1">
        <f t="array" ref="V179">_xlfn.TEXTJOIN("; ",TRUE,_xlfn._xlws.FILTER(tblThreatControls[Threat ID],(tblThreatControls[Control ID]=$A179)*(tblThreatControls[Threat applies]="Applies"),""))</f>
        <v/>
      </c>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0" t="inlineStr">
        <is>
          <t>SAST + integration testing</t>
        </is>
      </c>
      <c r="J180" s="40" t="inlineStr">
        <is>
          <t>Deterministic, continuous</t>
        </is>
      </c>
      <c r="K180" s="42" t="inlineStr">
        <is>
          <t>Pipeline</t>
        </is>
      </c>
      <c r="L180" s="42" t="inlineStr">
        <is>
          <t>Not assessed</t>
        </is>
      </c>
      <c r="M180" s="40" t="n"/>
      <c r="N180" s="40" t="n"/>
      <c r="O180" s="42" t="inlineStr">
        <is>
          <t>High</t>
        </is>
      </c>
      <c r="P180" s="43">
        <f>IF(H180="N/A","N/A",INDEX(CRIT_MATRIX,MATCH(O180,CRIT_MATRIX_ROWS,0),MATCH(APP_RISK_TIER,CRIT_MATRIX_COLS,0)))</f>
        <v/>
      </c>
      <c r="Q180" s="40" t="n"/>
      <c r="R180" s="40" cm="1">
        <f t="array" ref="R180">COUNTIFS(tblThreatControls[Control ID],$A180,tblThreatControls[Threat applies],"Applies")</f>
        <v/>
      </c>
      <c r="S180" s="40" cm="1">
        <f t="array" ref="S180">IF(R180=0,"",INDEX(RISK_SCALE_NAMES,_xlfn.MAXIFS(tblThreatControls[Threat risk score],tblThreatControls[Control ID],$A180)))</f>
        <v/>
      </c>
      <c r="T180" s="40" cm="1">
        <f t="array" ref="T180">IF(AND(H180="Applicable",OR(L180="Not assessed",L180=""),R180&gt;0),"Yes","No")</f>
        <v/>
      </c>
      <c r="U180" s="40" cm="1">
        <f t="array" ref="U180">IF(AND(H180="Applicable",OR(L180="Gap",L180="Partial coverage")),INDEX(RISK_SCALE_NAMES,MAX(IFERROR(MATCH(P180,RISK_SCALE_NAMES,0),1),IFERROR(MATCH(S180,RISK_SCALE_NAMES,0),0))),"")</f>
        <v/>
      </c>
      <c r="V180" s="40" cm="1">
        <f t="array" ref="V180">_xlfn.TEXTJOIN("; ",TRUE,_xlfn._xlws.FILTER(tblThreatControls[Threat ID],(tblThreatControls[Control ID]=$A180)*(tblThreatControls[Threat applies]="Applies"),""))</f>
        <v/>
      </c>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0" t="inlineStr">
        <is>
          <t>SAST + integration testing</t>
        </is>
      </c>
      <c r="J181" s="40" t="inlineStr">
        <is>
          <t>Deterministic, continuous</t>
        </is>
      </c>
      <c r="K181" s="42" t="inlineStr">
        <is>
          <t>Pipeline</t>
        </is>
      </c>
      <c r="L181" s="42" t="inlineStr">
        <is>
          <t>Not assessed</t>
        </is>
      </c>
      <c r="M181" s="40" t="n"/>
      <c r="N181" s="40" t="n"/>
      <c r="O181" s="42" t="inlineStr">
        <is>
          <t>High</t>
        </is>
      </c>
      <c r="P181" s="43">
        <f>IF(H181="N/A","N/A",INDEX(CRIT_MATRIX,MATCH(O181,CRIT_MATRIX_ROWS,0),MATCH(APP_RISK_TIER,CRIT_MATRIX_COLS,0)))</f>
        <v/>
      </c>
      <c r="Q181" s="40" t="n"/>
      <c r="R181" s="40" cm="1">
        <f t="array" ref="R181">COUNTIFS(tblThreatControls[Control ID],$A181,tblThreatControls[Threat applies],"Applies")</f>
        <v/>
      </c>
      <c r="S181" s="40" cm="1">
        <f t="array" ref="S181">IF(R181=0,"",INDEX(RISK_SCALE_NAMES,_xlfn.MAXIFS(tblThreatControls[Threat risk score],tblThreatControls[Control ID],$A181)))</f>
        <v/>
      </c>
      <c r="T181" s="40" cm="1">
        <f t="array" ref="T181">IF(AND(H181="Applicable",OR(L181="Not assessed",L181=""),R181&gt;0),"Yes","No")</f>
        <v/>
      </c>
      <c r="U181" s="40" cm="1">
        <f t="array" ref="U181">IF(AND(H181="Applicable",OR(L181="Gap",L181="Partial coverage")),INDEX(RISK_SCALE_NAMES,MAX(IFERROR(MATCH(P181,RISK_SCALE_NAMES,0),1),IFERROR(MATCH(S181,RISK_SCALE_NAMES,0),0))),"")</f>
        <v/>
      </c>
      <c r="V181" s="40" cm="1">
        <f t="array" ref="V181">_xlfn.TEXTJOIN("; ",TRUE,_xlfn._xlws.FILTER(tblThreatControls[Threat ID],(tblThreatControls[Control ID]=$A181)*(tblThreatControls[Threat applies]="Applies"),""))</f>
        <v/>
      </c>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0" t="inlineStr">
        <is>
          <t>Pentest / authenticated DAST</t>
        </is>
      </c>
      <c r="J182" s="40" t="inlineStr">
        <is>
          <t>Sampled, periodic</t>
        </is>
      </c>
      <c r="K182" s="42" t="inlineStr">
        <is>
          <t>Periodic</t>
        </is>
      </c>
      <c r="L182" s="42" t="inlineStr">
        <is>
          <t>Not assessed</t>
        </is>
      </c>
      <c r="M182" s="40" t="n"/>
      <c r="N182" s="40" t="n"/>
      <c r="O182" s="42" t="inlineStr">
        <is>
          <t>High</t>
        </is>
      </c>
      <c r="P182" s="43">
        <f>IF(H182="N/A","N/A",INDEX(CRIT_MATRIX,MATCH(O182,CRIT_MATRIX_ROWS,0),MATCH(APP_RISK_TIER,CRIT_MATRIX_COLS,0)))</f>
        <v/>
      </c>
      <c r="Q182" s="40" t="n"/>
      <c r="R182" s="40" cm="1">
        <f t="array" ref="R182">COUNTIFS(tblThreatControls[Control ID],$A182,tblThreatControls[Threat applies],"Applies")</f>
        <v/>
      </c>
      <c r="S182" s="40" cm="1">
        <f t="array" ref="S182">IF(R182=0,"",INDEX(RISK_SCALE_NAMES,_xlfn.MAXIFS(tblThreatControls[Threat risk score],tblThreatControls[Control ID],$A182)))</f>
        <v/>
      </c>
      <c r="T182" s="40" cm="1">
        <f t="array" ref="T182">IF(AND(H182="Applicable",OR(L182="Not assessed",L182=""),R182&gt;0),"Yes","No")</f>
        <v/>
      </c>
      <c r="U182" s="40" cm="1">
        <f t="array" ref="U182">IF(AND(H182="Applicable",OR(L182="Gap",L182="Partial coverage")),INDEX(RISK_SCALE_NAMES,MAX(IFERROR(MATCH(P182,RISK_SCALE_NAMES,0),1),IFERROR(MATCH(S182,RISK_SCALE_NAMES,0),0))),"")</f>
        <v/>
      </c>
      <c r="V182" s="40" cm="1">
        <f t="array" ref="V182">_xlfn.TEXTJOIN("; ",TRUE,_xlfn._xlws.FILTER(tblThreatControls[Threat ID],(tblThreatControls[Control ID]=$A182)*(tblThreatControls[Threat applies]="Applies"),""))</f>
        <v/>
      </c>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0" t="inlineStr">
        <is>
          <t>Pentest / authenticated DAST</t>
        </is>
      </c>
      <c r="J183" s="40" t="inlineStr">
        <is>
          <t>Sampled, periodic</t>
        </is>
      </c>
      <c r="K183" s="42" t="inlineStr">
        <is>
          <t>Periodic</t>
        </is>
      </c>
      <c r="L183" s="42" t="inlineStr">
        <is>
          <t>Not assessed</t>
        </is>
      </c>
      <c r="M183" s="40" t="n"/>
      <c r="N183" s="40" t="n"/>
      <c r="O183" s="42" t="inlineStr">
        <is>
          <t>High</t>
        </is>
      </c>
      <c r="P183" s="43">
        <f>IF(H183="N/A","N/A",INDEX(CRIT_MATRIX,MATCH(O183,CRIT_MATRIX_ROWS,0),MATCH(APP_RISK_TIER,CRIT_MATRIX_COLS,0)))</f>
        <v/>
      </c>
      <c r="Q183" s="40" t="n"/>
      <c r="R183" s="40" cm="1">
        <f t="array" ref="R183">COUNTIFS(tblThreatControls[Control ID],$A183,tblThreatControls[Threat applies],"Applies")</f>
        <v/>
      </c>
      <c r="S183" s="40" cm="1">
        <f t="array" ref="S183">IF(R183=0,"",INDEX(RISK_SCALE_NAMES,_xlfn.MAXIFS(tblThreatControls[Threat risk score],tblThreatControls[Control ID],$A183)))</f>
        <v/>
      </c>
      <c r="T183" s="40" cm="1">
        <f t="array" ref="T183">IF(AND(H183="Applicable",OR(L183="Not assessed",L183=""),R183&gt;0),"Yes","No")</f>
        <v/>
      </c>
      <c r="U183" s="40" cm="1">
        <f t="array" ref="U183">IF(AND(H183="Applicable",OR(L183="Gap",L183="Partial coverage")),INDEX(RISK_SCALE_NAMES,MAX(IFERROR(MATCH(P183,RISK_SCALE_NAMES,0),1),IFERROR(MATCH(S183,RISK_SCALE_NAMES,0),0))),"")</f>
        <v/>
      </c>
      <c r="V183" s="40" cm="1">
        <f t="array" ref="V183">_xlfn.TEXTJOIN("; ",TRUE,_xlfn._xlws.FILTER(tblThreatControls[Threat ID],(tblThreatControls[Control ID]=$A183)*(tblThreatControls[Threat applies]="Applies"),""))</f>
        <v/>
      </c>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0" t="inlineStr">
        <is>
          <t>Pentest / authenticated DAST</t>
        </is>
      </c>
      <c r="J184" s="40" t="inlineStr">
        <is>
          <t>Sampled, periodic</t>
        </is>
      </c>
      <c r="K184" s="42" t="inlineStr">
        <is>
          <t>Periodic</t>
        </is>
      </c>
      <c r="L184" s="42" t="inlineStr">
        <is>
          <t>Not assessed</t>
        </is>
      </c>
      <c r="M184" s="40" t="n"/>
      <c r="N184" s="40" t="n"/>
      <c r="O184" s="42" t="inlineStr">
        <is>
          <t>High</t>
        </is>
      </c>
      <c r="P184" s="43">
        <f>IF(H184="N/A","N/A",INDEX(CRIT_MATRIX,MATCH(O184,CRIT_MATRIX_ROWS,0),MATCH(APP_RISK_TIER,CRIT_MATRIX_COLS,0)))</f>
        <v/>
      </c>
      <c r="Q184" s="40" t="n"/>
      <c r="R184" s="40" cm="1">
        <f t="array" ref="R184">COUNTIFS(tblThreatControls[Control ID],$A184,tblThreatControls[Threat applies],"Applies")</f>
        <v/>
      </c>
      <c r="S184" s="40" cm="1">
        <f t="array" ref="S184">IF(R184=0,"",INDEX(RISK_SCALE_NAMES,_xlfn.MAXIFS(tblThreatControls[Threat risk score],tblThreatControls[Control ID],$A184)))</f>
        <v/>
      </c>
      <c r="T184" s="40" cm="1">
        <f t="array" ref="T184">IF(AND(H184="Applicable",OR(L184="Not assessed",L184=""),R184&gt;0),"Yes","No")</f>
        <v/>
      </c>
      <c r="U184" s="40" cm="1">
        <f t="array" ref="U184">IF(AND(H184="Applicable",OR(L184="Gap",L184="Partial coverage")),INDEX(RISK_SCALE_NAMES,MAX(IFERROR(MATCH(P184,RISK_SCALE_NAMES,0),1),IFERROR(MATCH(S184,RISK_SCALE_NAMES,0),0))),"")</f>
        <v/>
      </c>
      <c r="V184" s="40" cm="1">
        <f t="array" ref="V184">_xlfn.TEXTJOIN("; ",TRUE,_xlfn._xlws.FILTER(tblThreatControls[Threat ID],(tblThreatControls[Control ID]=$A184)*(tblThreatControls[Threat applies]="Applies"),""))</f>
        <v/>
      </c>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0" t="inlineStr">
        <is>
          <t>SAST + integration testing</t>
        </is>
      </c>
      <c r="J185" s="40" t="inlineStr">
        <is>
          <t>Deterministic, continuous</t>
        </is>
      </c>
      <c r="K185" s="42" t="inlineStr">
        <is>
          <t>Pipeline</t>
        </is>
      </c>
      <c r="L185" s="42" t="inlineStr">
        <is>
          <t>Not assessed</t>
        </is>
      </c>
      <c r="M185" s="40" t="n"/>
      <c r="N185" s="40" t="n"/>
      <c r="O185" s="42" t="inlineStr">
        <is>
          <t>High</t>
        </is>
      </c>
      <c r="P185" s="43">
        <f>IF(H185="N/A","N/A",INDEX(CRIT_MATRIX,MATCH(O185,CRIT_MATRIX_ROWS,0),MATCH(APP_RISK_TIER,CRIT_MATRIX_COLS,0)))</f>
        <v/>
      </c>
      <c r="Q185" s="40" t="n"/>
      <c r="R185" s="40" cm="1">
        <f t="array" ref="R185">COUNTIFS(tblThreatControls[Control ID],$A185,tblThreatControls[Threat applies],"Applies")</f>
        <v/>
      </c>
      <c r="S185" s="40" cm="1">
        <f t="array" ref="S185">IF(R185=0,"",INDEX(RISK_SCALE_NAMES,_xlfn.MAXIFS(tblThreatControls[Threat risk score],tblThreatControls[Control ID],$A185)))</f>
        <v/>
      </c>
      <c r="T185" s="40" cm="1">
        <f t="array" ref="T185">IF(AND(H185="Applicable",OR(L185="Not assessed",L185=""),R185&gt;0),"Yes","No")</f>
        <v/>
      </c>
      <c r="U185" s="40" cm="1">
        <f t="array" ref="U185">IF(AND(H185="Applicable",OR(L185="Gap",L185="Partial coverage")),INDEX(RISK_SCALE_NAMES,MAX(IFERROR(MATCH(P185,RISK_SCALE_NAMES,0),1),IFERROR(MATCH(S185,RISK_SCALE_NAMES,0),0))),"")</f>
        <v/>
      </c>
      <c r="V185" s="40" cm="1">
        <f t="array" ref="V185">_xlfn.TEXTJOIN("; ",TRUE,_xlfn._xlws.FILTER(tblThreatControls[Threat ID],(tblThreatControls[Control ID]=$A185)*(tblThreatControls[Threat applies]="Applies"),""))</f>
        <v/>
      </c>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0" t="inlineStr">
        <is>
          <t>SAST + integration testing</t>
        </is>
      </c>
      <c r="J186" s="40" t="inlineStr">
        <is>
          <t>Deterministic, continuous</t>
        </is>
      </c>
      <c r="K186" s="42" t="inlineStr">
        <is>
          <t>Pipeline</t>
        </is>
      </c>
      <c r="L186" s="42" t="inlineStr">
        <is>
          <t>Not assessed</t>
        </is>
      </c>
      <c r="M186" s="40" t="n"/>
      <c r="N186" s="40" t="n"/>
      <c r="O186" s="42" t="inlineStr">
        <is>
          <t>High</t>
        </is>
      </c>
      <c r="P186" s="43">
        <f>IF(H186="N/A","N/A",INDEX(CRIT_MATRIX,MATCH(O186,CRIT_MATRIX_ROWS,0),MATCH(APP_RISK_TIER,CRIT_MATRIX_COLS,0)))</f>
        <v/>
      </c>
      <c r="Q186" s="40" t="n"/>
      <c r="R186" s="40" cm="1">
        <f t="array" ref="R186">COUNTIFS(tblThreatControls[Control ID],$A186,tblThreatControls[Threat applies],"Applies")</f>
        <v/>
      </c>
      <c r="S186" s="40" cm="1">
        <f t="array" ref="S186">IF(R186=0,"",INDEX(RISK_SCALE_NAMES,_xlfn.MAXIFS(tblThreatControls[Threat risk score],tblThreatControls[Control ID],$A186)))</f>
        <v/>
      </c>
      <c r="T186" s="40" cm="1">
        <f t="array" ref="T186">IF(AND(H186="Applicable",OR(L186="Not assessed",L186=""),R186&gt;0),"Yes","No")</f>
        <v/>
      </c>
      <c r="U186" s="40" cm="1">
        <f t="array" ref="U186">IF(AND(H186="Applicable",OR(L186="Gap",L186="Partial coverage")),INDEX(RISK_SCALE_NAMES,MAX(IFERROR(MATCH(P186,RISK_SCALE_NAMES,0),1),IFERROR(MATCH(S186,RISK_SCALE_NAMES,0),0))),"")</f>
        <v/>
      </c>
      <c r="V186" s="40" cm="1">
        <f t="array" ref="V186">_xlfn.TEXTJOIN("; ",TRUE,_xlfn._xlws.FILTER(tblThreatControls[Threat ID],(tblThreatControls[Control ID]=$A186)*(tblThreatControls[Threat applies]="Applies"),""))</f>
        <v/>
      </c>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0" t="inlineStr">
        <is>
          <t>SAST + configuration review</t>
        </is>
      </c>
      <c r="J187" s="40" t="inlineStr">
        <is>
          <t>Deterministic, continuous</t>
        </is>
      </c>
      <c r="K187" s="42" t="inlineStr">
        <is>
          <t>Pipeline</t>
        </is>
      </c>
      <c r="L187" s="42" t="inlineStr">
        <is>
          <t>Not assessed</t>
        </is>
      </c>
      <c r="M187" s="40" t="n"/>
      <c r="N187" s="40" t="n"/>
      <c r="O187" s="42" t="inlineStr">
        <is>
          <t>High</t>
        </is>
      </c>
      <c r="P187" s="43">
        <f>IF(H187="N/A","N/A",INDEX(CRIT_MATRIX,MATCH(O187,CRIT_MATRIX_ROWS,0),MATCH(APP_RISK_TIER,CRIT_MATRIX_COLS,0)))</f>
        <v/>
      </c>
      <c r="Q187" s="40" t="n"/>
      <c r="R187" s="40" cm="1">
        <f t="array" ref="R187">COUNTIFS(tblThreatControls[Control ID],$A187,tblThreatControls[Threat applies],"Applies")</f>
        <v/>
      </c>
      <c r="S187" s="40" cm="1">
        <f t="array" ref="S187">IF(R187=0,"",INDEX(RISK_SCALE_NAMES,_xlfn.MAXIFS(tblThreatControls[Threat risk score],tblThreatControls[Control ID],$A187)))</f>
        <v/>
      </c>
      <c r="T187" s="40" cm="1">
        <f t="array" ref="T187">IF(AND(H187="Applicable",OR(L187="Not assessed",L187=""),R187&gt;0),"Yes","No")</f>
        <v/>
      </c>
      <c r="U187" s="40" cm="1">
        <f t="array" ref="U187">IF(AND(H187="Applicable",OR(L187="Gap",L187="Partial coverage")),INDEX(RISK_SCALE_NAMES,MAX(IFERROR(MATCH(P187,RISK_SCALE_NAMES,0),1),IFERROR(MATCH(S187,RISK_SCALE_NAMES,0),0))),"")</f>
        <v/>
      </c>
      <c r="V187" s="40" cm="1">
        <f t="array" ref="V187">_xlfn.TEXTJOIN("; ",TRUE,_xlfn._xlws.FILTER(tblThreatControls[Threat ID],(tblThreatControls[Control ID]=$A187)*(tblThreatControls[Threat applies]="Applies"),""))</f>
        <v/>
      </c>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0" t="inlineStr">
        <is>
          <t>SAST + configuration review</t>
        </is>
      </c>
      <c r="J188" s="40" t="inlineStr">
        <is>
          <t>Deterministic, continuous</t>
        </is>
      </c>
      <c r="K188" s="42" t="inlineStr">
        <is>
          <t>Pipeline</t>
        </is>
      </c>
      <c r="L188" s="42" t="inlineStr">
        <is>
          <t>Not assessed</t>
        </is>
      </c>
      <c r="M188" s="40" t="n"/>
      <c r="N188" s="40" t="n"/>
      <c r="O188" s="42" t="inlineStr">
        <is>
          <t>High</t>
        </is>
      </c>
      <c r="P188" s="43">
        <f>IF(H188="N/A","N/A",INDEX(CRIT_MATRIX,MATCH(O188,CRIT_MATRIX_ROWS,0),MATCH(APP_RISK_TIER,CRIT_MATRIX_COLS,0)))</f>
        <v/>
      </c>
      <c r="Q188" s="40" t="n"/>
      <c r="R188" s="40" cm="1">
        <f t="array" ref="R188">COUNTIFS(tblThreatControls[Control ID],$A188,tblThreatControls[Threat applies],"Applies")</f>
        <v/>
      </c>
      <c r="S188" s="40" cm="1">
        <f t="array" ref="S188">IF(R188=0,"",INDEX(RISK_SCALE_NAMES,_xlfn.MAXIFS(tblThreatControls[Threat risk score],tblThreatControls[Control ID],$A188)))</f>
        <v/>
      </c>
      <c r="T188" s="40" cm="1">
        <f t="array" ref="T188">IF(AND(H188="Applicable",OR(L188="Not assessed",L188=""),R188&gt;0),"Yes","No")</f>
        <v/>
      </c>
      <c r="U188" s="40" cm="1">
        <f t="array" ref="U188">IF(AND(H188="Applicable",OR(L188="Gap",L188="Partial coverage")),INDEX(RISK_SCALE_NAMES,MAX(IFERROR(MATCH(P188,RISK_SCALE_NAMES,0),1),IFERROR(MATCH(S188,RISK_SCALE_NAMES,0),0))),"")</f>
        <v/>
      </c>
      <c r="V188" s="40" cm="1">
        <f t="array" ref="V188">_xlfn.TEXTJOIN("; ",TRUE,_xlfn._xlws.FILTER(tblThreatControls[Threat ID],(tblThreatControls[Control ID]=$A188)*(tblThreatControls[Threat applies]="Applies"),""))</f>
        <v/>
      </c>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0" t="inlineStr">
        <is>
          <t>SAST + configuration review</t>
        </is>
      </c>
      <c r="J189" s="40" t="inlineStr">
        <is>
          <t>Deterministic, continuous</t>
        </is>
      </c>
      <c r="K189" s="42" t="inlineStr">
        <is>
          <t>Pipeline</t>
        </is>
      </c>
      <c r="L189" s="42" t="inlineStr">
        <is>
          <t>Not assessed</t>
        </is>
      </c>
      <c r="M189" s="40" t="n"/>
      <c r="N189" s="40" t="n"/>
      <c r="O189" s="42" t="inlineStr">
        <is>
          <t>High</t>
        </is>
      </c>
      <c r="P189" s="43">
        <f>IF(H189="N/A","N/A",INDEX(CRIT_MATRIX,MATCH(O189,CRIT_MATRIX_ROWS,0),MATCH(APP_RISK_TIER,CRIT_MATRIX_COLS,0)))</f>
        <v/>
      </c>
      <c r="Q189" s="40" t="n"/>
      <c r="R189" s="40" cm="1">
        <f t="array" ref="R189">COUNTIFS(tblThreatControls[Control ID],$A189,tblThreatControls[Threat applies],"Applies")</f>
        <v/>
      </c>
      <c r="S189" s="40" cm="1">
        <f t="array" ref="S189">IF(R189=0,"",INDEX(RISK_SCALE_NAMES,_xlfn.MAXIFS(tblThreatControls[Threat risk score],tblThreatControls[Control ID],$A189)))</f>
        <v/>
      </c>
      <c r="T189" s="40" cm="1">
        <f t="array" ref="T189">IF(AND(H189="Applicable",OR(L189="Not assessed",L189=""),R189&gt;0),"Yes","No")</f>
        <v/>
      </c>
      <c r="U189" s="40" cm="1">
        <f t="array" ref="U189">IF(AND(H189="Applicable",OR(L189="Gap",L189="Partial coverage")),INDEX(RISK_SCALE_NAMES,MAX(IFERROR(MATCH(P189,RISK_SCALE_NAMES,0),1),IFERROR(MATCH(S189,RISK_SCALE_NAMES,0),0))),"")</f>
        <v/>
      </c>
      <c r="V189" s="40" cm="1">
        <f t="array" ref="V189">_xlfn.TEXTJOIN("; ",TRUE,_xlfn._xlws.FILTER(tblThreatControls[Threat ID],(tblThreatControls[Control ID]=$A189)*(tblThreatControls[Threat applies]="Applies"),""))</f>
        <v/>
      </c>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0" t="inlineStr">
        <is>
          <t>SAST + configuration review</t>
        </is>
      </c>
      <c r="J190" s="40" t="inlineStr">
        <is>
          <t>Deterministic, continuous</t>
        </is>
      </c>
      <c r="K190" s="42" t="inlineStr">
        <is>
          <t>Pipeline</t>
        </is>
      </c>
      <c r="L190" s="42" t="inlineStr">
        <is>
          <t>Not assessed</t>
        </is>
      </c>
      <c r="M190" s="40" t="n"/>
      <c r="N190" s="40" t="n"/>
      <c r="O190" s="42" t="inlineStr">
        <is>
          <t>High</t>
        </is>
      </c>
      <c r="P190" s="43">
        <f>IF(H190="N/A","N/A",INDEX(CRIT_MATRIX,MATCH(O190,CRIT_MATRIX_ROWS,0),MATCH(APP_RISK_TIER,CRIT_MATRIX_COLS,0)))</f>
        <v/>
      </c>
      <c r="Q190" s="40" t="n"/>
      <c r="R190" s="40" cm="1">
        <f t="array" ref="R190">COUNTIFS(tblThreatControls[Control ID],$A190,tblThreatControls[Threat applies],"Applies")</f>
        <v/>
      </c>
      <c r="S190" s="40" cm="1">
        <f t="array" ref="S190">IF(R190=0,"",INDEX(RISK_SCALE_NAMES,_xlfn.MAXIFS(tblThreatControls[Threat risk score],tblThreatControls[Control ID],$A190)))</f>
        <v/>
      </c>
      <c r="T190" s="40" cm="1">
        <f t="array" ref="T190">IF(AND(H190="Applicable",OR(L190="Not assessed",L190=""),R190&gt;0),"Yes","No")</f>
        <v/>
      </c>
      <c r="U190" s="40" cm="1">
        <f t="array" ref="U190">IF(AND(H190="Applicable",OR(L190="Gap",L190="Partial coverage")),INDEX(RISK_SCALE_NAMES,MAX(IFERROR(MATCH(P190,RISK_SCALE_NAMES,0),1),IFERROR(MATCH(S190,RISK_SCALE_NAMES,0),0))),"")</f>
        <v/>
      </c>
      <c r="V190" s="40" cm="1">
        <f t="array" ref="V190">_xlfn.TEXTJOIN("; ",TRUE,_xlfn._xlws.FILTER(tblThreatControls[Threat ID],(tblThreatControls[Control ID]=$A190)*(tblThreatControls[Threat applies]="Applies"),""))</f>
        <v/>
      </c>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0" t="inlineStr">
        <is>
          <t>SAST + configuration review</t>
        </is>
      </c>
      <c r="J191" s="40" t="inlineStr">
        <is>
          <t>Deterministic, continuous</t>
        </is>
      </c>
      <c r="K191" s="42" t="inlineStr">
        <is>
          <t>Pipeline</t>
        </is>
      </c>
      <c r="L191" s="42" t="inlineStr">
        <is>
          <t>Not assessed</t>
        </is>
      </c>
      <c r="M191" s="40" t="n"/>
      <c r="N191" s="40" t="n"/>
      <c r="O191" s="42" t="inlineStr">
        <is>
          <t>High</t>
        </is>
      </c>
      <c r="P191" s="43">
        <f>IF(H191="N/A","N/A",INDEX(CRIT_MATRIX,MATCH(O191,CRIT_MATRIX_ROWS,0),MATCH(APP_RISK_TIER,CRIT_MATRIX_COLS,0)))</f>
        <v/>
      </c>
      <c r="Q191" s="40" t="n"/>
      <c r="R191" s="40" cm="1">
        <f t="array" ref="R191">COUNTIFS(tblThreatControls[Control ID],$A191,tblThreatControls[Threat applies],"Applies")</f>
        <v/>
      </c>
      <c r="S191" s="40" cm="1">
        <f t="array" ref="S191">IF(R191=0,"",INDEX(RISK_SCALE_NAMES,_xlfn.MAXIFS(tblThreatControls[Threat risk score],tblThreatControls[Control ID],$A191)))</f>
        <v/>
      </c>
      <c r="T191" s="40" cm="1">
        <f t="array" ref="T191">IF(AND(H191="Applicable",OR(L191="Not assessed",L191=""),R191&gt;0),"Yes","No")</f>
        <v/>
      </c>
      <c r="U191" s="40" cm="1">
        <f t="array" ref="U191">IF(AND(H191="Applicable",OR(L191="Gap",L191="Partial coverage")),INDEX(RISK_SCALE_NAMES,MAX(IFERROR(MATCH(P191,RISK_SCALE_NAMES,0),1),IFERROR(MATCH(S191,RISK_SCALE_NAMES,0),0))),"")</f>
        <v/>
      </c>
      <c r="V191" s="40" cm="1">
        <f t="array" ref="V191">_xlfn.TEXTJOIN("; ",TRUE,_xlfn._xlws.FILTER(tblThreatControls[Threat ID],(tblThreatControls[Control ID]=$A191)*(tblThreatControls[Threat applies]="Applies"),""))</f>
        <v/>
      </c>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0" t="inlineStr">
        <is>
          <t>SAST + configuration review</t>
        </is>
      </c>
      <c r="J192" s="40" t="inlineStr">
        <is>
          <t>Deterministic, continuous</t>
        </is>
      </c>
      <c r="K192" s="42" t="inlineStr">
        <is>
          <t>Pipeline</t>
        </is>
      </c>
      <c r="L192" s="42" t="inlineStr">
        <is>
          <t>Not assessed</t>
        </is>
      </c>
      <c r="M192" s="40" t="n"/>
      <c r="N192" s="40" t="n"/>
      <c r="O192" s="42" t="inlineStr">
        <is>
          <t>High</t>
        </is>
      </c>
      <c r="P192" s="43">
        <f>IF(H192="N/A","N/A",INDEX(CRIT_MATRIX,MATCH(O192,CRIT_MATRIX_ROWS,0),MATCH(APP_RISK_TIER,CRIT_MATRIX_COLS,0)))</f>
        <v/>
      </c>
      <c r="Q192" s="40" t="n"/>
      <c r="R192" s="40" cm="1">
        <f t="array" ref="R192">COUNTIFS(tblThreatControls[Control ID],$A192,tblThreatControls[Threat applies],"Applies")</f>
        <v/>
      </c>
      <c r="S192" s="40" cm="1">
        <f t="array" ref="S192">IF(R192=0,"",INDEX(RISK_SCALE_NAMES,_xlfn.MAXIFS(tblThreatControls[Threat risk score],tblThreatControls[Control ID],$A192)))</f>
        <v/>
      </c>
      <c r="T192" s="40" cm="1">
        <f t="array" ref="T192">IF(AND(H192="Applicable",OR(L192="Not assessed",L192=""),R192&gt;0),"Yes","No")</f>
        <v/>
      </c>
      <c r="U192" s="40" cm="1">
        <f t="array" ref="U192">IF(AND(H192="Applicable",OR(L192="Gap",L192="Partial coverage")),INDEX(RISK_SCALE_NAMES,MAX(IFERROR(MATCH(P192,RISK_SCALE_NAMES,0),1),IFERROR(MATCH(S192,RISK_SCALE_NAMES,0),0))),"")</f>
        <v/>
      </c>
      <c r="V192" s="40" cm="1">
        <f t="array" ref="V192">_xlfn.TEXTJOIN("; ",TRUE,_xlfn._xlws.FILTER(tblThreatControls[Threat ID],(tblThreatControls[Control ID]=$A192)*(tblThreatControls[Threat applies]="Applies"),""))</f>
        <v/>
      </c>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0" t="inlineStr">
        <is>
          <t>SAST + configuration review</t>
        </is>
      </c>
      <c r="J193" s="40" t="inlineStr">
        <is>
          <t>Deterministic, continuous</t>
        </is>
      </c>
      <c r="K193" s="42" t="inlineStr">
        <is>
          <t>Pipeline</t>
        </is>
      </c>
      <c r="L193" s="42" t="inlineStr">
        <is>
          <t>Not assessed</t>
        </is>
      </c>
      <c r="M193" s="40" t="n"/>
      <c r="N193" s="40" t="n"/>
      <c r="O193" s="42" t="inlineStr">
        <is>
          <t>High</t>
        </is>
      </c>
      <c r="P193" s="43">
        <f>IF(H193="N/A","N/A",INDEX(CRIT_MATRIX,MATCH(O193,CRIT_MATRIX_ROWS,0),MATCH(APP_RISK_TIER,CRIT_MATRIX_COLS,0)))</f>
        <v/>
      </c>
      <c r="Q193" s="40" t="n"/>
      <c r="R193" s="40" cm="1">
        <f t="array" ref="R193">COUNTIFS(tblThreatControls[Control ID],$A193,tblThreatControls[Threat applies],"Applies")</f>
        <v/>
      </c>
      <c r="S193" s="40" cm="1">
        <f t="array" ref="S193">IF(R193=0,"",INDEX(RISK_SCALE_NAMES,_xlfn.MAXIFS(tblThreatControls[Threat risk score],tblThreatControls[Control ID],$A193)))</f>
        <v/>
      </c>
      <c r="T193" s="40" cm="1">
        <f t="array" ref="T193">IF(AND(H193="Applicable",OR(L193="Not assessed",L193=""),R193&gt;0),"Yes","No")</f>
        <v/>
      </c>
      <c r="U193" s="40" cm="1">
        <f t="array" ref="U193">IF(AND(H193="Applicable",OR(L193="Gap",L193="Partial coverage")),INDEX(RISK_SCALE_NAMES,MAX(IFERROR(MATCH(P193,RISK_SCALE_NAMES,0),1),IFERROR(MATCH(S193,RISK_SCALE_NAMES,0),0))),"")</f>
        <v/>
      </c>
      <c r="V193" s="40" cm="1">
        <f t="array" ref="V193">_xlfn.TEXTJOIN("; ",TRUE,_xlfn._xlws.FILTER(tblThreatControls[Threat ID],(tblThreatControls[Control ID]=$A193)*(tblThreatControls[Threat applies]="Applies"),""))</f>
        <v/>
      </c>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0" t="inlineStr">
        <is>
          <t>SAST + integration testing</t>
        </is>
      </c>
      <c r="J194" s="40" t="inlineStr">
        <is>
          <t>Deterministic, continuous</t>
        </is>
      </c>
      <c r="K194" s="42" t="inlineStr">
        <is>
          <t>Pipeline</t>
        </is>
      </c>
      <c r="L194" s="42" t="inlineStr">
        <is>
          <t>Not assessed</t>
        </is>
      </c>
      <c r="M194" s="40" t="n"/>
      <c r="N194" s="40" t="n"/>
      <c r="O194" s="42" t="inlineStr">
        <is>
          <t>High</t>
        </is>
      </c>
      <c r="P194" s="43">
        <f>IF(H194="N/A","N/A",INDEX(CRIT_MATRIX,MATCH(O194,CRIT_MATRIX_ROWS,0),MATCH(APP_RISK_TIER,CRIT_MATRIX_COLS,0)))</f>
        <v/>
      </c>
      <c r="Q194" s="40" t="n"/>
      <c r="R194" s="40" cm="1">
        <f t="array" ref="R194">COUNTIFS(tblThreatControls[Control ID],$A194,tblThreatControls[Threat applies],"Applies")</f>
        <v/>
      </c>
      <c r="S194" s="40" cm="1">
        <f t="array" ref="S194">IF(R194=0,"",INDEX(RISK_SCALE_NAMES,_xlfn.MAXIFS(tblThreatControls[Threat risk score],tblThreatControls[Control ID],$A194)))</f>
        <v/>
      </c>
      <c r="T194" s="40" cm="1">
        <f t="array" ref="T194">IF(AND(H194="Applicable",OR(L194="Not assessed",L194=""),R194&gt;0),"Yes","No")</f>
        <v/>
      </c>
      <c r="U194" s="40" cm="1">
        <f t="array" ref="U194">IF(AND(H194="Applicable",OR(L194="Gap",L194="Partial coverage")),INDEX(RISK_SCALE_NAMES,MAX(IFERROR(MATCH(P194,RISK_SCALE_NAMES,0),1),IFERROR(MATCH(S194,RISK_SCALE_NAMES,0),0))),"")</f>
        <v/>
      </c>
      <c r="V194" s="40" cm="1">
        <f t="array" ref="V194">_xlfn.TEXTJOIN("; ",TRUE,_xlfn._xlws.FILTER(tblThreatControls[Threat ID],(tblThreatControls[Control ID]=$A194)*(tblThreatControls[Threat applies]="Applies"),""))</f>
        <v/>
      </c>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0" t="inlineStr">
        <is>
          <t>SAST + integration testing</t>
        </is>
      </c>
      <c r="J195" s="40" t="inlineStr">
        <is>
          <t>Deterministic, continuous</t>
        </is>
      </c>
      <c r="K195" s="42" t="inlineStr">
        <is>
          <t>Pipeline</t>
        </is>
      </c>
      <c r="L195" s="42" t="inlineStr">
        <is>
          <t>Not assessed</t>
        </is>
      </c>
      <c r="M195" s="40" t="n"/>
      <c r="N195" s="40" t="n"/>
      <c r="O195" s="42" t="inlineStr">
        <is>
          <t>High</t>
        </is>
      </c>
      <c r="P195" s="43">
        <f>IF(H195="N/A","N/A",INDEX(CRIT_MATRIX,MATCH(O195,CRIT_MATRIX_ROWS,0),MATCH(APP_RISK_TIER,CRIT_MATRIX_COLS,0)))</f>
        <v/>
      </c>
      <c r="Q195" s="40" t="n"/>
      <c r="R195" s="40" cm="1">
        <f t="array" ref="R195">COUNTIFS(tblThreatControls[Control ID],$A195,tblThreatControls[Threat applies],"Applies")</f>
        <v/>
      </c>
      <c r="S195" s="40" cm="1">
        <f t="array" ref="S195">IF(R195=0,"",INDEX(RISK_SCALE_NAMES,_xlfn.MAXIFS(tblThreatControls[Threat risk score],tblThreatControls[Control ID],$A195)))</f>
        <v/>
      </c>
      <c r="T195" s="40" cm="1">
        <f t="array" ref="T195">IF(AND(H195="Applicable",OR(L195="Not assessed",L195=""),R195&gt;0),"Yes","No")</f>
        <v/>
      </c>
      <c r="U195" s="40" cm="1">
        <f t="array" ref="U195">IF(AND(H195="Applicable",OR(L195="Gap",L195="Partial coverage")),INDEX(RISK_SCALE_NAMES,MAX(IFERROR(MATCH(P195,RISK_SCALE_NAMES,0),1),IFERROR(MATCH(S195,RISK_SCALE_NAMES,0),0))),"")</f>
        <v/>
      </c>
      <c r="V195" s="40" cm="1">
        <f t="array" ref="V195">_xlfn.TEXTJOIN("; ",TRUE,_xlfn._xlws.FILTER(tblThreatControls[Threat ID],(tblThreatControls[Control ID]=$A195)*(tblThreatControls[Threat applies]="Applies"),""))</f>
        <v/>
      </c>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0" t="inlineStr">
        <is>
          <t>SAST + integration testing</t>
        </is>
      </c>
      <c r="J196" s="40" t="inlineStr">
        <is>
          <t>Deterministic, continuous</t>
        </is>
      </c>
      <c r="K196" s="42" t="inlineStr">
        <is>
          <t>Pipeline</t>
        </is>
      </c>
      <c r="L196" s="42" t="inlineStr">
        <is>
          <t>Not assessed</t>
        </is>
      </c>
      <c r="M196" s="40" t="n"/>
      <c r="N196" s="40" t="n"/>
      <c r="O196" s="42" t="inlineStr">
        <is>
          <t>High</t>
        </is>
      </c>
      <c r="P196" s="43">
        <f>IF(H196="N/A","N/A",INDEX(CRIT_MATRIX,MATCH(O196,CRIT_MATRIX_ROWS,0),MATCH(APP_RISK_TIER,CRIT_MATRIX_COLS,0)))</f>
        <v/>
      </c>
      <c r="Q196" s="40" t="n"/>
      <c r="R196" s="40" cm="1">
        <f t="array" ref="R196">COUNTIFS(tblThreatControls[Control ID],$A196,tblThreatControls[Threat applies],"Applies")</f>
        <v/>
      </c>
      <c r="S196" s="40" cm="1">
        <f t="array" ref="S196">IF(R196=0,"",INDEX(RISK_SCALE_NAMES,_xlfn.MAXIFS(tblThreatControls[Threat risk score],tblThreatControls[Control ID],$A196)))</f>
        <v/>
      </c>
      <c r="T196" s="40" cm="1">
        <f t="array" ref="T196">IF(AND(H196="Applicable",OR(L196="Not assessed",L196=""),R196&gt;0),"Yes","No")</f>
        <v/>
      </c>
      <c r="U196" s="40" cm="1">
        <f t="array" ref="U196">IF(AND(H196="Applicable",OR(L196="Gap",L196="Partial coverage")),INDEX(RISK_SCALE_NAMES,MAX(IFERROR(MATCH(P196,RISK_SCALE_NAMES,0),1),IFERROR(MATCH(S196,RISK_SCALE_NAMES,0),0))),"")</f>
        <v/>
      </c>
      <c r="V196" s="40" cm="1">
        <f t="array" ref="V196">_xlfn.TEXTJOIN("; ",TRUE,_xlfn._xlws.FILTER(tblThreatControls[Threat ID],(tblThreatControls[Control ID]=$A196)*(tblThreatControls[Threat applies]="Applies"),""))</f>
        <v/>
      </c>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0" t="inlineStr">
        <is>
          <t>SAST + integration testing</t>
        </is>
      </c>
      <c r="J197" s="40" t="inlineStr">
        <is>
          <t>Deterministic, continuous</t>
        </is>
      </c>
      <c r="K197" s="42" t="inlineStr">
        <is>
          <t>Pipeline</t>
        </is>
      </c>
      <c r="L197" s="42" t="inlineStr">
        <is>
          <t>Not assessed</t>
        </is>
      </c>
      <c r="M197" s="40" t="n"/>
      <c r="N197" s="40" t="n"/>
      <c r="O197" s="42" t="inlineStr">
        <is>
          <t>High</t>
        </is>
      </c>
      <c r="P197" s="43">
        <f>IF(H197="N/A","N/A",INDEX(CRIT_MATRIX,MATCH(O197,CRIT_MATRIX_ROWS,0),MATCH(APP_RISK_TIER,CRIT_MATRIX_COLS,0)))</f>
        <v/>
      </c>
      <c r="Q197" s="40" t="n"/>
      <c r="R197" s="40" cm="1">
        <f t="array" ref="R197">COUNTIFS(tblThreatControls[Control ID],$A197,tblThreatControls[Threat applies],"Applies")</f>
        <v/>
      </c>
      <c r="S197" s="40" cm="1">
        <f t="array" ref="S197">IF(R197=0,"",INDEX(RISK_SCALE_NAMES,_xlfn.MAXIFS(tblThreatControls[Threat risk score],tblThreatControls[Control ID],$A197)))</f>
        <v/>
      </c>
      <c r="T197" s="40" cm="1">
        <f t="array" ref="T197">IF(AND(H197="Applicable",OR(L197="Not assessed",L197=""),R197&gt;0),"Yes","No")</f>
        <v/>
      </c>
      <c r="U197" s="40" cm="1">
        <f t="array" ref="U197">IF(AND(H197="Applicable",OR(L197="Gap",L197="Partial coverage")),INDEX(RISK_SCALE_NAMES,MAX(IFERROR(MATCH(P197,RISK_SCALE_NAMES,0),1),IFERROR(MATCH(S197,RISK_SCALE_NAMES,0),0))),"")</f>
        <v/>
      </c>
      <c r="V197" s="40" cm="1">
        <f t="array" ref="V197">_xlfn.TEXTJOIN("; ",TRUE,_xlfn._xlws.FILTER(tblThreatControls[Threat ID],(tblThreatControls[Control ID]=$A197)*(tblThreatControls[Threat applies]="Applies"),""))</f>
        <v/>
      </c>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0" t="inlineStr">
        <is>
          <t>SAST + integration testing</t>
        </is>
      </c>
      <c r="J198" s="40" t="inlineStr">
        <is>
          <t>Deterministic, continuous</t>
        </is>
      </c>
      <c r="K198" s="42" t="inlineStr">
        <is>
          <t>Pipeline</t>
        </is>
      </c>
      <c r="L198" s="42" t="inlineStr">
        <is>
          <t>Not assessed</t>
        </is>
      </c>
      <c r="M198" s="40" t="n"/>
      <c r="N198" s="40" t="n"/>
      <c r="O198" s="42" t="inlineStr">
        <is>
          <t>High</t>
        </is>
      </c>
      <c r="P198" s="43">
        <f>IF(H198="N/A","N/A",INDEX(CRIT_MATRIX,MATCH(O198,CRIT_MATRIX_ROWS,0),MATCH(APP_RISK_TIER,CRIT_MATRIX_COLS,0)))</f>
        <v/>
      </c>
      <c r="Q198" s="40" t="n"/>
      <c r="R198" s="40" cm="1">
        <f t="array" ref="R198">COUNTIFS(tblThreatControls[Control ID],$A198,tblThreatControls[Threat applies],"Applies")</f>
        <v/>
      </c>
      <c r="S198" s="40" cm="1">
        <f t="array" ref="S198">IF(R198=0,"",INDEX(RISK_SCALE_NAMES,_xlfn.MAXIFS(tblThreatControls[Threat risk score],tblThreatControls[Control ID],$A198)))</f>
        <v/>
      </c>
      <c r="T198" s="40" cm="1">
        <f t="array" ref="T198">IF(AND(H198="Applicable",OR(L198="Not assessed",L198=""),R198&gt;0),"Yes","No")</f>
        <v/>
      </c>
      <c r="U198" s="40" cm="1">
        <f t="array" ref="U198">IF(AND(H198="Applicable",OR(L198="Gap",L198="Partial coverage")),INDEX(RISK_SCALE_NAMES,MAX(IFERROR(MATCH(P198,RISK_SCALE_NAMES,0),1),IFERROR(MATCH(S198,RISK_SCALE_NAMES,0),0))),"")</f>
        <v/>
      </c>
      <c r="V198" s="40" cm="1">
        <f t="array" ref="V198">_xlfn.TEXTJOIN("; ",TRUE,_xlfn._xlws.FILTER(tblThreatControls[Threat ID],(tblThreatControls[Control ID]=$A198)*(tblThreatControls[Threat applies]="Applies"),""))</f>
        <v/>
      </c>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0" t="inlineStr">
        <is>
          <t>SAST + integration testing</t>
        </is>
      </c>
      <c r="J199" s="40" t="inlineStr">
        <is>
          <t>Deterministic, continuous</t>
        </is>
      </c>
      <c r="K199" s="42" t="inlineStr">
        <is>
          <t>Pipeline</t>
        </is>
      </c>
      <c r="L199" s="42" t="inlineStr">
        <is>
          <t>Not assessed</t>
        </is>
      </c>
      <c r="M199" s="40" t="n"/>
      <c r="N199" s="40" t="n"/>
      <c r="O199" s="42" t="inlineStr">
        <is>
          <t>High</t>
        </is>
      </c>
      <c r="P199" s="43">
        <f>IF(H199="N/A","N/A",INDEX(CRIT_MATRIX,MATCH(O199,CRIT_MATRIX_ROWS,0),MATCH(APP_RISK_TIER,CRIT_MATRIX_COLS,0)))</f>
        <v/>
      </c>
      <c r="Q199" s="40" t="n"/>
      <c r="R199" s="40" cm="1">
        <f t="array" ref="R199">COUNTIFS(tblThreatControls[Control ID],$A199,tblThreatControls[Threat applies],"Applies")</f>
        <v/>
      </c>
      <c r="S199" s="40" cm="1">
        <f t="array" ref="S199">IF(R199=0,"",INDEX(RISK_SCALE_NAMES,_xlfn.MAXIFS(tblThreatControls[Threat risk score],tblThreatControls[Control ID],$A199)))</f>
        <v/>
      </c>
      <c r="T199" s="40" cm="1">
        <f t="array" ref="T199">IF(AND(H199="Applicable",OR(L199="Not assessed",L199=""),R199&gt;0),"Yes","No")</f>
        <v/>
      </c>
      <c r="U199" s="40" cm="1">
        <f t="array" ref="U199">IF(AND(H199="Applicable",OR(L199="Gap",L199="Partial coverage")),INDEX(RISK_SCALE_NAMES,MAX(IFERROR(MATCH(P199,RISK_SCALE_NAMES,0),1),IFERROR(MATCH(S199,RISK_SCALE_NAMES,0),0))),"")</f>
        <v/>
      </c>
      <c r="V199" s="40" cm="1">
        <f t="array" ref="V199">_xlfn.TEXTJOIN("; ",TRUE,_xlfn._xlws.FILTER(tblThreatControls[Threat ID],(tblThreatControls[Control ID]=$A199)*(tblThreatControls[Threat applies]="Applies"),""))</f>
        <v/>
      </c>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0" t="inlineStr">
        <is>
          <t>SAST + integration testing</t>
        </is>
      </c>
      <c r="J200" s="40" t="inlineStr">
        <is>
          <t>Deterministic, continuous</t>
        </is>
      </c>
      <c r="K200" s="42" t="inlineStr">
        <is>
          <t>Pipeline</t>
        </is>
      </c>
      <c r="L200" s="42" t="inlineStr">
        <is>
          <t>Not assessed</t>
        </is>
      </c>
      <c r="M200" s="40" t="n"/>
      <c r="N200" s="40" t="n"/>
      <c r="O200" s="42" t="inlineStr">
        <is>
          <t>High</t>
        </is>
      </c>
      <c r="P200" s="43">
        <f>IF(H200="N/A","N/A",INDEX(CRIT_MATRIX,MATCH(O200,CRIT_MATRIX_ROWS,0),MATCH(APP_RISK_TIER,CRIT_MATRIX_COLS,0)))</f>
        <v/>
      </c>
      <c r="Q200" s="40" t="n"/>
      <c r="R200" s="40" cm="1">
        <f t="array" ref="R200">COUNTIFS(tblThreatControls[Control ID],$A200,tblThreatControls[Threat applies],"Applies")</f>
        <v/>
      </c>
      <c r="S200" s="40" cm="1">
        <f t="array" ref="S200">IF(R200=0,"",INDEX(RISK_SCALE_NAMES,_xlfn.MAXIFS(tblThreatControls[Threat risk score],tblThreatControls[Control ID],$A200)))</f>
        <v/>
      </c>
      <c r="T200" s="40" cm="1">
        <f t="array" ref="T200">IF(AND(H200="Applicable",OR(L200="Not assessed",L200=""),R200&gt;0),"Yes","No")</f>
        <v/>
      </c>
      <c r="U200" s="40" cm="1">
        <f t="array" ref="U200">IF(AND(H200="Applicable",OR(L200="Gap",L200="Partial coverage")),INDEX(RISK_SCALE_NAMES,MAX(IFERROR(MATCH(P200,RISK_SCALE_NAMES,0),1),IFERROR(MATCH(S200,RISK_SCALE_NAMES,0),0))),"")</f>
        <v/>
      </c>
      <c r="V200" s="40" cm="1">
        <f t="array" ref="V200">_xlfn.TEXTJOIN("; ",TRUE,_xlfn._xlws.FILTER(tblThreatControls[Threat ID],(tblThreatControls[Control ID]=$A200)*(tblThreatControls[Threat applies]="Applies"),""))</f>
        <v/>
      </c>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0" t="inlineStr">
        <is>
          <t>SAST + integration testing</t>
        </is>
      </c>
      <c r="J201" s="40" t="inlineStr">
        <is>
          <t>Deterministic, continuous</t>
        </is>
      </c>
      <c r="K201" s="42" t="inlineStr">
        <is>
          <t>Pipeline</t>
        </is>
      </c>
      <c r="L201" s="42" t="inlineStr">
        <is>
          <t>Not assessed</t>
        </is>
      </c>
      <c r="M201" s="40" t="n"/>
      <c r="N201" s="40" t="n"/>
      <c r="O201" s="42" t="inlineStr">
        <is>
          <t>High</t>
        </is>
      </c>
      <c r="P201" s="43">
        <f>IF(H201="N/A","N/A",INDEX(CRIT_MATRIX,MATCH(O201,CRIT_MATRIX_ROWS,0),MATCH(APP_RISK_TIER,CRIT_MATRIX_COLS,0)))</f>
        <v/>
      </c>
      <c r="Q201" s="40" t="n"/>
      <c r="R201" s="40" cm="1">
        <f t="array" ref="R201">COUNTIFS(tblThreatControls[Control ID],$A201,tblThreatControls[Threat applies],"Applies")</f>
        <v/>
      </c>
      <c r="S201" s="40" cm="1">
        <f t="array" ref="S201">IF(R201=0,"",INDEX(RISK_SCALE_NAMES,_xlfn.MAXIFS(tblThreatControls[Threat risk score],tblThreatControls[Control ID],$A201)))</f>
        <v/>
      </c>
      <c r="T201" s="40" cm="1">
        <f t="array" ref="T201">IF(AND(H201="Applicable",OR(L201="Not assessed",L201=""),R201&gt;0),"Yes","No")</f>
        <v/>
      </c>
      <c r="U201" s="40" cm="1">
        <f t="array" ref="U201">IF(AND(H201="Applicable",OR(L201="Gap",L201="Partial coverage")),INDEX(RISK_SCALE_NAMES,MAX(IFERROR(MATCH(P201,RISK_SCALE_NAMES,0),1),IFERROR(MATCH(S201,RISK_SCALE_NAMES,0),0))),"")</f>
        <v/>
      </c>
      <c r="V201" s="40" cm="1">
        <f t="array" ref="V201">_xlfn.TEXTJOIN("; ",TRUE,_xlfn._xlws.FILTER(tblThreatControls[Threat ID],(tblThreatControls[Control ID]=$A201)*(tblThreatControls[Threat applies]="Applies"),""))</f>
        <v/>
      </c>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0" t="inlineStr">
        <is>
          <t>SAST + integration testing</t>
        </is>
      </c>
      <c r="J202" s="40" t="inlineStr">
        <is>
          <t>Deterministic, continuous</t>
        </is>
      </c>
      <c r="K202" s="42" t="inlineStr">
        <is>
          <t>Pipeline</t>
        </is>
      </c>
      <c r="L202" s="42" t="inlineStr">
        <is>
          <t>Not assessed</t>
        </is>
      </c>
      <c r="M202" s="40" t="n"/>
      <c r="N202" s="40" t="n"/>
      <c r="O202" s="42" t="inlineStr">
        <is>
          <t>High</t>
        </is>
      </c>
      <c r="P202" s="43">
        <f>IF(H202="N/A","N/A",INDEX(CRIT_MATRIX,MATCH(O202,CRIT_MATRIX_ROWS,0),MATCH(APP_RISK_TIER,CRIT_MATRIX_COLS,0)))</f>
        <v/>
      </c>
      <c r="Q202" s="40" t="n"/>
      <c r="R202" s="40" cm="1">
        <f t="array" ref="R202">COUNTIFS(tblThreatControls[Control ID],$A202,tblThreatControls[Threat applies],"Applies")</f>
        <v/>
      </c>
      <c r="S202" s="40" cm="1">
        <f t="array" ref="S202">IF(R202=0,"",INDEX(RISK_SCALE_NAMES,_xlfn.MAXIFS(tblThreatControls[Threat risk score],tblThreatControls[Control ID],$A202)))</f>
        <v/>
      </c>
      <c r="T202" s="40" cm="1">
        <f t="array" ref="T202">IF(AND(H202="Applicable",OR(L202="Not assessed",L202=""),R202&gt;0),"Yes","No")</f>
        <v/>
      </c>
      <c r="U202" s="40" cm="1">
        <f t="array" ref="U202">IF(AND(H202="Applicable",OR(L202="Gap",L202="Partial coverage")),INDEX(RISK_SCALE_NAMES,MAX(IFERROR(MATCH(P202,RISK_SCALE_NAMES,0),1),IFERROR(MATCH(S202,RISK_SCALE_NAMES,0),0))),"")</f>
        <v/>
      </c>
      <c r="V202" s="40" cm="1">
        <f t="array" ref="V202">_xlfn.TEXTJOIN("; ",TRUE,_xlfn._xlws.FILTER(tblThreatControls[Threat ID],(tblThreatControls[Control ID]=$A202)*(tblThreatControls[Threat applies]="Applies"),""))</f>
        <v/>
      </c>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0" t="inlineStr">
        <is>
          <t>SAST + integration testing</t>
        </is>
      </c>
      <c r="J203" s="40" t="inlineStr">
        <is>
          <t>Deterministic, continuous</t>
        </is>
      </c>
      <c r="K203" s="42" t="inlineStr">
        <is>
          <t>Pipeline</t>
        </is>
      </c>
      <c r="L203" s="42" t="inlineStr">
        <is>
          <t>Not assessed</t>
        </is>
      </c>
      <c r="M203" s="40" t="n"/>
      <c r="N203" s="40" t="n"/>
      <c r="O203" s="42" t="inlineStr">
        <is>
          <t>High</t>
        </is>
      </c>
      <c r="P203" s="43">
        <f>IF(H203="N/A","N/A",INDEX(CRIT_MATRIX,MATCH(O203,CRIT_MATRIX_ROWS,0),MATCH(APP_RISK_TIER,CRIT_MATRIX_COLS,0)))</f>
        <v/>
      </c>
      <c r="Q203" s="40" t="n"/>
      <c r="R203" s="40" cm="1">
        <f t="array" ref="R203">COUNTIFS(tblThreatControls[Control ID],$A203,tblThreatControls[Threat applies],"Applies")</f>
        <v/>
      </c>
      <c r="S203" s="40" cm="1">
        <f t="array" ref="S203">IF(R203=0,"",INDEX(RISK_SCALE_NAMES,_xlfn.MAXIFS(tblThreatControls[Threat risk score],tblThreatControls[Control ID],$A203)))</f>
        <v/>
      </c>
      <c r="T203" s="40" cm="1">
        <f t="array" ref="T203">IF(AND(H203="Applicable",OR(L203="Not assessed",L203=""),R203&gt;0),"Yes","No")</f>
        <v/>
      </c>
      <c r="U203" s="40" cm="1">
        <f t="array" ref="U203">IF(AND(H203="Applicable",OR(L203="Gap",L203="Partial coverage")),INDEX(RISK_SCALE_NAMES,MAX(IFERROR(MATCH(P203,RISK_SCALE_NAMES,0),1),IFERROR(MATCH(S203,RISK_SCALE_NAMES,0),0))),"")</f>
        <v/>
      </c>
      <c r="V203" s="40" cm="1">
        <f t="array" ref="V203">_xlfn.TEXTJOIN("; ",TRUE,_xlfn._xlws.FILTER(tblThreatControls[Threat ID],(tblThreatControls[Control ID]=$A203)*(tblThreatControls[Threat applies]="Applies"),""))</f>
        <v/>
      </c>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0" t="inlineStr">
        <is>
          <t>SAST + integration testing</t>
        </is>
      </c>
      <c r="J204" s="40" t="inlineStr">
        <is>
          <t>Deterministic, continuous</t>
        </is>
      </c>
      <c r="K204" s="42" t="inlineStr">
        <is>
          <t>Pipeline</t>
        </is>
      </c>
      <c r="L204" s="42" t="inlineStr">
        <is>
          <t>Not assessed</t>
        </is>
      </c>
      <c r="M204" s="40" t="n"/>
      <c r="N204" s="40" t="n"/>
      <c r="O204" s="42" t="inlineStr">
        <is>
          <t>High</t>
        </is>
      </c>
      <c r="P204" s="43">
        <f>IF(H204="N/A","N/A",INDEX(CRIT_MATRIX,MATCH(O204,CRIT_MATRIX_ROWS,0),MATCH(APP_RISK_TIER,CRIT_MATRIX_COLS,0)))</f>
        <v/>
      </c>
      <c r="Q204" s="40" t="n"/>
      <c r="R204" s="40" cm="1">
        <f t="array" ref="R204">COUNTIFS(tblThreatControls[Control ID],$A204,tblThreatControls[Threat applies],"Applies")</f>
        <v/>
      </c>
      <c r="S204" s="40" cm="1">
        <f t="array" ref="S204">IF(R204=0,"",INDEX(RISK_SCALE_NAMES,_xlfn.MAXIFS(tblThreatControls[Threat risk score],tblThreatControls[Control ID],$A204)))</f>
        <v/>
      </c>
      <c r="T204" s="40" cm="1">
        <f t="array" ref="T204">IF(AND(H204="Applicable",OR(L204="Not assessed",L204=""),R204&gt;0),"Yes","No")</f>
        <v/>
      </c>
      <c r="U204" s="40" cm="1">
        <f t="array" ref="U204">IF(AND(H204="Applicable",OR(L204="Gap",L204="Partial coverage")),INDEX(RISK_SCALE_NAMES,MAX(IFERROR(MATCH(P204,RISK_SCALE_NAMES,0),1),IFERROR(MATCH(S204,RISK_SCALE_NAMES,0),0))),"")</f>
        <v/>
      </c>
      <c r="V204" s="40" cm="1">
        <f t="array" ref="V204">_xlfn.TEXTJOIN("; ",TRUE,_xlfn._xlws.FILTER(tblThreatControls[Threat ID],(tblThreatControls[Control ID]=$A204)*(tblThreatControls[Threat applies]="Applies"),""))</f>
        <v/>
      </c>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0" t="inlineStr">
        <is>
          <t>SAST + integration testing</t>
        </is>
      </c>
      <c r="J205" s="40" t="inlineStr">
        <is>
          <t>Deterministic, continuous</t>
        </is>
      </c>
      <c r="K205" s="42" t="inlineStr">
        <is>
          <t>Pipeline</t>
        </is>
      </c>
      <c r="L205" s="42" t="inlineStr">
        <is>
          <t>Not assessed</t>
        </is>
      </c>
      <c r="M205" s="40" t="n"/>
      <c r="N205" s="40" t="n"/>
      <c r="O205" s="42" t="inlineStr">
        <is>
          <t>High</t>
        </is>
      </c>
      <c r="P205" s="43">
        <f>IF(H205="N/A","N/A",INDEX(CRIT_MATRIX,MATCH(O205,CRIT_MATRIX_ROWS,0),MATCH(APP_RISK_TIER,CRIT_MATRIX_COLS,0)))</f>
        <v/>
      </c>
      <c r="Q205" s="40" t="n"/>
      <c r="R205" s="40" cm="1">
        <f t="array" ref="R205">COUNTIFS(tblThreatControls[Control ID],$A205,tblThreatControls[Threat applies],"Applies")</f>
        <v/>
      </c>
      <c r="S205" s="40" cm="1">
        <f t="array" ref="S205">IF(R205=0,"",INDEX(RISK_SCALE_NAMES,_xlfn.MAXIFS(tblThreatControls[Threat risk score],tblThreatControls[Control ID],$A205)))</f>
        <v/>
      </c>
      <c r="T205" s="40" cm="1">
        <f t="array" ref="T205">IF(AND(H205="Applicable",OR(L205="Not assessed",L205=""),R205&gt;0),"Yes","No")</f>
        <v/>
      </c>
      <c r="U205" s="40" cm="1">
        <f t="array" ref="U205">IF(AND(H205="Applicable",OR(L205="Gap",L205="Partial coverage")),INDEX(RISK_SCALE_NAMES,MAX(IFERROR(MATCH(P205,RISK_SCALE_NAMES,0),1),IFERROR(MATCH(S205,RISK_SCALE_NAMES,0),0))),"")</f>
        <v/>
      </c>
      <c r="V205" s="40" cm="1">
        <f t="array" ref="V205">_xlfn.TEXTJOIN("; ",TRUE,_xlfn._xlws.FILTER(tblThreatControls[Threat ID],(tblThreatControls[Control ID]=$A205)*(tblThreatControls[Threat applies]="Applies"),""))</f>
        <v/>
      </c>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0" t="inlineStr">
        <is>
          <t>SAST + integration testing</t>
        </is>
      </c>
      <c r="J206" s="40" t="inlineStr">
        <is>
          <t>Deterministic, continuous</t>
        </is>
      </c>
      <c r="K206" s="42" t="inlineStr">
        <is>
          <t>Pipeline</t>
        </is>
      </c>
      <c r="L206" s="42" t="inlineStr">
        <is>
          <t>Not assessed</t>
        </is>
      </c>
      <c r="M206" s="40" t="n"/>
      <c r="N206" s="40" t="n"/>
      <c r="O206" s="42" t="inlineStr">
        <is>
          <t>High</t>
        </is>
      </c>
      <c r="P206" s="43">
        <f>IF(H206="N/A","N/A",INDEX(CRIT_MATRIX,MATCH(O206,CRIT_MATRIX_ROWS,0),MATCH(APP_RISK_TIER,CRIT_MATRIX_COLS,0)))</f>
        <v/>
      </c>
      <c r="Q206" s="40" t="n"/>
      <c r="R206" s="40" cm="1">
        <f t="array" ref="R206">COUNTIFS(tblThreatControls[Control ID],$A206,tblThreatControls[Threat applies],"Applies")</f>
        <v/>
      </c>
      <c r="S206" s="40" cm="1">
        <f t="array" ref="S206">IF(R206=0,"",INDEX(RISK_SCALE_NAMES,_xlfn.MAXIFS(tblThreatControls[Threat risk score],tblThreatControls[Control ID],$A206)))</f>
        <v/>
      </c>
      <c r="T206" s="40" cm="1">
        <f t="array" ref="T206">IF(AND(H206="Applicable",OR(L206="Not assessed",L206=""),R206&gt;0),"Yes","No")</f>
        <v/>
      </c>
      <c r="U206" s="40" cm="1">
        <f t="array" ref="U206">IF(AND(H206="Applicable",OR(L206="Gap",L206="Partial coverage")),INDEX(RISK_SCALE_NAMES,MAX(IFERROR(MATCH(P206,RISK_SCALE_NAMES,0),1),IFERROR(MATCH(S206,RISK_SCALE_NAMES,0),0))),"")</f>
        <v/>
      </c>
      <c r="V206" s="40" cm="1">
        <f t="array" ref="V206">_xlfn.TEXTJOIN("; ",TRUE,_xlfn._xlws.FILTER(tblThreatControls[Threat ID],(tblThreatControls[Control ID]=$A206)*(tblThreatControls[Threat applies]="Applies"),""))</f>
        <v/>
      </c>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0" t="inlineStr">
        <is>
          <t>SAST + integration testing</t>
        </is>
      </c>
      <c r="J207" s="40" t="inlineStr">
        <is>
          <t>Deterministic, continuous</t>
        </is>
      </c>
      <c r="K207" s="42" t="inlineStr">
        <is>
          <t>Pipeline</t>
        </is>
      </c>
      <c r="L207" s="42" t="inlineStr">
        <is>
          <t>Not assessed</t>
        </is>
      </c>
      <c r="M207" s="40" t="n"/>
      <c r="N207" s="40" t="n"/>
      <c r="O207" s="42" t="inlineStr">
        <is>
          <t>High</t>
        </is>
      </c>
      <c r="P207" s="43">
        <f>IF(H207="N/A","N/A",INDEX(CRIT_MATRIX,MATCH(O207,CRIT_MATRIX_ROWS,0),MATCH(APP_RISK_TIER,CRIT_MATRIX_COLS,0)))</f>
        <v/>
      </c>
      <c r="Q207" s="40" t="n"/>
      <c r="R207" s="40" cm="1">
        <f t="array" ref="R207">COUNTIFS(tblThreatControls[Control ID],$A207,tblThreatControls[Threat applies],"Applies")</f>
        <v/>
      </c>
      <c r="S207" s="40" cm="1">
        <f t="array" ref="S207">IF(R207=0,"",INDEX(RISK_SCALE_NAMES,_xlfn.MAXIFS(tblThreatControls[Threat risk score],tblThreatControls[Control ID],$A207)))</f>
        <v/>
      </c>
      <c r="T207" s="40" cm="1">
        <f t="array" ref="T207">IF(AND(H207="Applicable",OR(L207="Not assessed",L207=""),R207&gt;0),"Yes","No")</f>
        <v/>
      </c>
      <c r="U207" s="40" cm="1">
        <f t="array" ref="U207">IF(AND(H207="Applicable",OR(L207="Gap",L207="Partial coverage")),INDEX(RISK_SCALE_NAMES,MAX(IFERROR(MATCH(P207,RISK_SCALE_NAMES,0),1),IFERROR(MATCH(S207,RISK_SCALE_NAMES,0),0))),"")</f>
        <v/>
      </c>
      <c r="V207" s="40" cm="1">
        <f t="array" ref="V207">_xlfn.TEXTJOIN("; ",TRUE,_xlfn._xlws.FILTER(tblThreatControls[Threat ID],(tblThreatControls[Control ID]=$A207)*(tblThreatControls[Threat applies]="Applies"),""))</f>
        <v/>
      </c>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0" t="inlineStr">
        <is>
          <t>SAST + integration testing</t>
        </is>
      </c>
      <c r="J208" s="40" t="inlineStr">
        <is>
          <t>Deterministic, continuous</t>
        </is>
      </c>
      <c r="K208" s="42" t="inlineStr">
        <is>
          <t>Pipeline</t>
        </is>
      </c>
      <c r="L208" s="42" t="inlineStr">
        <is>
          <t>Not assessed</t>
        </is>
      </c>
      <c r="M208" s="40" t="n"/>
      <c r="N208" s="40" t="n"/>
      <c r="O208" s="42" t="inlineStr">
        <is>
          <t>High</t>
        </is>
      </c>
      <c r="P208" s="43">
        <f>IF(H208="N/A","N/A",INDEX(CRIT_MATRIX,MATCH(O208,CRIT_MATRIX_ROWS,0),MATCH(APP_RISK_TIER,CRIT_MATRIX_COLS,0)))</f>
        <v/>
      </c>
      <c r="Q208" s="40" t="n"/>
      <c r="R208" s="40" cm="1">
        <f t="array" ref="R208">COUNTIFS(tblThreatControls[Control ID],$A208,tblThreatControls[Threat applies],"Applies")</f>
        <v/>
      </c>
      <c r="S208" s="40" cm="1">
        <f t="array" ref="S208">IF(R208=0,"",INDEX(RISK_SCALE_NAMES,_xlfn.MAXIFS(tblThreatControls[Threat risk score],tblThreatControls[Control ID],$A208)))</f>
        <v/>
      </c>
      <c r="T208" s="40" cm="1">
        <f t="array" ref="T208">IF(AND(H208="Applicable",OR(L208="Not assessed",L208=""),R208&gt;0),"Yes","No")</f>
        <v/>
      </c>
      <c r="U208" s="40" cm="1">
        <f t="array" ref="U208">IF(AND(H208="Applicable",OR(L208="Gap",L208="Partial coverage")),INDEX(RISK_SCALE_NAMES,MAX(IFERROR(MATCH(P208,RISK_SCALE_NAMES,0),1),IFERROR(MATCH(S208,RISK_SCALE_NAMES,0),0))),"")</f>
        <v/>
      </c>
      <c r="V208" s="40" cm="1">
        <f t="array" ref="V208">_xlfn.TEXTJOIN("; ",TRUE,_xlfn._xlws.FILTER(tblThreatControls[Threat ID],(tblThreatControls[Control ID]=$A208)*(tblThreatControls[Threat applies]="Applies"),""))</f>
        <v/>
      </c>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0" t="inlineStr">
        <is>
          <t>SAST + integration testing</t>
        </is>
      </c>
      <c r="J209" s="40" t="inlineStr">
        <is>
          <t>Deterministic, continuous</t>
        </is>
      </c>
      <c r="K209" s="42" t="inlineStr">
        <is>
          <t>Pipeline</t>
        </is>
      </c>
      <c r="L209" s="42" t="inlineStr">
        <is>
          <t>Not assessed</t>
        </is>
      </c>
      <c r="M209" s="40" t="n"/>
      <c r="N209" s="40" t="n"/>
      <c r="O209" s="42" t="inlineStr">
        <is>
          <t>High</t>
        </is>
      </c>
      <c r="P209" s="43">
        <f>IF(H209="N/A","N/A",INDEX(CRIT_MATRIX,MATCH(O209,CRIT_MATRIX_ROWS,0),MATCH(APP_RISK_TIER,CRIT_MATRIX_COLS,0)))</f>
        <v/>
      </c>
      <c r="Q209" s="40" t="n"/>
      <c r="R209" s="40" cm="1">
        <f t="array" ref="R209">COUNTIFS(tblThreatControls[Control ID],$A209,tblThreatControls[Threat applies],"Applies")</f>
        <v/>
      </c>
      <c r="S209" s="40" cm="1">
        <f t="array" ref="S209">IF(R209=0,"",INDEX(RISK_SCALE_NAMES,_xlfn.MAXIFS(tblThreatControls[Threat risk score],tblThreatControls[Control ID],$A209)))</f>
        <v/>
      </c>
      <c r="T209" s="40" cm="1">
        <f t="array" ref="T209">IF(AND(H209="Applicable",OR(L209="Not assessed",L209=""),R209&gt;0),"Yes","No")</f>
        <v/>
      </c>
      <c r="U209" s="40" cm="1">
        <f t="array" ref="U209">IF(AND(H209="Applicable",OR(L209="Gap",L209="Partial coverage")),INDEX(RISK_SCALE_NAMES,MAX(IFERROR(MATCH(P209,RISK_SCALE_NAMES,0),1),IFERROR(MATCH(S209,RISK_SCALE_NAMES,0),0))),"")</f>
        <v/>
      </c>
      <c r="V209" s="40" cm="1">
        <f t="array" ref="V209">_xlfn.TEXTJOIN("; ",TRUE,_xlfn._xlws.FILTER(tblThreatControls[Threat ID],(tblThreatControls[Control ID]=$A209)*(tblThreatControls[Threat applies]="Applies"),""))</f>
        <v/>
      </c>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0" t="inlineStr">
        <is>
          <t>SAST + integration testing</t>
        </is>
      </c>
      <c r="J210" s="40" t="inlineStr">
        <is>
          <t>Deterministic, continuous</t>
        </is>
      </c>
      <c r="K210" s="42" t="inlineStr">
        <is>
          <t>Pipeline</t>
        </is>
      </c>
      <c r="L210" s="42" t="inlineStr">
        <is>
          <t>Not assessed</t>
        </is>
      </c>
      <c r="M210" s="40" t="n"/>
      <c r="N210" s="40" t="n"/>
      <c r="O210" s="42" t="inlineStr">
        <is>
          <t>High</t>
        </is>
      </c>
      <c r="P210" s="43">
        <f>IF(H210="N/A","N/A",INDEX(CRIT_MATRIX,MATCH(O210,CRIT_MATRIX_ROWS,0),MATCH(APP_RISK_TIER,CRIT_MATRIX_COLS,0)))</f>
        <v/>
      </c>
      <c r="Q210" s="40" t="n"/>
      <c r="R210" s="40" cm="1">
        <f t="array" ref="R210">COUNTIFS(tblThreatControls[Control ID],$A210,tblThreatControls[Threat applies],"Applies")</f>
        <v/>
      </c>
      <c r="S210" s="40" cm="1">
        <f t="array" ref="S210">IF(R210=0,"",INDEX(RISK_SCALE_NAMES,_xlfn.MAXIFS(tblThreatControls[Threat risk score],tblThreatControls[Control ID],$A210)))</f>
        <v/>
      </c>
      <c r="T210" s="40" cm="1">
        <f t="array" ref="T210">IF(AND(H210="Applicable",OR(L210="Not assessed",L210=""),R210&gt;0),"Yes","No")</f>
        <v/>
      </c>
      <c r="U210" s="40" cm="1">
        <f t="array" ref="U210">IF(AND(H210="Applicable",OR(L210="Gap",L210="Partial coverage")),INDEX(RISK_SCALE_NAMES,MAX(IFERROR(MATCH(P210,RISK_SCALE_NAMES,0),1),IFERROR(MATCH(S210,RISK_SCALE_NAMES,0),0))),"")</f>
        <v/>
      </c>
      <c r="V210" s="40" cm="1">
        <f t="array" ref="V210">_xlfn.TEXTJOIN("; ",TRUE,_xlfn._xlws.FILTER(tblThreatControls[Threat ID],(tblThreatControls[Control ID]=$A210)*(tblThreatControls[Threat applies]="Applies"),""))</f>
        <v/>
      </c>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0" t="inlineStr">
        <is>
          <t>SAST + integration testing</t>
        </is>
      </c>
      <c r="J211" s="40" t="inlineStr">
        <is>
          <t>Deterministic, continuous</t>
        </is>
      </c>
      <c r="K211" s="42" t="inlineStr">
        <is>
          <t>Pipeline</t>
        </is>
      </c>
      <c r="L211" s="42" t="inlineStr">
        <is>
          <t>Not assessed</t>
        </is>
      </c>
      <c r="M211" s="40" t="n"/>
      <c r="N211" s="40" t="n"/>
      <c r="O211" s="42" t="inlineStr">
        <is>
          <t>High</t>
        </is>
      </c>
      <c r="P211" s="43">
        <f>IF(H211="N/A","N/A",INDEX(CRIT_MATRIX,MATCH(O211,CRIT_MATRIX_ROWS,0),MATCH(APP_RISK_TIER,CRIT_MATRIX_COLS,0)))</f>
        <v/>
      </c>
      <c r="Q211" s="40" t="n"/>
      <c r="R211" s="40" cm="1">
        <f t="array" ref="R211">COUNTIFS(tblThreatControls[Control ID],$A211,tblThreatControls[Threat applies],"Applies")</f>
        <v/>
      </c>
      <c r="S211" s="40" cm="1">
        <f t="array" ref="S211">IF(R211=0,"",INDEX(RISK_SCALE_NAMES,_xlfn.MAXIFS(tblThreatControls[Threat risk score],tblThreatControls[Control ID],$A211)))</f>
        <v/>
      </c>
      <c r="T211" s="40" cm="1">
        <f t="array" ref="T211">IF(AND(H211="Applicable",OR(L211="Not assessed",L211=""),R211&gt;0),"Yes","No")</f>
        <v/>
      </c>
      <c r="U211" s="40" cm="1">
        <f t="array" ref="U211">IF(AND(H211="Applicable",OR(L211="Gap",L211="Partial coverage")),INDEX(RISK_SCALE_NAMES,MAX(IFERROR(MATCH(P211,RISK_SCALE_NAMES,0),1),IFERROR(MATCH(S211,RISK_SCALE_NAMES,0),0))),"")</f>
        <v/>
      </c>
      <c r="V211" s="40" cm="1">
        <f t="array" ref="V211">_xlfn.TEXTJOIN("; ",TRUE,_xlfn._xlws.FILTER(tblThreatControls[Threat ID],(tblThreatControls[Control ID]=$A211)*(tblThreatControls[Threat applies]="Applies"),""))</f>
        <v/>
      </c>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0" t="inlineStr">
        <is>
          <t>SAST + integration testing</t>
        </is>
      </c>
      <c r="J212" s="40" t="inlineStr">
        <is>
          <t>Deterministic, continuous</t>
        </is>
      </c>
      <c r="K212" s="42" t="inlineStr">
        <is>
          <t>Pipeline</t>
        </is>
      </c>
      <c r="L212" s="42" t="inlineStr">
        <is>
          <t>Not assessed</t>
        </is>
      </c>
      <c r="M212" s="40" t="n"/>
      <c r="N212" s="40" t="n"/>
      <c r="O212" s="42" t="inlineStr">
        <is>
          <t>High</t>
        </is>
      </c>
      <c r="P212" s="43">
        <f>IF(H212="N/A","N/A",INDEX(CRIT_MATRIX,MATCH(O212,CRIT_MATRIX_ROWS,0),MATCH(APP_RISK_TIER,CRIT_MATRIX_COLS,0)))</f>
        <v/>
      </c>
      <c r="Q212" s="40" t="n"/>
      <c r="R212" s="40" cm="1">
        <f t="array" ref="R212">COUNTIFS(tblThreatControls[Control ID],$A212,tblThreatControls[Threat applies],"Applies")</f>
        <v/>
      </c>
      <c r="S212" s="40" cm="1">
        <f t="array" ref="S212">IF(R212=0,"",INDEX(RISK_SCALE_NAMES,_xlfn.MAXIFS(tblThreatControls[Threat risk score],tblThreatControls[Control ID],$A212)))</f>
        <v/>
      </c>
      <c r="T212" s="40" cm="1">
        <f t="array" ref="T212">IF(AND(H212="Applicable",OR(L212="Not assessed",L212=""),R212&gt;0),"Yes","No")</f>
        <v/>
      </c>
      <c r="U212" s="40" cm="1">
        <f t="array" ref="U212">IF(AND(H212="Applicable",OR(L212="Gap",L212="Partial coverage")),INDEX(RISK_SCALE_NAMES,MAX(IFERROR(MATCH(P212,RISK_SCALE_NAMES,0),1),IFERROR(MATCH(S212,RISK_SCALE_NAMES,0),0))),"")</f>
        <v/>
      </c>
      <c r="V212" s="40" cm="1">
        <f t="array" ref="V212">_xlfn.TEXTJOIN("; ",TRUE,_xlfn._xlws.FILTER(tblThreatControls[Threat ID],(tblThreatControls[Control ID]=$A212)*(tblThreatControls[Threat applies]="Applies"),""))</f>
        <v/>
      </c>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0" t="inlineStr">
        <is>
          <t>SAST + integration testing</t>
        </is>
      </c>
      <c r="J213" s="40" t="inlineStr">
        <is>
          <t>Deterministic, continuous</t>
        </is>
      </c>
      <c r="K213" s="42" t="inlineStr">
        <is>
          <t>Pipeline</t>
        </is>
      </c>
      <c r="L213" s="42" t="inlineStr">
        <is>
          <t>Not assessed</t>
        </is>
      </c>
      <c r="M213" s="40" t="n"/>
      <c r="N213" s="40" t="n"/>
      <c r="O213" s="42" t="inlineStr">
        <is>
          <t>High</t>
        </is>
      </c>
      <c r="P213" s="43">
        <f>IF(H213="N/A","N/A",INDEX(CRIT_MATRIX,MATCH(O213,CRIT_MATRIX_ROWS,0),MATCH(APP_RISK_TIER,CRIT_MATRIX_COLS,0)))</f>
        <v/>
      </c>
      <c r="Q213" s="40" t="n"/>
      <c r="R213" s="40" cm="1">
        <f t="array" ref="R213">COUNTIFS(tblThreatControls[Control ID],$A213,tblThreatControls[Threat applies],"Applies")</f>
        <v/>
      </c>
      <c r="S213" s="40" cm="1">
        <f t="array" ref="S213">IF(R213=0,"",INDEX(RISK_SCALE_NAMES,_xlfn.MAXIFS(tblThreatControls[Threat risk score],tblThreatControls[Control ID],$A213)))</f>
        <v/>
      </c>
      <c r="T213" s="40" cm="1">
        <f t="array" ref="T213">IF(AND(H213="Applicable",OR(L213="Not assessed",L213=""),R213&gt;0),"Yes","No")</f>
        <v/>
      </c>
      <c r="U213" s="40" cm="1">
        <f t="array" ref="U213">IF(AND(H213="Applicable",OR(L213="Gap",L213="Partial coverage")),INDEX(RISK_SCALE_NAMES,MAX(IFERROR(MATCH(P213,RISK_SCALE_NAMES,0),1),IFERROR(MATCH(S213,RISK_SCALE_NAMES,0),0))),"")</f>
        <v/>
      </c>
      <c r="V213" s="40" cm="1">
        <f t="array" ref="V213">_xlfn.TEXTJOIN("; ",TRUE,_xlfn._xlws.FILTER(tblThreatControls[Threat ID],(tblThreatControls[Control ID]=$A213)*(tblThreatControls[Threat applies]="Applies"),""))</f>
        <v/>
      </c>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0" t="inlineStr">
        <is>
          <t>SAST + integration testing</t>
        </is>
      </c>
      <c r="J214" s="40" t="inlineStr">
        <is>
          <t>Deterministic, continuous</t>
        </is>
      </c>
      <c r="K214" s="42" t="inlineStr">
        <is>
          <t>Pipeline</t>
        </is>
      </c>
      <c r="L214" s="42" t="inlineStr">
        <is>
          <t>Not assessed</t>
        </is>
      </c>
      <c r="M214" s="40" t="n"/>
      <c r="N214" s="40" t="n"/>
      <c r="O214" s="42" t="inlineStr">
        <is>
          <t>High</t>
        </is>
      </c>
      <c r="P214" s="43">
        <f>IF(H214="N/A","N/A",INDEX(CRIT_MATRIX,MATCH(O214,CRIT_MATRIX_ROWS,0),MATCH(APP_RISK_TIER,CRIT_MATRIX_COLS,0)))</f>
        <v/>
      </c>
      <c r="Q214" s="40" t="n"/>
      <c r="R214" s="40" cm="1">
        <f t="array" ref="R214">COUNTIFS(tblThreatControls[Control ID],$A214,tblThreatControls[Threat applies],"Applies")</f>
        <v/>
      </c>
      <c r="S214" s="40" cm="1">
        <f t="array" ref="S214">IF(R214=0,"",INDEX(RISK_SCALE_NAMES,_xlfn.MAXIFS(tblThreatControls[Threat risk score],tblThreatControls[Control ID],$A214)))</f>
        <v/>
      </c>
      <c r="T214" s="40" cm="1">
        <f t="array" ref="T214">IF(AND(H214="Applicable",OR(L214="Not assessed",L214=""),R214&gt;0),"Yes","No")</f>
        <v/>
      </c>
      <c r="U214" s="40" cm="1">
        <f t="array" ref="U214">IF(AND(H214="Applicable",OR(L214="Gap",L214="Partial coverage")),INDEX(RISK_SCALE_NAMES,MAX(IFERROR(MATCH(P214,RISK_SCALE_NAMES,0),1),IFERROR(MATCH(S214,RISK_SCALE_NAMES,0),0))),"")</f>
        <v/>
      </c>
      <c r="V214" s="40" cm="1">
        <f t="array" ref="V214">_xlfn.TEXTJOIN("; ",TRUE,_xlfn._xlws.FILTER(tblThreatControls[Threat ID],(tblThreatControls[Control ID]=$A214)*(tblThreatControls[Threat applies]="Applies"),""))</f>
        <v/>
      </c>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0" t="inlineStr">
        <is>
          <t>SAST + integration testing</t>
        </is>
      </c>
      <c r="J215" s="40" t="inlineStr">
        <is>
          <t>Deterministic, continuous</t>
        </is>
      </c>
      <c r="K215" s="42" t="inlineStr">
        <is>
          <t>Pipeline</t>
        </is>
      </c>
      <c r="L215" s="42" t="inlineStr">
        <is>
          <t>Not assessed</t>
        </is>
      </c>
      <c r="M215" s="40" t="n"/>
      <c r="N215" s="40" t="n"/>
      <c r="O215" s="42" t="inlineStr">
        <is>
          <t>High</t>
        </is>
      </c>
      <c r="P215" s="43">
        <f>IF(H215="N/A","N/A",INDEX(CRIT_MATRIX,MATCH(O215,CRIT_MATRIX_ROWS,0),MATCH(APP_RISK_TIER,CRIT_MATRIX_COLS,0)))</f>
        <v/>
      </c>
      <c r="Q215" s="40" t="n"/>
      <c r="R215" s="40" cm="1">
        <f t="array" ref="R215">COUNTIFS(tblThreatControls[Control ID],$A215,tblThreatControls[Threat applies],"Applies")</f>
        <v/>
      </c>
      <c r="S215" s="40" cm="1">
        <f t="array" ref="S215">IF(R215=0,"",INDEX(RISK_SCALE_NAMES,_xlfn.MAXIFS(tblThreatControls[Threat risk score],tblThreatControls[Control ID],$A215)))</f>
        <v/>
      </c>
      <c r="T215" s="40" cm="1">
        <f t="array" ref="T215">IF(AND(H215="Applicable",OR(L215="Not assessed",L215=""),R215&gt;0),"Yes","No")</f>
        <v/>
      </c>
      <c r="U215" s="40" cm="1">
        <f t="array" ref="U215">IF(AND(H215="Applicable",OR(L215="Gap",L215="Partial coverage")),INDEX(RISK_SCALE_NAMES,MAX(IFERROR(MATCH(P215,RISK_SCALE_NAMES,0),1),IFERROR(MATCH(S215,RISK_SCALE_NAMES,0),0))),"")</f>
        <v/>
      </c>
      <c r="V215" s="40" cm="1">
        <f t="array" ref="V215">_xlfn.TEXTJOIN("; ",TRUE,_xlfn._xlws.FILTER(tblThreatControls[Threat ID],(tblThreatControls[Control ID]=$A215)*(tblThreatControls[Threat applies]="Applies"),""))</f>
        <v/>
      </c>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0" t="inlineStr">
        <is>
          <t>SAST + integration testing</t>
        </is>
      </c>
      <c r="J216" s="40" t="inlineStr">
        <is>
          <t>Deterministic, continuous</t>
        </is>
      </c>
      <c r="K216" s="42" t="inlineStr">
        <is>
          <t>Pipeline</t>
        </is>
      </c>
      <c r="L216" s="42" t="inlineStr">
        <is>
          <t>Not assessed</t>
        </is>
      </c>
      <c r="M216" s="40" t="n"/>
      <c r="N216" s="40" t="n"/>
      <c r="O216" s="42" t="inlineStr">
        <is>
          <t>High</t>
        </is>
      </c>
      <c r="P216" s="43">
        <f>IF(H216="N/A","N/A",INDEX(CRIT_MATRIX,MATCH(O216,CRIT_MATRIX_ROWS,0),MATCH(APP_RISK_TIER,CRIT_MATRIX_COLS,0)))</f>
        <v/>
      </c>
      <c r="Q216" s="40" t="n"/>
      <c r="R216" s="40" cm="1">
        <f t="array" ref="R216">COUNTIFS(tblThreatControls[Control ID],$A216,tblThreatControls[Threat applies],"Applies")</f>
        <v/>
      </c>
      <c r="S216" s="40" cm="1">
        <f t="array" ref="S216">IF(R216=0,"",INDEX(RISK_SCALE_NAMES,_xlfn.MAXIFS(tblThreatControls[Threat risk score],tblThreatControls[Control ID],$A216)))</f>
        <v/>
      </c>
      <c r="T216" s="40" cm="1">
        <f t="array" ref="T216">IF(AND(H216="Applicable",OR(L216="Not assessed",L216=""),R216&gt;0),"Yes","No")</f>
        <v/>
      </c>
      <c r="U216" s="40" cm="1">
        <f t="array" ref="U216">IF(AND(H216="Applicable",OR(L216="Gap",L216="Partial coverage")),INDEX(RISK_SCALE_NAMES,MAX(IFERROR(MATCH(P216,RISK_SCALE_NAMES,0),1),IFERROR(MATCH(S216,RISK_SCALE_NAMES,0),0))),"")</f>
        <v/>
      </c>
      <c r="V216" s="40" cm="1">
        <f t="array" ref="V216">_xlfn.TEXTJOIN("; ",TRUE,_xlfn._xlws.FILTER(tblThreatControls[Threat ID],(tblThreatControls[Control ID]=$A216)*(tblThreatControls[Threat applies]="Applies"),""))</f>
        <v/>
      </c>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0" t="inlineStr">
        <is>
          <t>SAST + integration testing</t>
        </is>
      </c>
      <c r="J217" s="40" t="inlineStr">
        <is>
          <t>Deterministic, continuous</t>
        </is>
      </c>
      <c r="K217" s="42" t="inlineStr">
        <is>
          <t>Pipeline</t>
        </is>
      </c>
      <c r="L217" s="42" t="inlineStr">
        <is>
          <t>Not assessed</t>
        </is>
      </c>
      <c r="M217" s="40" t="n"/>
      <c r="N217" s="40" t="n"/>
      <c r="O217" s="42" t="inlineStr">
        <is>
          <t>High</t>
        </is>
      </c>
      <c r="P217" s="43">
        <f>IF(H217="N/A","N/A",INDEX(CRIT_MATRIX,MATCH(O217,CRIT_MATRIX_ROWS,0),MATCH(APP_RISK_TIER,CRIT_MATRIX_COLS,0)))</f>
        <v/>
      </c>
      <c r="Q217" s="40" t="n"/>
      <c r="R217" s="40" cm="1">
        <f t="array" ref="R217">COUNTIFS(tblThreatControls[Control ID],$A217,tblThreatControls[Threat applies],"Applies")</f>
        <v/>
      </c>
      <c r="S217" s="40" cm="1">
        <f t="array" ref="S217">IF(R217=0,"",INDEX(RISK_SCALE_NAMES,_xlfn.MAXIFS(tblThreatControls[Threat risk score],tblThreatControls[Control ID],$A217)))</f>
        <v/>
      </c>
      <c r="T217" s="40" cm="1">
        <f t="array" ref="T217">IF(AND(H217="Applicable",OR(L217="Not assessed",L217=""),R217&gt;0),"Yes","No")</f>
        <v/>
      </c>
      <c r="U217" s="40" cm="1">
        <f t="array" ref="U217">IF(AND(H217="Applicable",OR(L217="Gap",L217="Partial coverage")),INDEX(RISK_SCALE_NAMES,MAX(IFERROR(MATCH(P217,RISK_SCALE_NAMES,0),1),IFERROR(MATCH(S217,RISK_SCALE_NAMES,0),0))),"")</f>
        <v/>
      </c>
      <c r="V217" s="40" cm="1">
        <f t="array" ref="V217">_xlfn.TEXTJOIN("; ",TRUE,_xlfn._xlws.FILTER(tblThreatControls[Threat ID],(tblThreatControls[Control ID]=$A217)*(tblThreatControls[Threat applies]="Applies"),""))</f>
        <v/>
      </c>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0" t="inlineStr">
        <is>
          <t>SAST + integration testing</t>
        </is>
      </c>
      <c r="J218" s="40" t="inlineStr">
        <is>
          <t>Deterministic, continuous</t>
        </is>
      </c>
      <c r="K218" s="42" t="inlineStr">
        <is>
          <t>Pipeline</t>
        </is>
      </c>
      <c r="L218" s="42" t="inlineStr">
        <is>
          <t>Not assessed</t>
        </is>
      </c>
      <c r="M218" s="40" t="n"/>
      <c r="N218" s="40" t="n"/>
      <c r="O218" s="42" t="inlineStr">
        <is>
          <t>High</t>
        </is>
      </c>
      <c r="P218" s="43">
        <f>IF(H218="N/A","N/A",INDEX(CRIT_MATRIX,MATCH(O218,CRIT_MATRIX_ROWS,0),MATCH(APP_RISK_TIER,CRIT_MATRIX_COLS,0)))</f>
        <v/>
      </c>
      <c r="Q218" s="40" t="n"/>
      <c r="R218" s="40" cm="1">
        <f t="array" ref="R218">COUNTIFS(tblThreatControls[Control ID],$A218,tblThreatControls[Threat applies],"Applies")</f>
        <v/>
      </c>
      <c r="S218" s="40" cm="1">
        <f t="array" ref="S218">IF(R218=0,"",INDEX(RISK_SCALE_NAMES,_xlfn.MAXIFS(tblThreatControls[Threat risk score],tblThreatControls[Control ID],$A218)))</f>
        <v/>
      </c>
      <c r="T218" s="40" cm="1">
        <f t="array" ref="T218">IF(AND(H218="Applicable",OR(L218="Not assessed",L218=""),R218&gt;0),"Yes","No")</f>
        <v/>
      </c>
      <c r="U218" s="40" cm="1">
        <f t="array" ref="U218">IF(AND(H218="Applicable",OR(L218="Gap",L218="Partial coverage")),INDEX(RISK_SCALE_NAMES,MAX(IFERROR(MATCH(P218,RISK_SCALE_NAMES,0),1),IFERROR(MATCH(S218,RISK_SCALE_NAMES,0),0))),"")</f>
        <v/>
      </c>
      <c r="V218" s="40" cm="1">
        <f t="array" ref="V218">_xlfn.TEXTJOIN("; ",TRUE,_xlfn._xlws.FILTER(tblThreatControls[Threat ID],(tblThreatControls[Control ID]=$A218)*(tblThreatControls[Threat applies]="Applies"),""))</f>
        <v/>
      </c>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0" t="inlineStr">
        <is>
          <t>SAST + integration testing</t>
        </is>
      </c>
      <c r="J219" s="40" t="inlineStr">
        <is>
          <t>Deterministic, continuous</t>
        </is>
      </c>
      <c r="K219" s="42" t="inlineStr">
        <is>
          <t>Pipeline</t>
        </is>
      </c>
      <c r="L219" s="42" t="inlineStr">
        <is>
          <t>Not assessed</t>
        </is>
      </c>
      <c r="M219" s="40" t="n"/>
      <c r="N219" s="40" t="n"/>
      <c r="O219" s="42" t="inlineStr">
        <is>
          <t>High</t>
        </is>
      </c>
      <c r="P219" s="43">
        <f>IF(H219="N/A","N/A",INDEX(CRIT_MATRIX,MATCH(O219,CRIT_MATRIX_ROWS,0),MATCH(APP_RISK_TIER,CRIT_MATRIX_COLS,0)))</f>
        <v/>
      </c>
      <c r="Q219" s="40" t="n"/>
      <c r="R219" s="40" cm="1">
        <f t="array" ref="R219">COUNTIFS(tblThreatControls[Control ID],$A219,tblThreatControls[Threat applies],"Applies")</f>
        <v/>
      </c>
      <c r="S219" s="40" cm="1">
        <f t="array" ref="S219">IF(R219=0,"",INDEX(RISK_SCALE_NAMES,_xlfn.MAXIFS(tblThreatControls[Threat risk score],tblThreatControls[Control ID],$A219)))</f>
        <v/>
      </c>
      <c r="T219" s="40" cm="1">
        <f t="array" ref="T219">IF(AND(H219="Applicable",OR(L219="Not assessed",L219=""),R219&gt;0),"Yes","No")</f>
        <v/>
      </c>
      <c r="U219" s="40" cm="1">
        <f t="array" ref="U219">IF(AND(H219="Applicable",OR(L219="Gap",L219="Partial coverage")),INDEX(RISK_SCALE_NAMES,MAX(IFERROR(MATCH(P219,RISK_SCALE_NAMES,0),1),IFERROR(MATCH(S219,RISK_SCALE_NAMES,0),0))),"")</f>
        <v/>
      </c>
      <c r="V219" s="40" cm="1">
        <f t="array" ref="V219">_xlfn.TEXTJOIN("; ",TRUE,_xlfn._xlws.FILTER(tblThreatControls[Threat ID],(tblThreatControls[Control ID]=$A219)*(tblThreatControls[Threat applies]="Applies"),""))</f>
        <v/>
      </c>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0" t="inlineStr">
        <is>
          <t>SAST + integration testing</t>
        </is>
      </c>
      <c r="J220" s="40" t="inlineStr">
        <is>
          <t>Deterministic, continuous</t>
        </is>
      </c>
      <c r="K220" s="42" t="inlineStr">
        <is>
          <t>Pipeline</t>
        </is>
      </c>
      <c r="L220" s="42" t="inlineStr">
        <is>
          <t>Not assessed</t>
        </is>
      </c>
      <c r="M220" s="40" t="n"/>
      <c r="N220" s="40" t="n"/>
      <c r="O220" s="42" t="inlineStr">
        <is>
          <t>High</t>
        </is>
      </c>
      <c r="P220" s="43">
        <f>IF(H220="N/A","N/A",INDEX(CRIT_MATRIX,MATCH(O220,CRIT_MATRIX_ROWS,0),MATCH(APP_RISK_TIER,CRIT_MATRIX_COLS,0)))</f>
        <v/>
      </c>
      <c r="Q220" s="40" t="n"/>
      <c r="R220" s="40" cm="1">
        <f t="array" ref="R220">COUNTIFS(tblThreatControls[Control ID],$A220,tblThreatControls[Threat applies],"Applies")</f>
        <v/>
      </c>
      <c r="S220" s="40" cm="1">
        <f t="array" ref="S220">IF(R220=0,"",INDEX(RISK_SCALE_NAMES,_xlfn.MAXIFS(tblThreatControls[Threat risk score],tblThreatControls[Control ID],$A220)))</f>
        <v/>
      </c>
      <c r="T220" s="40" cm="1">
        <f t="array" ref="T220">IF(AND(H220="Applicable",OR(L220="Not assessed",L220=""),R220&gt;0),"Yes","No")</f>
        <v/>
      </c>
      <c r="U220" s="40" cm="1">
        <f t="array" ref="U220">IF(AND(H220="Applicable",OR(L220="Gap",L220="Partial coverage")),INDEX(RISK_SCALE_NAMES,MAX(IFERROR(MATCH(P220,RISK_SCALE_NAMES,0),1),IFERROR(MATCH(S220,RISK_SCALE_NAMES,0),0))),"")</f>
        <v/>
      </c>
      <c r="V220" s="40" cm="1">
        <f t="array" ref="V220">_xlfn.TEXTJOIN("; ",TRUE,_xlfn._xlws.FILTER(tblThreatControls[Threat ID],(tblThreatControls[Control ID]=$A220)*(tblThreatControls[Threat applies]="Applies"),""))</f>
        <v/>
      </c>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0" t="inlineStr">
        <is>
          <t>SAST + integration testing</t>
        </is>
      </c>
      <c r="J221" s="40" t="inlineStr">
        <is>
          <t>Deterministic, continuous</t>
        </is>
      </c>
      <c r="K221" s="42" t="inlineStr">
        <is>
          <t>Pipeline</t>
        </is>
      </c>
      <c r="L221" s="42" t="inlineStr">
        <is>
          <t>Not assessed</t>
        </is>
      </c>
      <c r="M221" s="40" t="n"/>
      <c r="N221" s="40" t="n"/>
      <c r="O221" s="42" t="inlineStr">
        <is>
          <t>High</t>
        </is>
      </c>
      <c r="P221" s="43">
        <f>IF(H221="N/A","N/A",INDEX(CRIT_MATRIX,MATCH(O221,CRIT_MATRIX_ROWS,0),MATCH(APP_RISK_TIER,CRIT_MATRIX_COLS,0)))</f>
        <v/>
      </c>
      <c r="Q221" s="40" t="n"/>
      <c r="R221" s="40" cm="1">
        <f t="array" ref="R221">COUNTIFS(tblThreatControls[Control ID],$A221,tblThreatControls[Threat applies],"Applies")</f>
        <v/>
      </c>
      <c r="S221" s="40" cm="1">
        <f t="array" ref="S221">IF(R221=0,"",INDEX(RISK_SCALE_NAMES,_xlfn.MAXIFS(tblThreatControls[Threat risk score],tblThreatControls[Control ID],$A221)))</f>
        <v/>
      </c>
      <c r="T221" s="40" cm="1">
        <f t="array" ref="T221">IF(AND(H221="Applicable",OR(L221="Not assessed",L221=""),R221&gt;0),"Yes","No")</f>
        <v/>
      </c>
      <c r="U221" s="40" cm="1">
        <f t="array" ref="U221">IF(AND(H221="Applicable",OR(L221="Gap",L221="Partial coverage")),INDEX(RISK_SCALE_NAMES,MAX(IFERROR(MATCH(P221,RISK_SCALE_NAMES,0),1),IFERROR(MATCH(S221,RISK_SCALE_NAMES,0),0))),"")</f>
        <v/>
      </c>
      <c r="V221" s="40" cm="1">
        <f t="array" ref="V221">_xlfn.TEXTJOIN("; ",TRUE,_xlfn._xlws.FILTER(tblThreatControls[Threat ID],(tblThreatControls[Control ID]=$A221)*(tblThreatControls[Threat applies]="Applies"),""))</f>
        <v/>
      </c>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0" t="inlineStr">
        <is>
          <t>SAST + integration testing</t>
        </is>
      </c>
      <c r="J222" s="40" t="inlineStr">
        <is>
          <t>Deterministic, continuous</t>
        </is>
      </c>
      <c r="K222" s="42" t="inlineStr">
        <is>
          <t>Pipeline</t>
        </is>
      </c>
      <c r="L222" s="42" t="inlineStr">
        <is>
          <t>Not assessed</t>
        </is>
      </c>
      <c r="M222" s="40" t="n"/>
      <c r="N222" s="40" t="n"/>
      <c r="O222" s="42" t="inlineStr">
        <is>
          <t>High</t>
        </is>
      </c>
      <c r="P222" s="43">
        <f>IF(H222="N/A","N/A",INDEX(CRIT_MATRIX,MATCH(O222,CRIT_MATRIX_ROWS,0),MATCH(APP_RISK_TIER,CRIT_MATRIX_COLS,0)))</f>
        <v/>
      </c>
      <c r="Q222" s="40" t="n"/>
      <c r="R222" s="40" cm="1">
        <f t="array" ref="R222">COUNTIFS(tblThreatControls[Control ID],$A222,tblThreatControls[Threat applies],"Applies")</f>
        <v/>
      </c>
      <c r="S222" s="40" cm="1">
        <f t="array" ref="S222">IF(R222=0,"",INDEX(RISK_SCALE_NAMES,_xlfn.MAXIFS(tblThreatControls[Threat risk score],tblThreatControls[Control ID],$A222)))</f>
        <v/>
      </c>
      <c r="T222" s="40" cm="1">
        <f t="array" ref="T222">IF(AND(H222="Applicable",OR(L222="Not assessed",L222=""),R222&gt;0),"Yes","No")</f>
        <v/>
      </c>
      <c r="U222" s="40" cm="1">
        <f t="array" ref="U222">IF(AND(H222="Applicable",OR(L222="Gap",L222="Partial coverage")),INDEX(RISK_SCALE_NAMES,MAX(IFERROR(MATCH(P222,RISK_SCALE_NAMES,0),1),IFERROR(MATCH(S222,RISK_SCALE_NAMES,0),0))),"")</f>
        <v/>
      </c>
      <c r="V222" s="40" cm="1">
        <f t="array" ref="V222">_xlfn.TEXTJOIN("; ",TRUE,_xlfn._xlws.FILTER(tblThreatControls[Threat ID],(tblThreatControls[Control ID]=$A222)*(tblThreatControls[Threat applies]="Applies"),""))</f>
        <v/>
      </c>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0" t="inlineStr">
        <is>
          <t>SAST + integration testing</t>
        </is>
      </c>
      <c r="J223" s="40" t="inlineStr">
        <is>
          <t>Deterministic, continuous</t>
        </is>
      </c>
      <c r="K223" s="42" t="inlineStr">
        <is>
          <t>Pipeline</t>
        </is>
      </c>
      <c r="L223" s="42" t="inlineStr">
        <is>
          <t>Not assessed</t>
        </is>
      </c>
      <c r="M223" s="40" t="n"/>
      <c r="N223" s="40" t="n"/>
      <c r="O223" s="42" t="inlineStr">
        <is>
          <t>High</t>
        </is>
      </c>
      <c r="P223" s="43">
        <f>IF(H223="N/A","N/A",INDEX(CRIT_MATRIX,MATCH(O223,CRIT_MATRIX_ROWS,0),MATCH(APP_RISK_TIER,CRIT_MATRIX_COLS,0)))</f>
        <v/>
      </c>
      <c r="Q223" s="40" t="n"/>
      <c r="R223" s="40" cm="1">
        <f t="array" ref="R223">COUNTIFS(tblThreatControls[Control ID],$A223,tblThreatControls[Threat applies],"Applies")</f>
        <v/>
      </c>
      <c r="S223" s="40" cm="1">
        <f t="array" ref="S223">IF(R223=0,"",INDEX(RISK_SCALE_NAMES,_xlfn.MAXIFS(tblThreatControls[Threat risk score],tblThreatControls[Control ID],$A223)))</f>
        <v/>
      </c>
      <c r="T223" s="40" cm="1">
        <f t="array" ref="T223">IF(AND(H223="Applicable",OR(L223="Not assessed",L223=""),R223&gt;0),"Yes","No")</f>
        <v/>
      </c>
      <c r="U223" s="40" cm="1">
        <f t="array" ref="U223">IF(AND(H223="Applicable",OR(L223="Gap",L223="Partial coverage")),INDEX(RISK_SCALE_NAMES,MAX(IFERROR(MATCH(P223,RISK_SCALE_NAMES,0),1),IFERROR(MATCH(S223,RISK_SCALE_NAMES,0),0))),"")</f>
        <v/>
      </c>
      <c r="V223" s="40" cm="1">
        <f t="array" ref="V223">_xlfn.TEXTJOIN("; ",TRUE,_xlfn._xlws.FILTER(tblThreatControls[Threat ID],(tblThreatControls[Control ID]=$A223)*(tblThreatControls[Threat applies]="Applies"),""))</f>
        <v/>
      </c>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0" t="inlineStr">
        <is>
          <t>SAST + integration testing</t>
        </is>
      </c>
      <c r="J224" s="40" t="inlineStr">
        <is>
          <t>Deterministic, continuous</t>
        </is>
      </c>
      <c r="K224" s="42" t="inlineStr">
        <is>
          <t>Pipeline</t>
        </is>
      </c>
      <c r="L224" s="42" t="inlineStr">
        <is>
          <t>Not assessed</t>
        </is>
      </c>
      <c r="M224" s="40" t="n"/>
      <c r="N224" s="40" t="n"/>
      <c r="O224" s="42" t="inlineStr">
        <is>
          <t>High</t>
        </is>
      </c>
      <c r="P224" s="43">
        <f>IF(H224="N/A","N/A",INDEX(CRIT_MATRIX,MATCH(O224,CRIT_MATRIX_ROWS,0),MATCH(APP_RISK_TIER,CRIT_MATRIX_COLS,0)))</f>
        <v/>
      </c>
      <c r="Q224" s="40" t="n"/>
      <c r="R224" s="40" cm="1">
        <f t="array" ref="R224">COUNTIFS(tblThreatControls[Control ID],$A224,tblThreatControls[Threat applies],"Applies")</f>
        <v/>
      </c>
      <c r="S224" s="40" cm="1">
        <f t="array" ref="S224">IF(R224=0,"",INDEX(RISK_SCALE_NAMES,_xlfn.MAXIFS(tblThreatControls[Threat risk score],tblThreatControls[Control ID],$A224)))</f>
        <v/>
      </c>
      <c r="T224" s="40" cm="1">
        <f t="array" ref="T224">IF(AND(H224="Applicable",OR(L224="Not assessed",L224=""),R224&gt;0),"Yes","No")</f>
        <v/>
      </c>
      <c r="U224" s="40" cm="1">
        <f t="array" ref="U224">IF(AND(H224="Applicable",OR(L224="Gap",L224="Partial coverage")),INDEX(RISK_SCALE_NAMES,MAX(IFERROR(MATCH(P224,RISK_SCALE_NAMES,0),1),IFERROR(MATCH(S224,RISK_SCALE_NAMES,0),0))),"")</f>
        <v/>
      </c>
      <c r="V224" s="40" cm="1">
        <f t="array" ref="V224">_xlfn.TEXTJOIN("; ",TRUE,_xlfn._xlws.FILTER(tblThreatControls[Threat ID],(tblThreatControls[Control ID]=$A224)*(tblThreatControls[Threat applies]="Applies"),""))</f>
        <v/>
      </c>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0" t="inlineStr">
        <is>
          <t>SAST + integration testing</t>
        </is>
      </c>
      <c r="J225" s="40" t="inlineStr">
        <is>
          <t>Deterministic, continuous</t>
        </is>
      </c>
      <c r="K225" s="42" t="inlineStr">
        <is>
          <t>Pipeline</t>
        </is>
      </c>
      <c r="L225" s="42" t="inlineStr">
        <is>
          <t>Not assessed</t>
        </is>
      </c>
      <c r="M225" s="40" t="n"/>
      <c r="N225" s="40" t="n"/>
      <c r="O225" s="42" t="inlineStr">
        <is>
          <t>High</t>
        </is>
      </c>
      <c r="P225" s="43">
        <f>IF(H225="N/A","N/A",INDEX(CRIT_MATRIX,MATCH(O225,CRIT_MATRIX_ROWS,0),MATCH(APP_RISK_TIER,CRIT_MATRIX_COLS,0)))</f>
        <v/>
      </c>
      <c r="Q225" s="40" t="n"/>
      <c r="R225" s="40" cm="1">
        <f t="array" ref="R225">COUNTIFS(tblThreatControls[Control ID],$A225,tblThreatControls[Threat applies],"Applies")</f>
        <v/>
      </c>
      <c r="S225" s="40" cm="1">
        <f t="array" ref="S225">IF(R225=0,"",INDEX(RISK_SCALE_NAMES,_xlfn.MAXIFS(tblThreatControls[Threat risk score],tblThreatControls[Control ID],$A225)))</f>
        <v/>
      </c>
      <c r="T225" s="40" cm="1">
        <f t="array" ref="T225">IF(AND(H225="Applicable",OR(L225="Not assessed",L225=""),R225&gt;0),"Yes","No")</f>
        <v/>
      </c>
      <c r="U225" s="40" cm="1">
        <f t="array" ref="U225">IF(AND(H225="Applicable",OR(L225="Gap",L225="Partial coverage")),INDEX(RISK_SCALE_NAMES,MAX(IFERROR(MATCH(P225,RISK_SCALE_NAMES,0),1),IFERROR(MATCH(S225,RISK_SCALE_NAMES,0),0))),"")</f>
        <v/>
      </c>
      <c r="V225" s="40" cm="1">
        <f t="array" ref="V225">_xlfn.TEXTJOIN("; ",TRUE,_xlfn._xlws.FILTER(tblThreatControls[Threat ID],(tblThreatControls[Control ID]=$A225)*(tblThreatControls[Threat applies]="Applies"),""))</f>
        <v/>
      </c>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0" t="inlineStr">
        <is>
          <t>SAST + integration testing</t>
        </is>
      </c>
      <c r="J226" s="40" t="inlineStr">
        <is>
          <t>Deterministic, continuous</t>
        </is>
      </c>
      <c r="K226" s="42" t="inlineStr">
        <is>
          <t>Pipeline</t>
        </is>
      </c>
      <c r="L226" s="42" t="inlineStr">
        <is>
          <t>Not assessed</t>
        </is>
      </c>
      <c r="M226" s="40" t="n"/>
      <c r="N226" s="40" t="n"/>
      <c r="O226" s="42" t="inlineStr">
        <is>
          <t>High</t>
        </is>
      </c>
      <c r="P226" s="43">
        <f>IF(H226="N/A","N/A",INDEX(CRIT_MATRIX,MATCH(O226,CRIT_MATRIX_ROWS,0),MATCH(APP_RISK_TIER,CRIT_MATRIX_COLS,0)))</f>
        <v/>
      </c>
      <c r="Q226" s="40" t="n"/>
      <c r="R226" s="40" cm="1">
        <f t="array" ref="R226">COUNTIFS(tblThreatControls[Control ID],$A226,tblThreatControls[Threat applies],"Applies")</f>
        <v/>
      </c>
      <c r="S226" s="40" cm="1">
        <f t="array" ref="S226">IF(R226=0,"",INDEX(RISK_SCALE_NAMES,_xlfn.MAXIFS(tblThreatControls[Threat risk score],tblThreatControls[Control ID],$A226)))</f>
        <v/>
      </c>
      <c r="T226" s="40" cm="1">
        <f t="array" ref="T226">IF(AND(H226="Applicable",OR(L226="Not assessed",L226=""),R226&gt;0),"Yes","No")</f>
        <v/>
      </c>
      <c r="U226" s="40" cm="1">
        <f t="array" ref="U226">IF(AND(H226="Applicable",OR(L226="Gap",L226="Partial coverage")),INDEX(RISK_SCALE_NAMES,MAX(IFERROR(MATCH(P226,RISK_SCALE_NAMES,0),1),IFERROR(MATCH(S226,RISK_SCALE_NAMES,0),0))),"")</f>
        <v/>
      </c>
      <c r="V226" s="40" cm="1">
        <f t="array" ref="V226">_xlfn.TEXTJOIN("; ",TRUE,_xlfn._xlws.FILTER(tblThreatControls[Threat ID],(tblThreatControls[Control ID]=$A226)*(tblThreatControls[Threat applies]="Applies"),""))</f>
        <v/>
      </c>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0" t="inlineStr">
        <is>
          <t>SAST + integration testing</t>
        </is>
      </c>
      <c r="J227" s="40" t="inlineStr">
        <is>
          <t>Deterministic, continuous</t>
        </is>
      </c>
      <c r="K227" s="42" t="inlineStr">
        <is>
          <t>Pipeline</t>
        </is>
      </c>
      <c r="L227" s="42" t="inlineStr">
        <is>
          <t>Not assessed</t>
        </is>
      </c>
      <c r="M227" s="40" t="n"/>
      <c r="N227" s="40" t="n"/>
      <c r="O227" s="42" t="inlineStr">
        <is>
          <t>High</t>
        </is>
      </c>
      <c r="P227" s="43">
        <f>IF(H227="N/A","N/A",INDEX(CRIT_MATRIX,MATCH(O227,CRIT_MATRIX_ROWS,0),MATCH(APP_RISK_TIER,CRIT_MATRIX_COLS,0)))</f>
        <v/>
      </c>
      <c r="Q227" s="40" t="n"/>
      <c r="R227" s="40" cm="1">
        <f t="array" ref="R227">COUNTIFS(tblThreatControls[Control ID],$A227,tblThreatControls[Threat applies],"Applies")</f>
        <v/>
      </c>
      <c r="S227" s="40" cm="1">
        <f t="array" ref="S227">IF(R227=0,"",INDEX(RISK_SCALE_NAMES,_xlfn.MAXIFS(tblThreatControls[Threat risk score],tblThreatControls[Control ID],$A227)))</f>
        <v/>
      </c>
      <c r="T227" s="40" cm="1">
        <f t="array" ref="T227">IF(AND(H227="Applicable",OR(L227="Not assessed",L227=""),R227&gt;0),"Yes","No")</f>
        <v/>
      </c>
      <c r="U227" s="40" cm="1">
        <f t="array" ref="U227">IF(AND(H227="Applicable",OR(L227="Gap",L227="Partial coverage")),INDEX(RISK_SCALE_NAMES,MAX(IFERROR(MATCH(P227,RISK_SCALE_NAMES,0),1),IFERROR(MATCH(S227,RISK_SCALE_NAMES,0),0))),"")</f>
        <v/>
      </c>
      <c r="V227" s="40" cm="1">
        <f t="array" ref="V227">_xlfn.TEXTJOIN("; ",TRUE,_xlfn._xlws.FILTER(tblThreatControls[Threat ID],(tblThreatControls[Control ID]=$A227)*(tblThreatControls[Threat applies]="Applies"),""))</f>
        <v/>
      </c>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0" t="inlineStr">
        <is>
          <t>SAST + integration testing</t>
        </is>
      </c>
      <c r="J228" s="40" t="inlineStr">
        <is>
          <t>Deterministic, continuous</t>
        </is>
      </c>
      <c r="K228" s="42" t="inlineStr">
        <is>
          <t>Pipeline</t>
        </is>
      </c>
      <c r="L228" s="42" t="inlineStr">
        <is>
          <t>Not assessed</t>
        </is>
      </c>
      <c r="M228" s="40" t="n"/>
      <c r="N228" s="40" t="n"/>
      <c r="O228" s="42" t="inlineStr">
        <is>
          <t>High</t>
        </is>
      </c>
      <c r="P228" s="43">
        <f>IF(H228="N/A","N/A",INDEX(CRIT_MATRIX,MATCH(O228,CRIT_MATRIX_ROWS,0),MATCH(APP_RISK_TIER,CRIT_MATRIX_COLS,0)))</f>
        <v/>
      </c>
      <c r="Q228" s="40" t="n"/>
      <c r="R228" s="40" cm="1">
        <f t="array" ref="R228">COUNTIFS(tblThreatControls[Control ID],$A228,tblThreatControls[Threat applies],"Applies")</f>
        <v/>
      </c>
      <c r="S228" s="40" cm="1">
        <f t="array" ref="S228">IF(R228=0,"",INDEX(RISK_SCALE_NAMES,_xlfn.MAXIFS(tblThreatControls[Threat risk score],tblThreatControls[Control ID],$A228)))</f>
        <v/>
      </c>
      <c r="T228" s="40" cm="1">
        <f t="array" ref="T228">IF(AND(H228="Applicable",OR(L228="Not assessed",L228=""),R228&gt;0),"Yes","No")</f>
        <v/>
      </c>
      <c r="U228" s="40" cm="1">
        <f t="array" ref="U228">IF(AND(H228="Applicable",OR(L228="Gap",L228="Partial coverage")),INDEX(RISK_SCALE_NAMES,MAX(IFERROR(MATCH(P228,RISK_SCALE_NAMES,0),1),IFERROR(MATCH(S228,RISK_SCALE_NAMES,0),0))),"")</f>
        <v/>
      </c>
      <c r="V228" s="40" cm="1">
        <f t="array" ref="V228">_xlfn.TEXTJOIN("; ",TRUE,_xlfn._xlws.FILTER(tblThreatControls[Threat ID],(tblThreatControls[Control ID]=$A228)*(tblThreatControls[Threat applies]="Applies"),""))</f>
        <v/>
      </c>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0" t="inlineStr">
        <is>
          <t>SAST + integration testing</t>
        </is>
      </c>
      <c r="J229" s="40" t="inlineStr">
        <is>
          <t>Deterministic, continuous</t>
        </is>
      </c>
      <c r="K229" s="42" t="inlineStr">
        <is>
          <t>Pipeline</t>
        </is>
      </c>
      <c r="L229" s="42" t="inlineStr">
        <is>
          <t>Not assessed</t>
        </is>
      </c>
      <c r="M229" s="40" t="n"/>
      <c r="N229" s="40" t="n"/>
      <c r="O229" s="42" t="inlineStr">
        <is>
          <t>High</t>
        </is>
      </c>
      <c r="P229" s="43">
        <f>IF(H229="N/A","N/A",INDEX(CRIT_MATRIX,MATCH(O229,CRIT_MATRIX_ROWS,0),MATCH(APP_RISK_TIER,CRIT_MATRIX_COLS,0)))</f>
        <v/>
      </c>
      <c r="Q229" s="40" t="n"/>
      <c r="R229" s="40" cm="1">
        <f t="array" ref="R229">COUNTIFS(tblThreatControls[Control ID],$A229,tblThreatControls[Threat applies],"Applies")</f>
        <v/>
      </c>
      <c r="S229" s="40" cm="1">
        <f t="array" ref="S229">IF(R229=0,"",INDEX(RISK_SCALE_NAMES,_xlfn.MAXIFS(tblThreatControls[Threat risk score],tblThreatControls[Control ID],$A229)))</f>
        <v/>
      </c>
      <c r="T229" s="40" cm="1">
        <f t="array" ref="T229">IF(AND(H229="Applicable",OR(L229="Not assessed",L229=""),R229&gt;0),"Yes","No")</f>
        <v/>
      </c>
      <c r="U229" s="40" cm="1">
        <f t="array" ref="U229">IF(AND(H229="Applicable",OR(L229="Gap",L229="Partial coverage")),INDEX(RISK_SCALE_NAMES,MAX(IFERROR(MATCH(P229,RISK_SCALE_NAMES,0),1),IFERROR(MATCH(S229,RISK_SCALE_NAMES,0),0))),"")</f>
        <v/>
      </c>
      <c r="V229" s="40" cm="1">
        <f t="array" ref="V229">_xlfn.TEXTJOIN("; ",TRUE,_xlfn._xlws.FILTER(tblThreatControls[Threat ID],(tblThreatControls[Control ID]=$A229)*(tblThreatControls[Threat applies]="Applies"),""))</f>
        <v/>
      </c>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0" t="inlineStr">
        <is>
          <t>Architecture / documentation review</t>
        </is>
      </c>
      <c r="J230" s="40" t="inlineStr">
        <is>
          <t>Sampled, periodic</t>
        </is>
      </c>
      <c r="K230" s="42" t="inlineStr">
        <is>
          <t>Design/Governance</t>
        </is>
      </c>
      <c r="L230" s="42" t="inlineStr">
        <is>
          <t>Not assessed</t>
        </is>
      </c>
      <c r="M230" s="40" t="n"/>
      <c r="N230" s="40" t="n"/>
      <c r="O230" s="42" t="inlineStr">
        <is>
          <t>High</t>
        </is>
      </c>
      <c r="P230" s="43">
        <f>IF(H230="N/A","N/A",INDEX(CRIT_MATRIX,MATCH(O230,CRIT_MATRIX_ROWS,0),MATCH(APP_RISK_TIER,CRIT_MATRIX_COLS,0)))</f>
        <v/>
      </c>
      <c r="Q230" s="40" t="n"/>
      <c r="R230" s="40" cm="1">
        <f t="array" ref="R230">COUNTIFS(tblThreatControls[Control ID],$A230,tblThreatControls[Threat applies],"Applies")</f>
        <v/>
      </c>
      <c r="S230" s="40" cm="1">
        <f t="array" ref="S230">IF(R230=0,"",INDEX(RISK_SCALE_NAMES,_xlfn.MAXIFS(tblThreatControls[Threat risk score],tblThreatControls[Control ID],$A230)))</f>
        <v/>
      </c>
      <c r="T230" s="40" cm="1">
        <f t="array" ref="T230">IF(AND(H230="Applicable",OR(L230="Not assessed",L230=""),R230&gt;0),"Yes","No")</f>
        <v/>
      </c>
      <c r="U230" s="40" cm="1">
        <f t="array" ref="U230">IF(AND(H230="Applicable",OR(L230="Gap",L230="Partial coverage")),INDEX(RISK_SCALE_NAMES,MAX(IFERROR(MATCH(P230,RISK_SCALE_NAMES,0),1),IFERROR(MATCH(S230,RISK_SCALE_NAMES,0),0))),"")</f>
        <v/>
      </c>
      <c r="V230" s="40" cm="1">
        <f t="array" ref="V230">_xlfn.TEXTJOIN("; ",TRUE,_xlfn._xlws.FILTER(tblThreatControls[Threat ID],(tblThreatControls[Control ID]=$A230)*(tblThreatControls[Threat applies]="Applies"),""))</f>
        <v/>
      </c>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0" t="inlineStr">
        <is>
          <t>Architecture / documentation review</t>
        </is>
      </c>
      <c r="J231" s="40" t="inlineStr">
        <is>
          <t>Sampled, periodic</t>
        </is>
      </c>
      <c r="K231" s="42" t="inlineStr">
        <is>
          <t>Design/Governance</t>
        </is>
      </c>
      <c r="L231" s="42" t="inlineStr">
        <is>
          <t>Not assessed</t>
        </is>
      </c>
      <c r="M231" s="40" t="n"/>
      <c r="N231" s="40" t="n"/>
      <c r="O231" s="42" t="inlineStr">
        <is>
          <t>High</t>
        </is>
      </c>
      <c r="P231" s="43">
        <f>IF(H231="N/A","N/A",INDEX(CRIT_MATRIX,MATCH(O231,CRIT_MATRIX_ROWS,0),MATCH(APP_RISK_TIER,CRIT_MATRIX_COLS,0)))</f>
        <v/>
      </c>
      <c r="Q231" s="40" t="n"/>
      <c r="R231" s="40" cm="1">
        <f t="array" ref="R231">COUNTIFS(tblThreatControls[Control ID],$A231,tblThreatControls[Threat applies],"Applies")</f>
        <v/>
      </c>
      <c r="S231" s="40" cm="1">
        <f t="array" ref="S231">IF(R231=0,"",INDEX(RISK_SCALE_NAMES,_xlfn.MAXIFS(tblThreatControls[Threat risk score],tblThreatControls[Control ID],$A231)))</f>
        <v/>
      </c>
      <c r="T231" s="40" cm="1">
        <f t="array" ref="T231">IF(AND(H231="Applicable",OR(L231="Not assessed",L231=""),R231&gt;0),"Yes","No")</f>
        <v/>
      </c>
      <c r="U231" s="40" cm="1">
        <f t="array" ref="U231">IF(AND(H231="Applicable",OR(L231="Gap",L231="Partial coverage")),INDEX(RISK_SCALE_NAMES,MAX(IFERROR(MATCH(P231,RISK_SCALE_NAMES,0),1),IFERROR(MATCH(S231,RISK_SCALE_NAMES,0),0))),"")</f>
        <v/>
      </c>
      <c r="V231" s="40" cm="1">
        <f t="array" ref="V231">_xlfn.TEXTJOIN("; ",TRUE,_xlfn._xlws.FILTER(tblThreatControls[Threat ID],(tblThreatControls[Control ID]=$A231)*(tblThreatControls[Threat applies]="Applies"),""))</f>
        <v/>
      </c>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0" t="inlineStr">
        <is>
          <t>Architecture / documentation review</t>
        </is>
      </c>
      <c r="J232" s="40" t="inlineStr">
        <is>
          <t>Sampled, periodic</t>
        </is>
      </c>
      <c r="K232" s="42" t="inlineStr">
        <is>
          <t>Design/Governance</t>
        </is>
      </c>
      <c r="L232" s="42" t="inlineStr">
        <is>
          <t>Not assessed</t>
        </is>
      </c>
      <c r="M232" s="40" t="n"/>
      <c r="N232" s="40" t="n"/>
      <c r="O232" s="42" t="inlineStr">
        <is>
          <t>High</t>
        </is>
      </c>
      <c r="P232" s="43">
        <f>IF(H232="N/A","N/A",INDEX(CRIT_MATRIX,MATCH(O232,CRIT_MATRIX_ROWS,0),MATCH(APP_RISK_TIER,CRIT_MATRIX_COLS,0)))</f>
        <v/>
      </c>
      <c r="Q232" s="40" t="n"/>
      <c r="R232" s="40" cm="1">
        <f t="array" ref="R232">COUNTIFS(tblThreatControls[Control ID],$A232,tblThreatControls[Threat applies],"Applies")</f>
        <v/>
      </c>
      <c r="S232" s="40" cm="1">
        <f t="array" ref="S232">IF(R232=0,"",INDEX(RISK_SCALE_NAMES,_xlfn.MAXIFS(tblThreatControls[Threat risk score],tblThreatControls[Control ID],$A232)))</f>
        <v/>
      </c>
      <c r="T232" s="40" cm="1">
        <f t="array" ref="T232">IF(AND(H232="Applicable",OR(L232="Not assessed",L232=""),R232&gt;0),"Yes","No")</f>
        <v/>
      </c>
      <c r="U232" s="40" cm="1">
        <f t="array" ref="U232">IF(AND(H232="Applicable",OR(L232="Gap",L232="Partial coverage")),INDEX(RISK_SCALE_NAMES,MAX(IFERROR(MATCH(P232,RISK_SCALE_NAMES,0),1),IFERROR(MATCH(S232,RISK_SCALE_NAMES,0),0))),"")</f>
        <v/>
      </c>
      <c r="V232" s="40" cm="1">
        <f t="array" ref="V232">_xlfn.TEXTJOIN("; ",TRUE,_xlfn._xlws.FILTER(tblThreatControls[Threat ID],(tblThreatControls[Control ID]=$A232)*(tblThreatControls[Threat applies]="Applies"),""))</f>
        <v/>
      </c>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0" t="inlineStr">
        <is>
          <t>Architecture / documentation review</t>
        </is>
      </c>
      <c r="J233" s="40" t="inlineStr">
        <is>
          <t>Sampled, periodic</t>
        </is>
      </c>
      <c r="K233" s="42" t="inlineStr">
        <is>
          <t>Design/Governance</t>
        </is>
      </c>
      <c r="L233" s="42" t="inlineStr">
        <is>
          <t>Not assessed</t>
        </is>
      </c>
      <c r="M233" s="40" t="n"/>
      <c r="N233" s="40" t="n"/>
      <c r="O233" s="42" t="inlineStr">
        <is>
          <t>High</t>
        </is>
      </c>
      <c r="P233" s="43">
        <f>IF(H233="N/A","N/A",INDEX(CRIT_MATRIX,MATCH(O233,CRIT_MATRIX_ROWS,0),MATCH(APP_RISK_TIER,CRIT_MATRIX_COLS,0)))</f>
        <v/>
      </c>
      <c r="Q233" s="40" t="n"/>
      <c r="R233" s="40" cm="1">
        <f t="array" ref="R233">COUNTIFS(tblThreatControls[Control ID],$A233,tblThreatControls[Threat applies],"Applies")</f>
        <v/>
      </c>
      <c r="S233" s="40" cm="1">
        <f t="array" ref="S233">IF(R233=0,"",INDEX(RISK_SCALE_NAMES,_xlfn.MAXIFS(tblThreatControls[Threat risk score],tblThreatControls[Control ID],$A233)))</f>
        <v/>
      </c>
      <c r="T233" s="40" cm="1">
        <f t="array" ref="T233">IF(AND(H233="Applicable",OR(L233="Not assessed",L233=""),R233&gt;0),"Yes","No")</f>
        <v/>
      </c>
      <c r="U233" s="40" cm="1">
        <f t="array" ref="U233">IF(AND(H233="Applicable",OR(L233="Gap",L233="Partial coverage")),INDEX(RISK_SCALE_NAMES,MAX(IFERROR(MATCH(P233,RISK_SCALE_NAMES,0),1),IFERROR(MATCH(S233,RISK_SCALE_NAMES,0),0))),"")</f>
        <v/>
      </c>
      <c r="V233" s="40" cm="1">
        <f t="array" ref="V233">_xlfn.TEXTJOIN("; ",TRUE,_xlfn._xlws.FILTER(tblThreatControls[Threat ID],(tblThreatControls[Control ID]=$A233)*(tblThreatControls[Threat applies]="Applies"),""))</f>
        <v/>
      </c>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0" t="inlineStr">
        <is>
          <t>SAST (crypto rules) + configuration review</t>
        </is>
      </c>
      <c r="J234" s="40" t="inlineStr">
        <is>
          <t>Deterministic, continuous</t>
        </is>
      </c>
      <c r="K234" s="42" t="inlineStr">
        <is>
          <t>Pipeline</t>
        </is>
      </c>
      <c r="L234" s="42" t="inlineStr">
        <is>
          <t>Not assessed</t>
        </is>
      </c>
      <c r="M234" s="40" t="n"/>
      <c r="N234" s="40" t="n"/>
      <c r="O234" s="42" t="inlineStr">
        <is>
          <t>High</t>
        </is>
      </c>
      <c r="P234" s="43">
        <f>IF(H234="N/A","N/A",INDEX(CRIT_MATRIX,MATCH(O234,CRIT_MATRIX_ROWS,0),MATCH(APP_RISK_TIER,CRIT_MATRIX_COLS,0)))</f>
        <v/>
      </c>
      <c r="Q234" s="40" t="n"/>
      <c r="R234" s="40" cm="1">
        <f t="array" ref="R234">COUNTIFS(tblThreatControls[Control ID],$A234,tblThreatControls[Threat applies],"Applies")</f>
        <v/>
      </c>
      <c r="S234" s="40" cm="1">
        <f t="array" ref="S234">IF(R234=0,"",INDEX(RISK_SCALE_NAMES,_xlfn.MAXIFS(tblThreatControls[Threat risk score],tblThreatControls[Control ID],$A234)))</f>
        <v/>
      </c>
      <c r="T234" s="40" cm="1">
        <f t="array" ref="T234">IF(AND(H234="Applicable",OR(L234="Not assessed",L234=""),R234&gt;0),"Yes","No")</f>
        <v/>
      </c>
      <c r="U234" s="40" cm="1">
        <f t="array" ref="U234">IF(AND(H234="Applicable",OR(L234="Gap",L234="Partial coverage")),INDEX(RISK_SCALE_NAMES,MAX(IFERROR(MATCH(P234,RISK_SCALE_NAMES,0),1),IFERROR(MATCH(S234,RISK_SCALE_NAMES,0),0))),"")</f>
        <v/>
      </c>
      <c r="V234" s="40" cm="1">
        <f t="array" ref="V234">_xlfn.TEXTJOIN("; ",TRUE,_xlfn._xlws.FILTER(tblThreatControls[Threat ID],(tblThreatControls[Control ID]=$A234)*(tblThreatControls[Threat applies]="Applies"),""))</f>
        <v/>
      </c>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0" t="inlineStr">
        <is>
          <t>SAST (crypto rules) + configuration review</t>
        </is>
      </c>
      <c r="J235" s="40" t="inlineStr">
        <is>
          <t>Deterministic, continuous</t>
        </is>
      </c>
      <c r="K235" s="42" t="inlineStr">
        <is>
          <t>Pipeline</t>
        </is>
      </c>
      <c r="L235" s="42" t="inlineStr">
        <is>
          <t>Not assessed</t>
        </is>
      </c>
      <c r="M235" s="40" t="n"/>
      <c r="N235" s="40" t="n"/>
      <c r="O235" s="42" t="inlineStr">
        <is>
          <t>High</t>
        </is>
      </c>
      <c r="P235" s="43">
        <f>IF(H235="N/A","N/A",INDEX(CRIT_MATRIX,MATCH(O235,CRIT_MATRIX_ROWS,0),MATCH(APP_RISK_TIER,CRIT_MATRIX_COLS,0)))</f>
        <v/>
      </c>
      <c r="Q235" s="40" t="n"/>
      <c r="R235" s="40" cm="1">
        <f t="array" ref="R235">COUNTIFS(tblThreatControls[Control ID],$A235,tblThreatControls[Threat applies],"Applies")</f>
        <v/>
      </c>
      <c r="S235" s="40" cm="1">
        <f t="array" ref="S235">IF(R235=0,"",INDEX(RISK_SCALE_NAMES,_xlfn.MAXIFS(tblThreatControls[Threat risk score],tblThreatControls[Control ID],$A235)))</f>
        <v/>
      </c>
      <c r="T235" s="40" cm="1">
        <f t="array" ref="T235">IF(AND(H235="Applicable",OR(L235="Not assessed",L235=""),R235&gt;0),"Yes","No")</f>
        <v/>
      </c>
      <c r="U235" s="40" cm="1">
        <f t="array" ref="U235">IF(AND(H235="Applicable",OR(L235="Gap",L235="Partial coverage")),INDEX(RISK_SCALE_NAMES,MAX(IFERROR(MATCH(P235,RISK_SCALE_NAMES,0),1),IFERROR(MATCH(S235,RISK_SCALE_NAMES,0),0))),"")</f>
        <v/>
      </c>
      <c r="V235" s="40" cm="1">
        <f t="array" ref="V235">_xlfn.TEXTJOIN("; ",TRUE,_xlfn._xlws.FILTER(tblThreatControls[Threat ID],(tblThreatControls[Control ID]=$A235)*(tblThreatControls[Threat applies]="Applies"),""))</f>
        <v/>
      </c>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0" t="inlineStr">
        <is>
          <t>SAST (crypto rules) + configuration review</t>
        </is>
      </c>
      <c r="J236" s="40" t="inlineStr">
        <is>
          <t>Deterministic, continuous</t>
        </is>
      </c>
      <c r="K236" s="42" t="inlineStr">
        <is>
          <t>Pipeline</t>
        </is>
      </c>
      <c r="L236" s="42" t="inlineStr">
        <is>
          <t>Not assessed</t>
        </is>
      </c>
      <c r="M236" s="40" t="n"/>
      <c r="N236" s="40" t="n"/>
      <c r="O236" s="42" t="inlineStr">
        <is>
          <t>High</t>
        </is>
      </c>
      <c r="P236" s="43">
        <f>IF(H236="N/A","N/A",INDEX(CRIT_MATRIX,MATCH(O236,CRIT_MATRIX_ROWS,0),MATCH(APP_RISK_TIER,CRIT_MATRIX_COLS,0)))</f>
        <v/>
      </c>
      <c r="Q236" s="40" t="n"/>
      <c r="R236" s="40" cm="1">
        <f t="array" ref="R236">COUNTIFS(tblThreatControls[Control ID],$A236,tblThreatControls[Threat applies],"Applies")</f>
        <v/>
      </c>
      <c r="S236" s="40" cm="1">
        <f t="array" ref="S236">IF(R236=0,"",INDEX(RISK_SCALE_NAMES,_xlfn.MAXIFS(tblThreatControls[Threat risk score],tblThreatControls[Control ID],$A236)))</f>
        <v/>
      </c>
      <c r="T236" s="40" cm="1">
        <f t="array" ref="T236">IF(AND(H236="Applicable",OR(L236="Not assessed",L236=""),R236&gt;0),"Yes","No")</f>
        <v/>
      </c>
      <c r="U236" s="40" cm="1">
        <f t="array" ref="U236">IF(AND(H236="Applicable",OR(L236="Gap",L236="Partial coverage")),INDEX(RISK_SCALE_NAMES,MAX(IFERROR(MATCH(P236,RISK_SCALE_NAMES,0),1),IFERROR(MATCH(S236,RISK_SCALE_NAMES,0),0))),"")</f>
        <v/>
      </c>
      <c r="V236" s="40" cm="1">
        <f t="array" ref="V236">_xlfn.TEXTJOIN("; ",TRUE,_xlfn._xlws.FILTER(tblThreatControls[Threat ID],(tblThreatControls[Control ID]=$A236)*(tblThreatControls[Threat applies]="Applies"),""))</f>
        <v/>
      </c>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0" t="inlineStr">
        <is>
          <t>SAST (crypto rules) + configuration review</t>
        </is>
      </c>
      <c r="J237" s="40" t="inlineStr">
        <is>
          <t>Deterministic, continuous</t>
        </is>
      </c>
      <c r="K237" s="42" t="inlineStr">
        <is>
          <t>Pipeline</t>
        </is>
      </c>
      <c r="L237" s="42" t="inlineStr">
        <is>
          <t>Not assessed</t>
        </is>
      </c>
      <c r="M237" s="40" t="n"/>
      <c r="N237" s="40" t="n"/>
      <c r="O237" s="42" t="inlineStr">
        <is>
          <t>High</t>
        </is>
      </c>
      <c r="P237" s="43">
        <f>IF(H237="N/A","N/A",INDEX(CRIT_MATRIX,MATCH(O237,CRIT_MATRIX_ROWS,0),MATCH(APP_RISK_TIER,CRIT_MATRIX_COLS,0)))</f>
        <v/>
      </c>
      <c r="Q237" s="40" t="n"/>
      <c r="R237" s="40" cm="1">
        <f t="array" ref="R237">COUNTIFS(tblThreatControls[Control ID],$A237,tblThreatControls[Threat applies],"Applies")</f>
        <v/>
      </c>
      <c r="S237" s="40" cm="1">
        <f t="array" ref="S237">IF(R237=0,"",INDEX(RISK_SCALE_NAMES,_xlfn.MAXIFS(tblThreatControls[Threat risk score],tblThreatControls[Control ID],$A237)))</f>
        <v/>
      </c>
      <c r="T237" s="40" cm="1">
        <f t="array" ref="T237">IF(AND(H237="Applicable",OR(L237="Not assessed",L237=""),R237&gt;0),"Yes","No")</f>
        <v/>
      </c>
      <c r="U237" s="40" cm="1">
        <f t="array" ref="U237">IF(AND(H237="Applicable",OR(L237="Gap",L237="Partial coverage")),INDEX(RISK_SCALE_NAMES,MAX(IFERROR(MATCH(P237,RISK_SCALE_NAMES,0),1),IFERROR(MATCH(S237,RISK_SCALE_NAMES,0),0))),"")</f>
        <v/>
      </c>
      <c r="V237" s="40" cm="1">
        <f t="array" ref="V237">_xlfn.TEXTJOIN("; ",TRUE,_xlfn._xlws.FILTER(tblThreatControls[Threat ID],(tblThreatControls[Control ID]=$A237)*(tblThreatControls[Threat applies]="Applies"),""))</f>
        <v/>
      </c>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0" t="inlineStr">
        <is>
          <t>SAST (crypto rules) + configuration review</t>
        </is>
      </c>
      <c r="J238" s="40" t="inlineStr">
        <is>
          <t>Deterministic, continuous</t>
        </is>
      </c>
      <c r="K238" s="42" t="inlineStr">
        <is>
          <t>Pipeline</t>
        </is>
      </c>
      <c r="L238" s="42" t="inlineStr">
        <is>
          <t>Not assessed</t>
        </is>
      </c>
      <c r="M238" s="40" t="n"/>
      <c r="N238" s="40" t="n"/>
      <c r="O238" s="42" t="inlineStr">
        <is>
          <t>High</t>
        </is>
      </c>
      <c r="P238" s="43">
        <f>IF(H238="N/A","N/A",INDEX(CRIT_MATRIX,MATCH(O238,CRIT_MATRIX_ROWS,0),MATCH(APP_RISK_TIER,CRIT_MATRIX_COLS,0)))</f>
        <v/>
      </c>
      <c r="Q238" s="40" t="n"/>
      <c r="R238" s="40" cm="1">
        <f t="array" ref="R238">COUNTIFS(tblThreatControls[Control ID],$A238,tblThreatControls[Threat applies],"Applies")</f>
        <v/>
      </c>
      <c r="S238" s="40" cm="1">
        <f t="array" ref="S238">IF(R238=0,"",INDEX(RISK_SCALE_NAMES,_xlfn.MAXIFS(tblThreatControls[Threat risk score],tblThreatControls[Control ID],$A238)))</f>
        <v/>
      </c>
      <c r="T238" s="40" cm="1">
        <f t="array" ref="T238">IF(AND(H238="Applicable",OR(L238="Not assessed",L238=""),R238&gt;0),"Yes","No")</f>
        <v/>
      </c>
      <c r="U238" s="40" cm="1">
        <f t="array" ref="U238">IF(AND(H238="Applicable",OR(L238="Gap",L238="Partial coverage")),INDEX(RISK_SCALE_NAMES,MAX(IFERROR(MATCH(P238,RISK_SCALE_NAMES,0),1),IFERROR(MATCH(S238,RISK_SCALE_NAMES,0),0))),"")</f>
        <v/>
      </c>
      <c r="V238" s="40" cm="1">
        <f t="array" ref="V238">_xlfn.TEXTJOIN("; ",TRUE,_xlfn._xlws.FILTER(tblThreatControls[Threat ID],(tblThreatControls[Control ID]=$A238)*(tblThreatControls[Threat applies]="Applies"),""))</f>
        <v/>
      </c>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0" t="inlineStr">
        <is>
          <t>SAST (crypto rules) + configuration review</t>
        </is>
      </c>
      <c r="J239" s="40" t="inlineStr">
        <is>
          <t>Deterministic, continuous</t>
        </is>
      </c>
      <c r="K239" s="42" t="inlineStr">
        <is>
          <t>Pipeline</t>
        </is>
      </c>
      <c r="L239" s="42" t="inlineStr">
        <is>
          <t>Not assessed</t>
        </is>
      </c>
      <c r="M239" s="40" t="n"/>
      <c r="N239" s="40" t="n"/>
      <c r="O239" s="42" t="inlineStr">
        <is>
          <t>High</t>
        </is>
      </c>
      <c r="P239" s="43">
        <f>IF(H239="N/A","N/A",INDEX(CRIT_MATRIX,MATCH(O239,CRIT_MATRIX_ROWS,0),MATCH(APP_RISK_TIER,CRIT_MATRIX_COLS,0)))</f>
        <v/>
      </c>
      <c r="Q239" s="40" t="n"/>
      <c r="R239" s="40" cm="1">
        <f t="array" ref="R239">COUNTIFS(tblThreatControls[Control ID],$A239,tblThreatControls[Threat applies],"Applies")</f>
        <v/>
      </c>
      <c r="S239" s="40" cm="1">
        <f t="array" ref="S239">IF(R239=0,"",INDEX(RISK_SCALE_NAMES,_xlfn.MAXIFS(tblThreatControls[Threat risk score],tblThreatControls[Control ID],$A239)))</f>
        <v/>
      </c>
      <c r="T239" s="40" cm="1">
        <f t="array" ref="T239">IF(AND(H239="Applicable",OR(L239="Not assessed",L239=""),R239&gt;0),"Yes","No")</f>
        <v/>
      </c>
      <c r="U239" s="40" cm="1">
        <f t="array" ref="U239">IF(AND(H239="Applicable",OR(L239="Gap",L239="Partial coverage")),INDEX(RISK_SCALE_NAMES,MAX(IFERROR(MATCH(P239,RISK_SCALE_NAMES,0),1),IFERROR(MATCH(S239,RISK_SCALE_NAMES,0),0))),"")</f>
        <v/>
      </c>
      <c r="V239" s="40" cm="1">
        <f t="array" ref="V239">_xlfn.TEXTJOIN("; ",TRUE,_xlfn._xlws.FILTER(tblThreatControls[Threat ID],(tblThreatControls[Control ID]=$A239)*(tblThreatControls[Threat applies]="Applies"),""))</f>
        <v/>
      </c>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0" t="inlineStr">
        <is>
          <t>SAST (crypto rules) + configuration review</t>
        </is>
      </c>
      <c r="J240" s="40" t="inlineStr">
        <is>
          <t>Deterministic, continuous</t>
        </is>
      </c>
      <c r="K240" s="42" t="inlineStr">
        <is>
          <t>Pipeline</t>
        </is>
      </c>
      <c r="L240" s="42" t="inlineStr">
        <is>
          <t>Not assessed</t>
        </is>
      </c>
      <c r="M240" s="40" t="n"/>
      <c r="N240" s="40" t="n"/>
      <c r="O240" s="42" t="inlineStr">
        <is>
          <t>High</t>
        </is>
      </c>
      <c r="P240" s="43">
        <f>IF(H240="N/A","N/A",INDEX(CRIT_MATRIX,MATCH(O240,CRIT_MATRIX_ROWS,0),MATCH(APP_RISK_TIER,CRIT_MATRIX_COLS,0)))</f>
        <v/>
      </c>
      <c r="Q240" s="40" t="n"/>
      <c r="R240" s="40" cm="1">
        <f t="array" ref="R240">COUNTIFS(tblThreatControls[Control ID],$A240,tblThreatControls[Threat applies],"Applies")</f>
        <v/>
      </c>
      <c r="S240" s="40" cm="1">
        <f t="array" ref="S240">IF(R240=0,"",INDEX(RISK_SCALE_NAMES,_xlfn.MAXIFS(tblThreatControls[Threat risk score],tblThreatControls[Control ID],$A240)))</f>
        <v/>
      </c>
      <c r="T240" s="40" cm="1">
        <f t="array" ref="T240">IF(AND(H240="Applicable",OR(L240="Not assessed",L240=""),R240&gt;0),"Yes","No")</f>
        <v/>
      </c>
      <c r="U240" s="40" cm="1">
        <f t="array" ref="U240">IF(AND(H240="Applicable",OR(L240="Gap",L240="Partial coverage")),INDEX(RISK_SCALE_NAMES,MAX(IFERROR(MATCH(P240,RISK_SCALE_NAMES,0),1),IFERROR(MATCH(S240,RISK_SCALE_NAMES,0),0))),"")</f>
        <v/>
      </c>
      <c r="V240" s="40" cm="1">
        <f t="array" ref="V240">_xlfn.TEXTJOIN("; ",TRUE,_xlfn._xlws.FILTER(tblThreatControls[Threat ID],(tblThreatControls[Control ID]=$A240)*(tblThreatControls[Threat applies]="Applies"),""))</f>
        <v/>
      </c>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0" t="inlineStr">
        <is>
          <t>SAST (crypto rules) + configuration review</t>
        </is>
      </c>
      <c r="J241" s="40" t="inlineStr">
        <is>
          <t>Deterministic, continuous</t>
        </is>
      </c>
      <c r="K241" s="42" t="inlineStr">
        <is>
          <t>Pipeline</t>
        </is>
      </c>
      <c r="L241" s="42" t="inlineStr">
        <is>
          <t>Not assessed</t>
        </is>
      </c>
      <c r="M241" s="40" t="n"/>
      <c r="N241" s="40" t="n"/>
      <c r="O241" s="42" t="inlineStr">
        <is>
          <t>High</t>
        </is>
      </c>
      <c r="P241" s="43">
        <f>IF(H241="N/A","N/A",INDEX(CRIT_MATRIX,MATCH(O241,CRIT_MATRIX_ROWS,0),MATCH(APP_RISK_TIER,CRIT_MATRIX_COLS,0)))</f>
        <v/>
      </c>
      <c r="Q241" s="40" t="n"/>
      <c r="R241" s="40" cm="1">
        <f t="array" ref="R241">COUNTIFS(tblThreatControls[Control ID],$A241,tblThreatControls[Threat applies],"Applies")</f>
        <v/>
      </c>
      <c r="S241" s="40" cm="1">
        <f t="array" ref="S241">IF(R241=0,"",INDEX(RISK_SCALE_NAMES,_xlfn.MAXIFS(tblThreatControls[Threat risk score],tblThreatControls[Control ID],$A241)))</f>
        <v/>
      </c>
      <c r="T241" s="40" cm="1">
        <f t="array" ref="T241">IF(AND(H241="Applicable",OR(L241="Not assessed",L241=""),R241&gt;0),"Yes","No")</f>
        <v/>
      </c>
      <c r="U241" s="40" cm="1">
        <f t="array" ref="U241">IF(AND(H241="Applicable",OR(L241="Gap",L241="Partial coverage")),INDEX(RISK_SCALE_NAMES,MAX(IFERROR(MATCH(P241,RISK_SCALE_NAMES,0),1),IFERROR(MATCH(S241,RISK_SCALE_NAMES,0),0))),"")</f>
        <v/>
      </c>
      <c r="V241" s="40" cm="1">
        <f t="array" ref="V241">_xlfn.TEXTJOIN("; ",TRUE,_xlfn._xlws.FILTER(tblThreatControls[Threat ID],(tblThreatControls[Control ID]=$A241)*(tblThreatControls[Threat applies]="Applies"),""))</f>
        <v/>
      </c>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0" t="inlineStr">
        <is>
          <t>SAST (crypto rules) + configuration review</t>
        </is>
      </c>
      <c r="J242" s="40" t="inlineStr">
        <is>
          <t>Deterministic, continuous</t>
        </is>
      </c>
      <c r="K242" s="42" t="inlineStr">
        <is>
          <t>Pipeline</t>
        </is>
      </c>
      <c r="L242" s="42" t="inlineStr">
        <is>
          <t>Not assessed</t>
        </is>
      </c>
      <c r="M242" s="40" t="n"/>
      <c r="N242" s="40" t="n"/>
      <c r="O242" s="42" t="inlineStr">
        <is>
          <t>High</t>
        </is>
      </c>
      <c r="P242" s="43">
        <f>IF(H242="N/A","N/A",INDEX(CRIT_MATRIX,MATCH(O242,CRIT_MATRIX_ROWS,0),MATCH(APP_RISK_TIER,CRIT_MATRIX_COLS,0)))</f>
        <v/>
      </c>
      <c r="Q242" s="40" t="n"/>
      <c r="R242" s="40" cm="1">
        <f t="array" ref="R242">COUNTIFS(tblThreatControls[Control ID],$A242,tblThreatControls[Threat applies],"Applies")</f>
        <v/>
      </c>
      <c r="S242" s="40" cm="1">
        <f t="array" ref="S242">IF(R242=0,"",INDEX(RISK_SCALE_NAMES,_xlfn.MAXIFS(tblThreatControls[Threat risk score],tblThreatControls[Control ID],$A242)))</f>
        <v/>
      </c>
      <c r="T242" s="40" cm="1">
        <f t="array" ref="T242">IF(AND(H242="Applicable",OR(L242="Not assessed",L242=""),R242&gt;0),"Yes","No")</f>
        <v/>
      </c>
      <c r="U242" s="40" cm="1">
        <f t="array" ref="U242">IF(AND(H242="Applicable",OR(L242="Gap",L242="Partial coverage")),INDEX(RISK_SCALE_NAMES,MAX(IFERROR(MATCH(P242,RISK_SCALE_NAMES,0),1),IFERROR(MATCH(S242,RISK_SCALE_NAMES,0),0))),"")</f>
        <v/>
      </c>
      <c r="V242" s="40" cm="1">
        <f t="array" ref="V242">_xlfn.TEXTJOIN("; ",TRUE,_xlfn._xlws.FILTER(tblThreatControls[Threat ID],(tblThreatControls[Control ID]=$A242)*(tblThreatControls[Threat applies]="Applies"),""))</f>
        <v/>
      </c>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0" t="inlineStr">
        <is>
          <t>SAST (crypto rules) + configuration review</t>
        </is>
      </c>
      <c r="J243" s="40" t="inlineStr">
        <is>
          <t>Deterministic, continuous</t>
        </is>
      </c>
      <c r="K243" s="42" t="inlineStr">
        <is>
          <t>Pipeline</t>
        </is>
      </c>
      <c r="L243" s="42" t="inlineStr">
        <is>
          <t>Not assessed</t>
        </is>
      </c>
      <c r="M243" s="40" t="n"/>
      <c r="N243" s="40" t="n"/>
      <c r="O243" s="42" t="inlineStr">
        <is>
          <t>High</t>
        </is>
      </c>
      <c r="P243" s="43">
        <f>IF(H243="N/A","N/A",INDEX(CRIT_MATRIX,MATCH(O243,CRIT_MATRIX_ROWS,0),MATCH(APP_RISK_TIER,CRIT_MATRIX_COLS,0)))</f>
        <v/>
      </c>
      <c r="Q243" s="40" t="n"/>
      <c r="R243" s="40" cm="1">
        <f t="array" ref="R243">COUNTIFS(tblThreatControls[Control ID],$A243,tblThreatControls[Threat applies],"Applies")</f>
        <v/>
      </c>
      <c r="S243" s="40" cm="1">
        <f t="array" ref="S243">IF(R243=0,"",INDEX(RISK_SCALE_NAMES,_xlfn.MAXIFS(tblThreatControls[Threat risk score],tblThreatControls[Control ID],$A243)))</f>
        <v/>
      </c>
      <c r="T243" s="40" cm="1">
        <f t="array" ref="T243">IF(AND(H243="Applicable",OR(L243="Not assessed",L243=""),R243&gt;0),"Yes","No")</f>
        <v/>
      </c>
      <c r="U243" s="40" cm="1">
        <f t="array" ref="U243">IF(AND(H243="Applicable",OR(L243="Gap",L243="Partial coverage")),INDEX(RISK_SCALE_NAMES,MAX(IFERROR(MATCH(P243,RISK_SCALE_NAMES,0),1),IFERROR(MATCH(S243,RISK_SCALE_NAMES,0),0))),"")</f>
        <v/>
      </c>
      <c r="V243" s="40" cm="1">
        <f t="array" ref="V243">_xlfn.TEXTJOIN("; ",TRUE,_xlfn._xlws.FILTER(tblThreatControls[Threat ID],(tblThreatControls[Control ID]=$A243)*(tblThreatControls[Threat applies]="Applies"),""))</f>
        <v/>
      </c>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0" t="inlineStr">
        <is>
          <t>SAST (crypto rules) + configuration review</t>
        </is>
      </c>
      <c r="J244" s="40" t="inlineStr">
        <is>
          <t>Deterministic, continuous</t>
        </is>
      </c>
      <c r="K244" s="42" t="inlineStr">
        <is>
          <t>Pipeline</t>
        </is>
      </c>
      <c r="L244" s="42" t="inlineStr">
        <is>
          <t>Not assessed</t>
        </is>
      </c>
      <c r="M244" s="40" t="n"/>
      <c r="N244" s="40" t="n"/>
      <c r="O244" s="42" t="inlineStr">
        <is>
          <t>High</t>
        </is>
      </c>
      <c r="P244" s="43">
        <f>IF(H244="N/A","N/A",INDEX(CRIT_MATRIX,MATCH(O244,CRIT_MATRIX_ROWS,0),MATCH(APP_RISK_TIER,CRIT_MATRIX_COLS,0)))</f>
        <v/>
      </c>
      <c r="Q244" s="40" t="n"/>
      <c r="R244" s="40" cm="1">
        <f t="array" ref="R244">COUNTIFS(tblThreatControls[Control ID],$A244,tblThreatControls[Threat applies],"Applies")</f>
        <v/>
      </c>
      <c r="S244" s="40" cm="1">
        <f t="array" ref="S244">IF(R244=0,"",INDEX(RISK_SCALE_NAMES,_xlfn.MAXIFS(tblThreatControls[Threat risk score],tblThreatControls[Control ID],$A244)))</f>
        <v/>
      </c>
      <c r="T244" s="40" cm="1">
        <f t="array" ref="T244">IF(AND(H244="Applicable",OR(L244="Not assessed",L244=""),R244&gt;0),"Yes","No")</f>
        <v/>
      </c>
      <c r="U244" s="40" cm="1">
        <f t="array" ref="U244">IF(AND(H244="Applicable",OR(L244="Gap",L244="Partial coverage")),INDEX(RISK_SCALE_NAMES,MAX(IFERROR(MATCH(P244,RISK_SCALE_NAMES,0),1),IFERROR(MATCH(S244,RISK_SCALE_NAMES,0),0))),"")</f>
        <v/>
      </c>
      <c r="V244" s="40" cm="1">
        <f t="array" ref="V244">_xlfn.TEXTJOIN("; ",TRUE,_xlfn._xlws.FILTER(tblThreatControls[Threat ID],(tblThreatControls[Control ID]=$A244)*(tblThreatControls[Threat applies]="Applies"),""))</f>
        <v/>
      </c>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0" t="inlineStr">
        <is>
          <t>SAST (crypto rules) + configuration review</t>
        </is>
      </c>
      <c r="J245" s="40" t="inlineStr">
        <is>
          <t>Deterministic, continuous</t>
        </is>
      </c>
      <c r="K245" s="42" t="inlineStr">
        <is>
          <t>Pipeline</t>
        </is>
      </c>
      <c r="L245" s="42" t="inlineStr">
        <is>
          <t>Not assessed</t>
        </is>
      </c>
      <c r="M245" s="40" t="n"/>
      <c r="N245" s="40" t="n"/>
      <c r="O245" s="42" t="inlineStr">
        <is>
          <t>High</t>
        </is>
      </c>
      <c r="P245" s="43">
        <f>IF(H245="N/A","N/A",INDEX(CRIT_MATRIX,MATCH(O245,CRIT_MATRIX_ROWS,0),MATCH(APP_RISK_TIER,CRIT_MATRIX_COLS,0)))</f>
        <v/>
      </c>
      <c r="Q245" s="40" t="n"/>
      <c r="R245" s="40" cm="1">
        <f t="array" ref="R245">COUNTIFS(tblThreatControls[Control ID],$A245,tblThreatControls[Threat applies],"Applies")</f>
        <v/>
      </c>
      <c r="S245" s="40" cm="1">
        <f t="array" ref="S245">IF(R245=0,"",INDEX(RISK_SCALE_NAMES,_xlfn.MAXIFS(tblThreatControls[Threat risk score],tblThreatControls[Control ID],$A245)))</f>
        <v/>
      </c>
      <c r="T245" s="40" cm="1">
        <f t="array" ref="T245">IF(AND(H245="Applicable",OR(L245="Not assessed",L245=""),R245&gt;0),"Yes","No")</f>
        <v/>
      </c>
      <c r="U245" s="40" cm="1">
        <f t="array" ref="U245">IF(AND(H245="Applicable",OR(L245="Gap",L245="Partial coverage")),INDEX(RISK_SCALE_NAMES,MAX(IFERROR(MATCH(P245,RISK_SCALE_NAMES,0),1),IFERROR(MATCH(S245,RISK_SCALE_NAMES,0),0))),"")</f>
        <v/>
      </c>
      <c r="V245" s="40" cm="1">
        <f t="array" ref="V245">_xlfn.TEXTJOIN("; ",TRUE,_xlfn._xlws.FILTER(tblThreatControls[Threat ID],(tblThreatControls[Control ID]=$A245)*(tblThreatControls[Threat applies]="Applies"),""))</f>
        <v/>
      </c>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0" t="inlineStr">
        <is>
          <t>SAST (crypto rules) + configuration review</t>
        </is>
      </c>
      <c r="J246" s="40" t="inlineStr">
        <is>
          <t>Deterministic, continuous</t>
        </is>
      </c>
      <c r="K246" s="42" t="inlineStr">
        <is>
          <t>Pipeline</t>
        </is>
      </c>
      <c r="L246" s="42" t="inlineStr">
        <is>
          <t>Not assessed</t>
        </is>
      </c>
      <c r="M246" s="40" t="n"/>
      <c r="N246" s="40" t="n"/>
      <c r="O246" s="42" t="inlineStr">
        <is>
          <t>High</t>
        </is>
      </c>
      <c r="P246" s="43">
        <f>IF(H246="N/A","N/A",INDEX(CRIT_MATRIX,MATCH(O246,CRIT_MATRIX_ROWS,0),MATCH(APP_RISK_TIER,CRIT_MATRIX_COLS,0)))</f>
        <v/>
      </c>
      <c r="Q246" s="40" t="n"/>
      <c r="R246" s="40" cm="1">
        <f t="array" ref="R246">COUNTIFS(tblThreatControls[Control ID],$A246,tblThreatControls[Threat applies],"Applies")</f>
        <v/>
      </c>
      <c r="S246" s="40" cm="1">
        <f t="array" ref="S246">IF(R246=0,"",INDEX(RISK_SCALE_NAMES,_xlfn.MAXIFS(tblThreatControls[Threat risk score],tblThreatControls[Control ID],$A246)))</f>
        <v/>
      </c>
      <c r="T246" s="40" cm="1">
        <f t="array" ref="T246">IF(AND(H246="Applicable",OR(L246="Not assessed",L246=""),R246&gt;0),"Yes","No")</f>
        <v/>
      </c>
      <c r="U246" s="40" cm="1">
        <f t="array" ref="U246">IF(AND(H246="Applicable",OR(L246="Gap",L246="Partial coverage")),INDEX(RISK_SCALE_NAMES,MAX(IFERROR(MATCH(P246,RISK_SCALE_NAMES,0),1),IFERROR(MATCH(S246,RISK_SCALE_NAMES,0),0))),"")</f>
        <v/>
      </c>
      <c r="V246" s="40" cm="1">
        <f t="array" ref="V246">_xlfn.TEXTJOIN("; ",TRUE,_xlfn._xlws.FILTER(tblThreatControls[Threat ID],(tblThreatControls[Control ID]=$A246)*(tblThreatControls[Threat applies]="Applies"),""))</f>
        <v/>
      </c>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0" t="inlineStr">
        <is>
          <t>SAST (crypto rules) + configuration review</t>
        </is>
      </c>
      <c r="J247" s="40" t="inlineStr">
        <is>
          <t>Deterministic, continuous</t>
        </is>
      </c>
      <c r="K247" s="42" t="inlineStr">
        <is>
          <t>Pipeline</t>
        </is>
      </c>
      <c r="L247" s="42" t="inlineStr">
        <is>
          <t>Not assessed</t>
        </is>
      </c>
      <c r="M247" s="40" t="n"/>
      <c r="N247" s="40" t="n"/>
      <c r="O247" s="42" t="inlineStr">
        <is>
          <t>High</t>
        </is>
      </c>
      <c r="P247" s="43">
        <f>IF(H247="N/A","N/A",INDEX(CRIT_MATRIX,MATCH(O247,CRIT_MATRIX_ROWS,0),MATCH(APP_RISK_TIER,CRIT_MATRIX_COLS,0)))</f>
        <v/>
      </c>
      <c r="Q247" s="40" t="n"/>
      <c r="R247" s="40" cm="1">
        <f t="array" ref="R247">COUNTIFS(tblThreatControls[Control ID],$A247,tblThreatControls[Threat applies],"Applies")</f>
        <v/>
      </c>
      <c r="S247" s="40" cm="1">
        <f t="array" ref="S247">IF(R247=0,"",INDEX(RISK_SCALE_NAMES,_xlfn.MAXIFS(tblThreatControls[Threat risk score],tblThreatControls[Control ID],$A247)))</f>
        <v/>
      </c>
      <c r="T247" s="40" cm="1">
        <f t="array" ref="T247">IF(AND(H247="Applicable",OR(L247="Not assessed",L247=""),R247&gt;0),"Yes","No")</f>
        <v/>
      </c>
      <c r="U247" s="40" cm="1">
        <f t="array" ref="U247">IF(AND(H247="Applicable",OR(L247="Gap",L247="Partial coverage")),INDEX(RISK_SCALE_NAMES,MAX(IFERROR(MATCH(P247,RISK_SCALE_NAMES,0),1),IFERROR(MATCH(S247,RISK_SCALE_NAMES,0),0))),"")</f>
        <v/>
      </c>
      <c r="V247" s="40" cm="1">
        <f t="array" ref="V247">_xlfn.TEXTJOIN("; ",TRUE,_xlfn._xlws.FILTER(tblThreatControls[Threat ID],(tblThreatControls[Control ID]=$A247)*(tblThreatControls[Threat applies]="Applies"),""))</f>
        <v/>
      </c>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0" t="inlineStr">
        <is>
          <t>SAST (crypto rules) + configuration review</t>
        </is>
      </c>
      <c r="J248" s="40" t="inlineStr">
        <is>
          <t>Deterministic, continuous</t>
        </is>
      </c>
      <c r="K248" s="42" t="inlineStr">
        <is>
          <t>Pipeline</t>
        </is>
      </c>
      <c r="L248" s="42" t="inlineStr">
        <is>
          <t>Not assessed</t>
        </is>
      </c>
      <c r="M248" s="40" t="n"/>
      <c r="N248" s="40" t="n"/>
      <c r="O248" s="42" t="inlineStr">
        <is>
          <t>High</t>
        </is>
      </c>
      <c r="P248" s="43">
        <f>IF(H248="N/A","N/A",INDEX(CRIT_MATRIX,MATCH(O248,CRIT_MATRIX_ROWS,0),MATCH(APP_RISK_TIER,CRIT_MATRIX_COLS,0)))</f>
        <v/>
      </c>
      <c r="Q248" s="40" t="n"/>
      <c r="R248" s="40" cm="1">
        <f t="array" ref="R248">COUNTIFS(tblThreatControls[Control ID],$A248,tblThreatControls[Threat applies],"Applies")</f>
        <v/>
      </c>
      <c r="S248" s="40" cm="1">
        <f t="array" ref="S248">IF(R248=0,"",INDEX(RISK_SCALE_NAMES,_xlfn.MAXIFS(tblThreatControls[Threat risk score],tblThreatControls[Control ID],$A248)))</f>
        <v/>
      </c>
      <c r="T248" s="40" cm="1">
        <f t="array" ref="T248">IF(AND(H248="Applicable",OR(L248="Not assessed",L248=""),R248&gt;0),"Yes","No")</f>
        <v/>
      </c>
      <c r="U248" s="40" cm="1">
        <f t="array" ref="U248">IF(AND(H248="Applicable",OR(L248="Gap",L248="Partial coverage")),INDEX(RISK_SCALE_NAMES,MAX(IFERROR(MATCH(P248,RISK_SCALE_NAMES,0),1),IFERROR(MATCH(S248,RISK_SCALE_NAMES,0),0))),"")</f>
        <v/>
      </c>
      <c r="V248" s="40" cm="1">
        <f t="array" ref="V248">_xlfn.TEXTJOIN("; ",TRUE,_xlfn._xlws.FILTER(tblThreatControls[Threat ID],(tblThreatControls[Control ID]=$A248)*(tblThreatControls[Threat applies]="Applies"),""))</f>
        <v/>
      </c>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0" t="inlineStr">
        <is>
          <t>SAST (crypto rules) + configuration review</t>
        </is>
      </c>
      <c r="J249" s="40" t="inlineStr">
        <is>
          <t>Deterministic, continuous</t>
        </is>
      </c>
      <c r="K249" s="42" t="inlineStr">
        <is>
          <t>Pipeline</t>
        </is>
      </c>
      <c r="L249" s="42" t="inlineStr">
        <is>
          <t>Not assessed</t>
        </is>
      </c>
      <c r="M249" s="40" t="n"/>
      <c r="N249" s="40" t="n"/>
      <c r="O249" s="42" t="inlineStr">
        <is>
          <t>High</t>
        </is>
      </c>
      <c r="P249" s="43">
        <f>IF(H249="N/A","N/A",INDEX(CRIT_MATRIX,MATCH(O249,CRIT_MATRIX_ROWS,0),MATCH(APP_RISK_TIER,CRIT_MATRIX_COLS,0)))</f>
        <v/>
      </c>
      <c r="Q249" s="40" t="n"/>
      <c r="R249" s="40" cm="1">
        <f t="array" ref="R249">COUNTIFS(tblThreatControls[Control ID],$A249,tblThreatControls[Threat applies],"Applies")</f>
        <v/>
      </c>
      <c r="S249" s="40" cm="1">
        <f t="array" ref="S249">IF(R249=0,"",INDEX(RISK_SCALE_NAMES,_xlfn.MAXIFS(tblThreatControls[Threat risk score],tblThreatControls[Control ID],$A249)))</f>
        <v/>
      </c>
      <c r="T249" s="40" cm="1">
        <f t="array" ref="T249">IF(AND(H249="Applicable",OR(L249="Not assessed",L249=""),R249&gt;0),"Yes","No")</f>
        <v/>
      </c>
      <c r="U249" s="40" cm="1">
        <f t="array" ref="U249">IF(AND(H249="Applicable",OR(L249="Gap",L249="Partial coverage")),INDEX(RISK_SCALE_NAMES,MAX(IFERROR(MATCH(P249,RISK_SCALE_NAMES,0),1),IFERROR(MATCH(S249,RISK_SCALE_NAMES,0),0))),"")</f>
        <v/>
      </c>
      <c r="V249" s="40" cm="1">
        <f t="array" ref="V249">_xlfn.TEXTJOIN("; ",TRUE,_xlfn._xlws.FILTER(tblThreatControls[Threat ID],(tblThreatControls[Control ID]=$A249)*(tblThreatControls[Threat applies]="Applies"),""))</f>
        <v/>
      </c>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0" t="inlineStr">
        <is>
          <t>SAST (crypto rules) + configuration review</t>
        </is>
      </c>
      <c r="J250" s="40" t="inlineStr">
        <is>
          <t>Deterministic, continuous</t>
        </is>
      </c>
      <c r="K250" s="42" t="inlineStr">
        <is>
          <t>Pipeline</t>
        </is>
      </c>
      <c r="L250" s="42" t="inlineStr">
        <is>
          <t>Not assessed</t>
        </is>
      </c>
      <c r="M250" s="40" t="n"/>
      <c r="N250" s="40" t="n"/>
      <c r="O250" s="42" t="inlineStr">
        <is>
          <t>High</t>
        </is>
      </c>
      <c r="P250" s="43">
        <f>IF(H250="N/A","N/A",INDEX(CRIT_MATRIX,MATCH(O250,CRIT_MATRIX_ROWS,0),MATCH(APP_RISK_TIER,CRIT_MATRIX_COLS,0)))</f>
        <v/>
      </c>
      <c r="Q250" s="40" t="n"/>
      <c r="R250" s="40" cm="1">
        <f t="array" ref="R250">COUNTIFS(tblThreatControls[Control ID],$A250,tblThreatControls[Threat applies],"Applies")</f>
        <v/>
      </c>
      <c r="S250" s="40" cm="1">
        <f t="array" ref="S250">IF(R250=0,"",INDEX(RISK_SCALE_NAMES,_xlfn.MAXIFS(tblThreatControls[Threat risk score],tblThreatControls[Control ID],$A250)))</f>
        <v/>
      </c>
      <c r="T250" s="40" cm="1">
        <f t="array" ref="T250">IF(AND(H250="Applicable",OR(L250="Not assessed",L250=""),R250&gt;0),"Yes","No")</f>
        <v/>
      </c>
      <c r="U250" s="40" cm="1">
        <f t="array" ref="U250">IF(AND(H250="Applicable",OR(L250="Gap",L250="Partial coverage")),INDEX(RISK_SCALE_NAMES,MAX(IFERROR(MATCH(P250,RISK_SCALE_NAMES,0),1),IFERROR(MATCH(S250,RISK_SCALE_NAMES,0),0))),"")</f>
        <v/>
      </c>
      <c r="V250" s="40" cm="1">
        <f t="array" ref="V250">_xlfn.TEXTJOIN("; ",TRUE,_xlfn._xlws.FILTER(tblThreatControls[Threat ID],(tblThreatControls[Control ID]=$A250)*(tblThreatControls[Threat applies]="Applies"),""))</f>
        <v/>
      </c>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0" t="inlineStr">
        <is>
          <t>SAST (crypto rules) + configuration review</t>
        </is>
      </c>
      <c r="J251" s="40" t="inlineStr">
        <is>
          <t>Deterministic, continuous</t>
        </is>
      </c>
      <c r="K251" s="42" t="inlineStr">
        <is>
          <t>Pipeline</t>
        </is>
      </c>
      <c r="L251" s="42" t="inlineStr">
        <is>
          <t>Not assessed</t>
        </is>
      </c>
      <c r="M251" s="40" t="n"/>
      <c r="N251" s="40" t="n"/>
      <c r="O251" s="42" t="inlineStr">
        <is>
          <t>High</t>
        </is>
      </c>
      <c r="P251" s="43">
        <f>IF(H251="N/A","N/A",INDEX(CRIT_MATRIX,MATCH(O251,CRIT_MATRIX_ROWS,0),MATCH(APP_RISK_TIER,CRIT_MATRIX_COLS,0)))</f>
        <v/>
      </c>
      <c r="Q251" s="40" t="n"/>
      <c r="R251" s="40" cm="1">
        <f t="array" ref="R251">COUNTIFS(tblThreatControls[Control ID],$A251,tblThreatControls[Threat applies],"Applies")</f>
        <v/>
      </c>
      <c r="S251" s="40" cm="1">
        <f t="array" ref="S251">IF(R251=0,"",INDEX(RISK_SCALE_NAMES,_xlfn.MAXIFS(tblThreatControls[Threat risk score],tblThreatControls[Control ID],$A251)))</f>
        <v/>
      </c>
      <c r="T251" s="40" cm="1">
        <f t="array" ref="T251">IF(AND(H251="Applicable",OR(L251="Not assessed",L251=""),R251&gt;0),"Yes","No")</f>
        <v/>
      </c>
      <c r="U251" s="40" cm="1">
        <f t="array" ref="U251">IF(AND(H251="Applicable",OR(L251="Gap",L251="Partial coverage")),INDEX(RISK_SCALE_NAMES,MAX(IFERROR(MATCH(P251,RISK_SCALE_NAMES,0),1),IFERROR(MATCH(S251,RISK_SCALE_NAMES,0),0))),"")</f>
        <v/>
      </c>
      <c r="V251" s="40" cm="1">
        <f t="array" ref="V251">_xlfn.TEXTJOIN("; ",TRUE,_xlfn._xlws.FILTER(tblThreatControls[Threat ID],(tblThreatControls[Control ID]=$A251)*(tblThreatControls[Threat applies]="Applies"),""))</f>
        <v/>
      </c>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0" t="inlineStr">
        <is>
          <t>SAST (crypto rules) + configuration review</t>
        </is>
      </c>
      <c r="J252" s="40" t="inlineStr">
        <is>
          <t>Deterministic, continuous</t>
        </is>
      </c>
      <c r="K252" s="42" t="inlineStr">
        <is>
          <t>Pipeline</t>
        </is>
      </c>
      <c r="L252" s="42" t="inlineStr">
        <is>
          <t>Not assessed</t>
        </is>
      </c>
      <c r="M252" s="40" t="n"/>
      <c r="N252" s="40" t="n"/>
      <c r="O252" s="42" t="inlineStr">
        <is>
          <t>High</t>
        </is>
      </c>
      <c r="P252" s="43">
        <f>IF(H252="N/A","N/A",INDEX(CRIT_MATRIX,MATCH(O252,CRIT_MATRIX_ROWS,0),MATCH(APP_RISK_TIER,CRIT_MATRIX_COLS,0)))</f>
        <v/>
      </c>
      <c r="Q252" s="40" t="n"/>
      <c r="R252" s="40" cm="1">
        <f t="array" ref="R252">COUNTIFS(tblThreatControls[Control ID],$A252,tblThreatControls[Threat applies],"Applies")</f>
        <v/>
      </c>
      <c r="S252" s="40" cm="1">
        <f t="array" ref="S252">IF(R252=0,"",INDEX(RISK_SCALE_NAMES,_xlfn.MAXIFS(tblThreatControls[Threat risk score],tblThreatControls[Control ID],$A252)))</f>
        <v/>
      </c>
      <c r="T252" s="40" cm="1">
        <f t="array" ref="T252">IF(AND(H252="Applicable",OR(L252="Not assessed",L252=""),R252&gt;0),"Yes","No")</f>
        <v/>
      </c>
      <c r="U252" s="40" cm="1">
        <f t="array" ref="U252">IF(AND(H252="Applicable",OR(L252="Gap",L252="Partial coverage")),INDEX(RISK_SCALE_NAMES,MAX(IFERROR(MATCH(P252,RISK_SCALE_NAMES,0),1),IFERROR(MATCH(S252,RISK_SCALE_NAMES,0),0))),"")</f>
        <v/>
      </c>
      <c r="V252" s="40" cm="1">
        <f t="array" ref="V252">_xlfn.TEXTJOIN("; ",TRUE,_xlfn._xlws.FILTER(tblThreatControls[Threat ID],(tblThreatControls[Control ID]=$A252)*(tblThreatControls[Threat applies]="Applies"),""))</f>
        <v/>
      </c>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0" t="inlineStr">
        <is>
          <t>SAST (crypto rules) + configuration review</t>
        </is>
      </c>
      <c r="J253" s="40" t="inlineStr">
        <is>
          <t>Deterministic, continuous</t>
        </is>
      </c>
      <c r="K253" s="42" t="inlineStr">
        <is>
          <t>Pipeline</t>
        </is>
      </c>
      <c r="L253" s="42" t="inlineStr">
        <is>
          <t>Not assessed</t>
        </is>
      </c>
      <c r="M253" s="40" t="n"/>
      <c r="N253" s="40" t="n"/>
      <c r="O253" s="42" t="inlineStr">
        <is>
          <t>High</t>
        </is>
      </c>
      <c r="P253" s="43">
        <f>IF(H253="N/A","N/A",INDEX(CRIT_MATRIX,MATCH(O253,CRIT_MATRIX_ROWS,0),MATCH(APP_RISK_TIER,CRIT_MATRIX_COLS,0)))</f>
        <v/>
      </c>
      <c r="Q253" s="40" t="n"/>
      <c r="R253" s="40" cm="1">
        <f t="array" ref="R253">COUNTIFS(tblThreatControls[Control ID],$A253,tblThreatControls[Threat applies],"Applies")</f>
        <v/>
      </c>
      <c r="S253" s="40" cm="1">
        <f t="array" ref="S253">IF(R253=0,"",INDEX(RISK_SCALE_NAMES,_xlfn.MAXIFS(tblThreatControls[Threat risk score],tblThreatControls[Control ID],$A253)))</f>
        <v/>
      </c>
      <c r="T253" s="40" cm="1">
        <f t="array" ref="T253">IF(AND(H253="Applicable",OR(L253="Not assessed",L253=""),R253&gt;0),"Yes","No")</f>
        <v/>
      </c>
      <c r="U253" s="40" cm="1">
        <f t="array" ref="U253">IF(AND(H253="Applicable",OR(L253="Gap",L253="Partial coverage")),INDEX(RISK_SCALE_NAMES,MAX(IFERROR(MATCH(P253,RISK_SCALE_NAMES,0),1),IFERROR(MATCH(S253,RISK_SCALE_NAMES,0),0))),"")</f>
        <v/>
      </c>
      <c r="V253" s="40" cm="1">
        <f t="array" ref="V253">_xlfn.TEXTJOIN("; ",TRUE,_xlfn._xlws.FILTER(tblThreatControls[Threat ID],(tblThreatControls[Control ID]=$A253)*(tblThreatControls[Threat applies]="Applies"),""))</f>
        <v/>
      </c>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0" t="inlineStr">
        <is>
          <t>Configuration scanner / DAST</t>
        </is>
      </c>
      <c r="J254" s="40" t="inlineStr">
        <is>
          <t>Deterministic, continuous</t>
        </is>
      </c>
      <c r="K254" s="42" t="inlineStr">
        <is>
          <t>Pipeline</t>
        </is>
      </c>
      <c r="L254" s="42" t="inlineStr">
        <is>
          <t>Not assessed</t>
        </is>
      </c>
      <c r="M254" s="40" t="n"/>
      <c r="N254" s="40" t="n"/>
      <c r="O254" s="42" t="inlineStr">
        <is>
          <t>Medium</t>
        </is>
      </c>
      <c r="P254" s="43">
        <f>IF(H254="N/A","N/A",INDEX(CRIT_MATRIX,MATCH(O254,CRIT_MATRIX_ROWS,0),MATCH(APP_RISK_TIER,CRIT_MATRIX_COLS,0)))</f>
        <v/>
      </c>
      <c r="Q254" s="40" t="n"/>
      <c r="R254" s="40" cm="1">
        <f t="array" ref="R254">COUNTIFS(tblThreatControls[Control ID],$A254,tblThreatControls[Threat applies],"Applies")</f>
        <v/>
      </c>
      <c r="S254" s="40" cm="1">
        <f t="array" ref="S254">IF(R254=0,"",INDEX(RISK_SCALE_NAMES,_xlfn.MAXIFS(tblThreatControls[Threat risk score],tblThreatControls[Control ID],$A254)))</f>
        <v/>
      </c>
      <c r="T254" s="40" cm="1">
        <f t="array" ref="T254">IF(AND(H254="Applicable",OR(L254="Not assessed",L254=""),R254&gt;0),"Yes","No")</f>
        <v/>
      </c>
      <c r="U254" s="40" cm="1">
        <f t="array" ref="U254">IF(AND(H254="Applicable",OR(L254="Gap",L254="Partial coverage")),INDEX(RISK_SCALE_NAMES,MAX(IFERROR(MATCH(P254,RISK_SCALE_NAMES,0),1),IFERROR(MATCH(S254,RISK_SCALE_NAMES,0),0))),"")</f>
        <v/>
      </c>
      <c r="V254" s="40" cm="1">
        <f t="array" ref="V254">_xlfn.TEXTJOIN("; ",TRUE,_xlfn._xlws.FILTER(tblThreatControls[Threat ID],(tblThreatControls[Control ID]=$A254)*(tblThreatControls[Threat applies]="Applies"),""))</f>
        <v/>
      </c>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0" t="inlineStr">
        <is>
          <t>Configuration scanner / DAST</t>
        </is>
      </c>
      <c r="J255" s="40" t="inlineStr">
        <is>
          <t>Deterministic, continuous</t>
        </is>
      </c>
      <c r="K255" s="42" t="inlineStr">
        <is>
          <t>Pipeline</t>
        </is>
      </c>
      <c r="L255" s="42" t="inlineStr">
        <is>
          <t>Not assessed</t>
        </is>
      </c>
      <c r="M255" s="40" t="n"/>
      <c r="N255" s="40" t="n"/>
      <c r="O255" s="42" t="inlineStr">
        <is>
          <t>Medium</t>
        </is>
      </c>
      <c r="P255" s="43">
        <f>IF(H255="N/A","N/A",INDEX(CRIT_MATRIX,MATCH(O255,CRIT_MATRIX_ROWS,0),MATCH(APP_RISK_TIER,CRIT_MATRIX_COLS,0)))</f>
        <v/>
      </c>
      <c r="Q255" s="40" t="n"/>
      <c r="R255" s="40" cm="1">
        <f t="array" ref="R255">COUNTIFS(tblThreatControls[Control ID],$A255,tblThreatControls[Threat applies],"Applies")</f>
        <v/>
      </c>
      <c r="S255" s="40" cm="1">
        <f t="array" ref="S255">IF(R255=0,"",INDEX(RISK_SCALE_NAMES,_xlfn.MAXIFS(tblThreatControls[Threat risk score],tblThreatControls[Control ID],$A255)))</f>
        <v/>
      </c>
      <c r="T255" s="40" cm="1">
        <f t="array" ref="T255">IF(AND(H255="Applicable",OR(L255="Not assessed",L255=""),R255&gt;0),"Yes","No")</f>
        <v/>
      </c>
      <c r="U255" s="40" cm="1">
        <f t="array" ref="U255">IF(AND(H255="Applicable",OR(L255="Gap",L255="Partial coverage")),INDEX(RISK_SCALE_NAMES,MAX(IFERROR(MATCH(P255,RISK_SCALE_NAMES,0),1),IFERROR(MATCH(S255,RISK_SCALE_NAMES,0),0))),"")</f>
        <v/>
      </c>
      <c r="V255" s="40" cm="1">
        <f t="array" ref="V255">_xlfn.TEXTJOIN("; ",TRUE,_xlfn._xlws.FILTER(tblThreatControls[Threat ID],(tblThreatControls[Control ID]=$A255)*(tblThreatControls[Threat applies]="Applies"),""))</f>
        <v/>
      </c>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0" t="inlineStr">
        <is>
          <t>Configuration scanner / DAST</t>
        </is>
      </c>
      <c r="J256" s="40" t="inlineStr">
        <is>
          <t>Deterministic, continuous</t>
        </is>
      </c>
      <c r="K256" s="42" t="inlineStr">
        <is>
          <t>Pipeline</t>
        </is>
      </c>
      <c r="L256" s="42" t="inlineStr">
        <is>
          <t>Not assessed</t>
        </is>
      </c>
      <c r="M256" s="40" t="n"/>
      <c r="N256" s="40" t="n"/>
      <c r="O256" s="42" t="inlineStr">
        <is>
          <t>Medium</t>
        </is>
      </c>
      <c r="P256" s="43">
        <f>IF(H256="N/A","N/A",INDEX(CRIT_MATRIX,MATCH(O256,CRIT_MATRIX_ROWS,0),MATCH(APP_RISK_TIER,CRIT_MATRIX_COLS,0)))</f>
        <v/>
      </c>
      <c r="Q256" s="40" t="n"/>
      <c r="R256" s="40" cm="1">
        <f t="array" ref="R256">COUNTIFS(tblThreatControls[Control ID],$A256,tblThreatControls[Threat applies],"Applies")</f>
        <v/>
      </c>
      <c r="S256" s="40" cm="1">
        <f t="array" ref="S256">IF(R256=0,"",INDEX(RISK_SCALE_NAMES,_xlfn.MAXIFS(tblThreatControls[Threat risk score],tblThreatControls[Control ID],$A256)))</f>
        <v/>
      </c>
      <c r="T256" s="40" cm="1">
        <f t="array" ref="T256">IF(AND(H256="Applicable",OR(L256="Not assessed",L256=""),R256&gt;0),"Yes","No")</f>
        <v/>
      </c>
      <c r="U256" s="40" cm="1">
        <f t="array" ref="U256">IF(AND(H256="Applicable",OR(L256="Gap",L256="Partial coverage")),INDEX(RISK_SCALE_NAMES,MAX(IFERROR(MATCH(P256,RISK_SCALE_NAMES,0),1),IFERROR(MATCH(S256,RISK_SCALE_NAMES,0),0))),"")</f>
        <v/>
      </c>
      <c r="V256" s="40" cm="1">
        <f t="array" ref="V256">_xlfn.TEXTJOIN("; ",TRUE,_xlfn._xlws.FILTER(tblThreatControls[Threat ID],(tblThreatControls[Control ID]=$A256)*(tblThreatControls[Threat applies]="Applies"),""))</f>
        <v/>
      </c>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0" t="inlineStr">
        <is>
          <t>Configuration scanner / DAST</t>
        </is>
      </c>
      <c r="J257" s="40" t="inlineStr">
        <is>
          <t>Deterministic, continuous</t>
        </is>
      </c>
      <c r="K257" s="42" t="inlineStr">
        <is>
          <t>Pipeline</t>
        </is>
      </c>
      <c r="L257" s="42" t="inlineStr">
        <is>
          <t>Not assessed</t>
        </is>
      </c>
      <c r="M257" s="40" t="n"/>
      <c r="N257" s="40" t="n"/>
      <c r="O257" s="42" t="inlineStr">
        <is>
          <t>Medium</t>
        </is>
      </c>
      <c r="P257" s="43">
        <f>IF(H257="N/A","N/A",INDEX(CRIT_MATRIX,MATCH(O257,CRIT_MATRIX_ROWS,0),MATCH(APP_RISK_TIER,CRIT_MATRIX_COLS,0)))</f>
        <v/>
      </c>
      <c r="Q257" s="40" t="n"/>
      <c r="R257" s="40" cm="1">
        <f t="array" ref="R257">COUNTIFS(tblThreatControls[Control ID],$A257,tblThreatControls[Threat applies],"Applies")</f>
        <v/>
      </c>
      <c r="S257" s="40" cm="1">
        <f t="array" ref="S257">IF(R257=0,"",INDEX(RISK_SCALE_NAMES,_xlfn.MAXIFS(tblThreatControls[Threat risk score],tblThreatControls[Control ID],$A257)))</f>
        <v/>
      </c>
      <c r="T257" s="40" cm="1">
        <f t="array" ref="T257">IF(AND(H257="Applicable",OR(L257="Not assessed",L257=""),R257&gt;0),"Yes","No")</f>
        <v/>
      </c>
      <c r="U257" s="40" cm="1">
        <f t="array" ref="U257">IF(AND(H257="Applicable",OR(L257="Gap",L257="Partial coverage")),INDEX(RISK_SCALE_NAMES,MAX(IFERROR(MATCH(P257,RISK_SCALE_NAMES,0),1),IFERROR(MATCH(S257,RISK_SCALE_NAMES,0),0))),"")</f>
        <v/>
      </c>
      <c r="V257" s="40" cm="1">
        <f t="array" ref="V257">_xlfn.TEXTJOIN("; ",TRUE,_xlfn._xlws.FILTER(tblThreatControls[Threat ID],(tblThreatControls[Control ID]=$A257)*(tblThreatControls[Threat applies]="Applies"),""))</f>
        <v/>
      </c>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0" t="inlineStr">
        <is>
          <t>Configuration scanner / DAST</t>
        </is>
      </c>
      <c r="J258" s="40" t="inlineStr">
        <is>
          <t>Deterministic, continuous</t>
        </is>
      </c>
      <c r="K258" s="42" t="inlineStr">
        <is>
          <t>Pipeline</t>
        </is>
      </c>
      <c r="L258" s="42" t="inlineStr">
        <is>
          <t>Not assessed</t>
        </is>
      </c>
      <c r="M258" s="40" t="n"/>
      <c r="N258" s="40" t="n"/>
      <c r="O258" s="42" t="inlineStr">
        <is>
          <t>Medium</t>
        </is>
      </c>
      <c r="P258" s="43">
        <f>IF(H258="N/A","N/A",INDEX(CRIT_MATRIX,MATCH(O258,CRIT_MATRIX_ROWS,0),MATCH(APP_RISK_TIER,CRIT_MATRIX_COLS,0)))</f>
        <v/>
      </c>
      <c r="Q258" s="40" t="n"/>
      <c r="R258" s="40" cm="1">
        <f t="array" ref="R258">COUNTIFS(tblThreatControls[Control ID],$A258,tblThreatControls[Threat applies],"Applies")</f>
        <v/>
      </c>
      <c r="S258" s="40" cm="1">
        <f t="array" ref="S258">IF(R258=0,"",INDEX(RISK_SCALE_NAMES,_xlfn.MAXIFS(tblThreatControls[Threat risk score],tblThreatControls[Control ID],$A258)))</f>
        <v/>
      </c>
      <c r="T258" s="40" cm="1">
        <f t="array" ref="T258">IF(AND(H258="Applicable",OR(L258="Not assessed",L258=""),R258&gt;0),"Yes","No")</f>
        <v/>
      </c>
      <c r="U258" s="40" cm="1">
        <f t="array" ref="U258">IF(AND(H258="Applicable",OR(L258="Gap",L258="Partial coverage")),INDEX(RISK_SCALE_NAMES,MAX(IFERROR(MATCH(P258,RISK_SCALE_NAMES,0),1),IFERROR(MATCH(S258,RISK_SCALE_NAMES,0),0))),"")</f>
        <v/>
      </c>
      <c r="V258" s="40" cm="1">
        <f t="array" ref="V258">_xlfn.TEXTJOIN("; ",TRUE,_xlfn._xlws.FILTER(tblThreatControls[Threat ID],(tblThreatControls[Control ID]=$A258)*(tblThreatControls[Threat applies]="Applies"),""))</f>
        <v/>
      </c>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0" t="inlineStr">
        <is>
          <t>Configuration scanner / DAST</t>
        </is>
      </c>
      <c r="J259" s="40" t="inlineStr">
        <is>
          <t>Deterministic, continuous</t>
        </is>
      </c>
      <c r="K259" s="42" t="inlineStr">
        <is>
          <t>Pipeline</t>
        </is>
      </c>
      <c r="L259" s="42" t="inlineStr">
        <is>
          <t>Not assessed</t>
        </is>
      </c>
      <c r="M259" s="40" t="n"/>
      <c r="N259" s="40" t="n"/>
      <c r="O259" s="42" t="inlineStr">
        <is>
          <t>Medium</t>
        </is>
      </c>
      <c r="P259" s="43">
        <f>IF(H259="N/A","N/A",INDEX(CRIT_MATRIX,MATCH(O259,CRIT_MATRIX_ROWS,0),MATCH(APP_RISK_TIER,CRIT_MATRIX_COLS,0)))</f>
        <v/>
      </c>
      <c r="Q259" s="40" t="n"/>
      <c r="R259" s="40" cm="1">
        <f t="array" ref="R259">COUNTIFS(tblThreatControls[Control ID],$A259,tblThreatControls[Threat applies],"Applies")</f>
        <v/>
      </c>
      <c r="S259" s="40" cm="1">
        <f t="array" ref="S259">IF(R259=0,"",INDEX(RISK_SCALE_NAMES,_xlfn.MAXIFS(tblThreatControls[Threat risk score],tblThreatControls[Control ID],$A259)))</f>
        <v/>
      </c>
      <c r="T259" s="40" cm="1">
        <f t="array" ref="T259">IF(AND(H259="Applicable",OR(L259="Not assessed",L259=""),R259&gt;0),"Yes","No")</f>
        <v/>
      </c>
      <c r="U259" s="40" cm="1">
        <f t="array" ref="U259">IF(AND(H259="Applicable",OR(L259="Gap",L259="Partial coverage")),INDEX(RISK_SCALE_NAMES,MAX(IFERROR(MATCH(P259,RISK_SCALE_NAMES,0),1),IFERROR(MATCH(S259,RISK_SCALE_NAMES,0),0))),"")</f>
        <v/>
      </c>
      <c r="V259" s="40" cm="1">
        <f t="array" ref="V259">_xlfn.TEXTJOIN("; ",TRUE,_xlfn._xlws.FILTER(tblThreatControls[Threat ID],(tblThreatControls[Control ID]=$A259)*(tblThreatControls[Threat applies]="Applies"),""))</f>
        <v/>
      </c>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0" t="inlineStr">
        <is>
          <t>Configuration scanner / DAST</t>
        </is>
      </c>
      <c r="J260" s="40" t="inlineStr">
        <is>
          <t>Deterministic, continuous</t>
        </is>
      </c>
      <c r="K260" s="42" t="inlineStr">
        <is>
          <t>Pipeline</t>
        </is>
      </c>
      <c r="L260" s="42" t="inlineStr">
        <is>
          <t>Not assessed</t>
        </is>
      </c>
      <c r="M260" s="40" t="n"/>
      <c r="N260" s="40" t="n"/>
      <c r="O260" s="42" t="inlineStr">
        <is>
          <t>Medium</t>
        </is>
      </c>
      <c r="P260" s="43">
        <f>IF(H260="N/A","N/A",INDEX(CRIT_MATRIX,MATCH(O260,CRIT_MATRIX_ROWS,0),MATCH(APP_RISK_TIER,CRIT_MATRIX_COLS,0)))</f>
        <v/>
      </c>
      <c r="Q260" s="40" t="n"/>
      <c r="R260" s="40" cm="1">
        <f t="array" ref="R260">COUNTIFS(tblThreatControls[Control ID],$A260,tblThreatControls[Threat applies],"Applies")</f>
        <v/>
      </c>
      <c r="S260" s="40" cm="1">
        <f t="array" ref="S260">IF(R260=0,"",INDEX(RISK_SCALE_NAMES,_xlfn.MAXIFS(tblThreatControls[Threat risk score],tblThreatControls[Control ID],$A260)))</f>
        <v/>
      </c>
      <c r="T260" s="40" cm="1">
        <f t="array" ref="T260">IF(AND(H260="Applicable",OR(L260="Not assessed",L260=""),R260&gt;0),"Yes","No")</f>
        <v/>
      </c>
      <c r="U260" s="40" cm="1">
        <f t="array" ref="U260">IF(AND(H260="Applicable",OR(L260="Gap",L260="Partial coverage")),INDEX(RISK_SCALE_NAMES,MAX(IFERROR(MATCH(P260,RISK_SCALE_NAMES,0),1),IFERROR(MATCH(S260,RISK_SCALE_NAMES,0),0))),"")</f>
        <v/>
      </c>
      <c r="V260" s="40" cm="1">
        <f t="array" ref="V260">_xlfn.TEXTJOIN("; ",TRUE,_xlfn._xlws.FILTER(tblThreatControls[Threat ID],(tblThreatControls[Control ID]=$A260)*(tblThreatControls[Threat applies]="Applies"),""))</f>
        <v/>
      </c>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0" t="inlineStr">
        <is>
          <t>Configuration scanner / DAST</t>
        </is>
      </c>
      <c r="J261" s="40" t="inlineStr">
        <is>
          <t>Deterministic, continuous</t>
        </is>
      </c>
      <c r="K261" s="42" t="inlineStr">
        <is>
          <t>Pipeline</t>
        </is>
      </c>
      <c r="L261" s="42" t="inlineStr">
        <is>
          <t>Full coverage</t>
        </is>
      </c>
      <c r="M261" s="40" t="inlineStr">
        <is>
          <t>TLS scan</t>
        </is>
      </c>
      <c r="N261" s="40" t="n"/>
      <c r="O261" s="42" t="inlineStr">
        <is>
          <t>Medium</t>
        </is>
      </c>
      <c r="P261" s="43">
        <f>IF(H261="N/A","N/A",INDEX(CRIT_MATRIX,MATCH(O261,CRIT_MATRIX_ROWS,0),MATCH(APP_RISK_TIER,CRIT_MATRIX_COLS,0)))</f>
        <v/>
      </c>
      <c r="Q261" s="40" t="n"/>
      <c r="R261" s="40" cm="1">
        <f t="array" ref="R261">COUNTIFS(tblThreatControls[Control ID],$A261,tblThreatControls[Threat applies],"Applies")</f>
        <v/>
      </c>
      <c r="S261" s="40" cm="1">
        <f t="array" ref="S261">IF(R261=0,"",INDEX(RISK_SCALE_NAMES,_xlfn.MAXIFS(tblThreatControls[Threat risk score],tblThreatControls[Control ID],$A261)))</f>
        <v/>
      </c>
      <c r="T261" s="40" cm="1">
        <f t="array" ref="T261">IF(AND(H261="Applicable",OR(L261="Not assessed",L261=""),R261&gt;0),"Yes","No")</f>
        <v/>
      </c>
      <c r="U261" s="40" cm="1">
        <f t="array" ref="U261">IF(AND(H261="Applicable",OR(L261="Gap",L261="Partial coverage")),INDEX(RISK_SCALE_NAMES,MAX(IFERROR(MATCH(P261,RISK_SCALE_NAMES,0),1),IFERROR(MATCH(S261,RISK_SCALE_NAMES,0),0))),"")</f>
        <v/>
      </c>
      <c r="V261" s="40" cm="1">
        <f t="array" ref="V261">_xlfn.TEXTJOIN("; ",TRUE,_xlfn._xlws.FILTER(tblThreatControls[Threat ID],(tblThreatControls[Control ID]=$A261)*(tblThreatControls[Threat applies]="Applies"),""))</f>
        <v/>
      </c>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0" t="inlineStr">
        <is>
          <t>Configuration scanner / DAST</t>
        </is>
      </c>
      <c r="J262" s="40" t="inlineStr">
        <is>
          <t>Deterministic, continuous</t>
        </is>
      </c>
      <c r="K262" s="42" t="inlineStr">
        <is>
          <t>Pipeline</t>
        </is>
      </c>
      <c r="L262" s="42" t="inlineStr">
        <is>
          <t>Not assessed</t>
        </is>
      </c>
      <c r="M262" s="40" t="n"/>
      <c r="N262" s="40" t="n"/>
      <c r="O262" s="42" t="inlineStr">
        <is>
          <t>Medium</t>
        </is>
      </c>
      <c r="P262" s="43">
        <f>IF(H262="N/A","N/A",INDEX(CRIT_MATRIX,MATCH(O262,CRIT_MATRIX_ROWS,0),MATCH(APP_RISK_TIER,CRIT_MATRIX_COLS,0)))</f>
        <v/>
      </c>
      <c r="Q262" s="40" t="n"/>
      <c r="R262" s="40" cm="1">
        <f t="array" ref="R262">COUNTIFS(tblThreatControls[Control ID],$A262,tblThreatControls[Threat applies],"Applies")</f>
        <v/>
      </c>
      <c r="S262" s="40" cm="1">
        <f t="array" ref="S262">IF(R262=0,"",INDEX(RISK_SCALE_NAMES,_xlfn.MAXIFS(tblThreatControls[Threat risk score],tblThreatControls[Control ID],$A262)))</f>
        <v/>
      </c>
      <c r="T262" s="40" cm="1">
        <f t="array" ref="T262">IF(AND(H262="Applicable",OR(L262="Not assessed",L262=""),R262&gt;0),"Yes","No")</f>
        <v/>
      </c>
      <c r="U262" s="40" cm="1">
        <f t="array" ref="U262">IF(AND(H262="Applicable",OR(L262="Gap",L262="Partial coverage")),INDEX(RISK_SCALE_NAMES,MAX(IFERROR(MATCH(P262,RISK_SCALE_NAMES,0),1),IFERROR(MATCH(S262,RISK_SCALE_NAMES,0),0))),"")</f>
        <v/>
      </c>
      <c r="V262" s="40" cm="1">
        <f t="array" ref="V262">_xlfn.TEXTJOIN("; ",TRUE,_xlfn._xlws.FILTER(tblThreatControls[Threat ID],(tblThreatControls[Control ID]=$A262)*(tblThreatControls[Threat applies]="Applies"),""))</f>
        <v/>
      </c>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0" t="inlineStr">
        <is>
          <t>Configuration scanner / DAST</t>
        </is>
      </c>
      <c r="J263" s="40" t="inlineStr">
        <is>
          <t>Deterministic, continuous</t>
        </is>
      </c>
      <c r="K263" s="42" t="inlineStr">
        <is>
          <t>Pipeline</t>
        </is>
      </c>
      <c r="L263" s="42" t="inlineStr">
        <is>
          <t>Not assessed</t>
        </is>
      </c>
      <c r="M263" s="40" t="n"/>
      <c r="N263" s="40" t="n"/>
      <c r="O263" s="42" t="inlineStr">
        <is>
          <t>Medium</t>
        </is>
      </c>
      <c r="P263" s="43">
        <f>IF(H263="N/A","N/A",INDEX(CRIT_MATRIX,MATCH(O263,CRIT_MATRIX_ROWS,0),MATCH(APP_RISK_TIER,CRIT_MATRIX_COLS,0)))</f>
        <v/>
      </c>
      <c r="Q263" s="40" t="n"/>
      <c r="R263" s="40" cm="1">
        <f t="array" ref="R263">COUNTIFS(tblThreatControls[Control ID],$A263,tblThreatControls[Threat applies],"Applies")</f>
        <v/>
      </c>
      <c r="S263" s="40" cm="1">
        <f t="array" ref="S263">IF(R263=0,"",INDEX(RISK_SCALE_NAMES,_xlfn.MAXIFS(tblThreatControls[Threat risk score],tblThreatControls[Control ID],$A263)))</f>
        <v/>
      </c>
      <c r="T263" s="40" cm="1">
        <f t="array" ref="T263">IF(AND(H263="Applicable",OR(L263="Not assessed",L263=""),R263&gt;0),"Yes","No")</f>
        <v/>
      </c>
      <c r="U263" s="40" cm="1">
        <f t="array" ref="U263">IF(AND(H263="Applicable",OR(L263="Gap",L263="Partial coverage")),INDEX(RISK_SCALE_NAMES,MAX(IFERROR(MATCH(P263,RISK_SCALE_NAMES,0),1),IFERROR(MATCH(S263,RISK_SCALE_NAMES,0),0))),"")</f>
        <v/>
      </c>
      <c r="V263" s="40" cm="1">
        <f t="array" ref="V263">_xlfn.TEXTJOIN("; ",TRUE,_xlfn._xlws.FILTER(tblThreatControls[Threat ID],(tblThreatControls[Control ID]=$A263)*(tblThreatControls[Threat applies]="Applies"),""))</f>
        <v/>
      </c>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0" t="inlineStr">
        <is>
          <t>Configuration scanner / DAST</t>
        </is>
      </c>
      <c r="J264" s="40" t="inlineStr">
        <is>
          <t>Deterministic, continuous</t>
        </is>
      </c>
      <c r="K264" s="42" t="inlineStr">
        <is>
          <t>Pipeline</t>
        </is>
      </c>
      <c r="L264" s="42" t="inlineStr">
        <is>
          <t>Not assessed</t>
        </is>
      </c>
      <c r="M264" s="40" t="n"/>
      <c r="N264" s="40" t="n"/>
      <c r="O264" s="42" t="inlineStr">
        <is>
          <t>Medium</t>
        </is>
      </c>
      <c r="P264" s="43">
        <f>IF(H264="N/A","N/A",INDEX(CRIT_MATRIX,MATCH(O264,CRIT_MATRIX_ROWS,0),MATCH(APP_RISK_TIER,CRIT_MATRIX_COLS,0)))</f>
        <v/>
      </c>
      <c r="Q264" s="40" t="n"/>
      <c r="R264" s="40" cm="1">
        <f t="array" ref="R264">COUNTIFS(tblThreatControls[Control ID],$A264,tblThreatControls[Threat applies],"Applies")</f>
        <v/>
      </c>
      <c r="S264" s="40" cm="1">
        <f t="array" ref="S264">IF(R264=0,"",INDEX(RISK_SCALE_NAMES,_xlfn.MAXIFS(tblThreatControls[Threat risk score],tblThreatControls[Control ID],$A264)))</f>
        <v/>
      </c>
      <c r="T264" s="40" cm="1">
        <f t="array" ref="T264">IF(AND(H264="Applicable",OR(L264="Not assessed",L264=""),R264&gt;0),"Yes","No")</f>
        <v/>
      </c>
      <c r="U264" s="40" cm="1">
        <f t="array" ref="U264">IF(AND(H264="Applicable",OR(L264="Gap",L264="Partial coverage")),INDEX(RISK_SCALE_NAMES,MAX(IFERROR(MATCH(P264,RISK_SCALE_NAMES,0),1),IFERROR(MATCH(S264,RISK_SCALE_NAMES,0),0))),"")</f>
        <v/>
      </c>
      <c r="V264" s="40" cm="1">
        <f t="array" ref="V264">_xlfn.TEXTJOIN("; ",TRUE,_xlfn._xlws.FILTER(tblThreatControls[Threat ID],(tblThreatControls[Control ID]=$A264)*(tblThreatControls[Threat applies]="Applies"),""))</f>
        <v/>
      </c>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0" t="inlineStr">
        <is>
          <t>Configuration scanner / DAST</t>
        </is>
      </c>
      <c r="J265" s="40" t="inlineStr">
        <is>
          <t>Deterministic, continuous</t>
        </is>
      </c>
      <c r="K265" s="42" t="inlineStr">
        <is>
          <t>Pipeline</t>
        </is>
      </c>
      <c r="L265" s="42" t="inlineStr">
        <is>
          <t>Not assessed</t>
        </is>
      </c>
      <c r="M265" s="40" t="n"/>
      <c r="N265" s="40" t="n"/>
      <c r="O265" s="42" t="inlineStr">
        <is>
          <t>Medium</t>
        </is>
      </c>
      <c r="P265" s="43">
        <f>IF(H265="N/A","N/A",INDEX(CRIT_MATRIX,MATCH(O265,CRIT_MATRIX_ROWS,0),MATCH(APP_RISK_TIER,CRIT_MATRIX_COLS,0)))</f>
        <v/>
      </c>
      <c r="Q265" s="40" t="n"/>
      <c r="R265" s="40" cm="1">
        <f t="array" ref="R265">COUNTIFS(tblThreatControls[Control ID],$A265,tblThreatControls[Threat applies],"Applies")</f>
        <v/>
      </c>
      <c r="S265" s="40" cm="1">
        <f t="array" ref="S265">IF(R265=0,"",INDEX(RISK_SCALE_NAMES,_xlfn.MAXIFS(tblThreatControls[Threat risk score],tblThreatControls[Control ID],$A265)))</f>
        <v/>
      </c>
      <c r="T265" s="40" cm="1">
        <f t="array" ref="T265">IF(AND(H265="Applicable",OR(L265="Not assessed",L265=""),R265&gt;0),"Yes","No")</f>
        <v/>
      </c>
      <c r="U265" s="40" cm="1">
        <f t="array" ref="U265">IF(AND(H265="Applicable",OR(L265="Gap",L265="Partial coverage")),INDEX(RISK_SCALE_NAMES,MAX(IFERROR(MATCH(P265,RISK_SCALE_NAMES,0),1),IFERROR(MATCH(S265,RISK_SCALE_NAMES,0),0))),"")</f>
        <v/>
      </c>
      <c r="V265" s="40" cm="1">
        <f t="array" ref="V265">_xlfn.TEXTJOIN("; ",TRUE,_xlfn._xlws.FILTER(tblThreatControls[Threat ID],(tblThreatControls[Control ID]=$A265)*(tblThreatControls[Threat applies]="Applies"),""))</f>
        <v/>
      </c>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0" t="inlineStr">
        <is>
          <t>Architecture / documentation review</t>
        </is>
      </c>
      <c r="J266" s="40" t="inlineStr">
        <is>
          <t>Sampled, periodic</t>
        </is>
      </c>
      <c r="K266" s="42" t="inlineStr">
        <is>
          <t>Design/Governance</t>
        </is>
      </c>
      <c r="L266" s="42" t="inlineStr">
        <is>
          <t>Not assessed</t>
        </is>
      </c>
      <c r="M266" s="40" t="n"/>
      <c r="N266" s="40" t="n"/>
      <c r="O266" s="42" t="inlineStr">
        <is>
          <t>Low</t>
        </is>
      </c>
      <c r="P266" s="43">
        <f>IF(H266="N/A","N/A",INDEX(CRIT_MATRIX,MATCH(O266,CRIT_MATRIX_ROWS,0),MATCH(APP_RISK_TIER,CRIT_MATRIX_COLS,0)))</f>
        <v/>
      </c>
      <c r="Q266" s="40" t="n"/>
      <c r="R266" s="40" cm="1">
        <f t="array" ref="R266">COUNTIFS(tblThreatControls[Control ID],$A266,tblThreatControls[Threat applies],"Applies")</f>
        <v/>
      </c>
      <c r="S266" s="40" cm="1">
        <f t="array" ref="S266">IF(R266=0,"",INDEX(RISK_SCALE_NAMES,_xlfn.MAXIFS(tblThreatControls[Threat risk score],tblThreatControls[Control ID],$A266)))</f>
        <v/>
      </c>
      <c r="T266" s="40" cm="1">
        <f t="array" ref="T266">IF(AND(H266="Applicable",OR(L266="Not assessed",L266=""),R266&gt;0),"Yes","No")</f>
        <v/>
      </c>
      <c r="U266" s="40" cm="1">
        <f t="array" ref="U266">IF(AND(H266="Applicable",OR(L266="Gap",L266="Partial coverage")),INDEX(RISK_SCALE_NAMES,MAX(IFERROR(MATCH(P266,RISK_SCALE_NAMES,0),1),IFERROR(MATCH(S266,RISK_SCALE_NAMES,0),0))),"")</f>
        <v/>
      </c>
      <c r="V266" s="40" cm="1">
        <f t="array" ref="V266">_xlfn.TEXTJOIN("; ",TRUE,_xlfn._xlws.FILTER(tblThreatControls[Threat ID],(tblThreatControls[Control ID]=$A266)*(tblThreatControls[Threat applies]="Applies"),""))</f>
        <v/>
      </c>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0" t="inlineStr">
        <is>
          <t>Architecture / documentation review</t>
        </is>
      </c>
      <c r="J267" s="40" t="inlineStr">
        <is>
          <t>Sampled, periodic</t>
        </is>
      </c>
      <c r="K267" s="42" t="inlineStr">
        <is>
          <t>Design/Governance</t>
        </is>
      </c>
      <c r="L267" s="42" t="inlineStr">
        <is>
          <t>Not assessed</t>
        </is>
      </c>
      <c r="M267" s="40" t="n"/>
      <c r="N267" s="40" t="n"/>
      <c r="O267" s="42" t="inlineStr">
        <is>
          <t>Low</t>
        </is>
      </c>
      <c r="P267" s="43">
        <f>IF(H267="N/A","N/A",INDEX(CRIT_MATRIX,MATCH(O267,CRIT_MATRIX_ROWS,0),MATCH(APP_RISK_TIER,CRIT_MATRIX_COLS,0)))</f>
        <v/>
      </c>
      <c r="Q267" s="40" t="n"/>
      <c r="R267" s="40" cm="1">
        <f t="array" ref="R267">COUNTIFS(tblThreatControls[Control ID],$A267,tblThreatControls[Threat applies],"Applies")</f>
        <v/>
      </c>
      <c r="S267" s="40" cm="1">
        <f t="array" ref="S267">IF(R267=0,"",INDEX(RISK_SCALE_NAMES,_xlfn.MAXIFS(tblThreatControls[Threat risk score],tblThreatControls[Control ID],$A267)))</f>
        <v/>
      </c>
      <c r="T267" s="40" cm="1">
        <f t="array" ref="T267">IF(AND(H267="Applicable",OR(L267="Not assessed",L267=""),R267&gt;0),"Yes","No")</f>
        <v/>
      </c>
      <c r="U267" s="40" cm="1">
        <f t="array" ref="U267">IF(AND(H267="Applicable",OR(L267="Gap",L267="Partial coverage")),INDEX(RISK_SCALE_NAMES,MAX(IFERROR(MATCH(P267,RISK_SCALE_NAMES,0),1),IFERROR(MATCH(S267,RISK_SCALE_NAMES,0),0))),"")</f>
        <v/>
      </c>
      <c r="V267" s="40" cm="1">
        <f t="array" ref="V267">_xlfn.TEXTJOIN("; ",TRUE,_xlfn._xlws.FILTER(tblThreatControls[Threat ID],(tblThreatControls[Control ID]=$A267)*(tblThreatControls[Threat applies]="Applies"),""))</f>
        <v/>
      </c>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0" t="inlineStr">
        <is>
          <t>Architecture / documentation review</t>
        </is>
      </c>
      <c r="J268" s="40" t="inlineStr">
        <is>
          <t>Sampled, periodic</t>
        </is>
      </c>
      <c r="K268" s="42" t="inlineStr">
        <is>
          <t>Design/Governance</t>
        </is>
      </c>
      <c r="L268" s="42" t="inlineStr">
        <is>
          <t>Not assessed</t>
        </is>
      </c>
      <c r="M268" s="40" t="n"/>
      <c r="N268" s="40" t="n"/>
      <c r="O268" s="42" t="inlineStr">
        <is>
          <t>Low</t>
        </is>
      </c>
      <c r="P268" s="43">
        <f>IF(H268="N/A","N/A",INDEX(CRIT_MATRIX,MATCH(O268,CRIT_MATRIX_ROWS,0),MATCH(APP_RISK_TIER,CRIT_MATRIX_COLS,0)))</f>
        <v/>
      </c>
      <c r="Q268" s="40" t="n"/>
      <c r="R268" s="40" cm="1">
        <f t="array" ref="R268">COUNTIFS(tblThreatControls[Control ID],$A268,tblThreatControls[Threat applies],"Applies")</f>
        <v/>
      </c>
      <c r="S268" s="40" cm="1">
        <f t="array" ref="S268">IF(R268=0,"",INDEX(RISK_SCALE_NAMES,_xlfn.MAXIFS(tblThreatControls[Threat risk score],tblThreatControls[Control ID],$A268)))</f>
        <v/>
      </c>
      <c r="T268" s="40" cm="1">
        <f t="array" ref="T268">IF(AND(H268="Applicable",OR(L268="Not assessed",L268=""),R268&gt;0),"Yes","No")</f>
        <v/>
      </c>
      <c r="U268" s="40" cm="1">
        <f t="array" ref="U268">IF(AND(H268="Applicable",OR(L268="Gap",L268="Partial coverage")),INDEX(RISK_SCALE_NAMES,MAX(IFERROR(MATCH(P268,RISK_SCALE_NAMES,0),1),IFERROR(MATCH(S268,RISK_SCALE_NAMES,0),0))),"")</f>
        <v/>
      </c>
      <c r="V268" s="40" cm="1">
        <f t="array" ref="V268">_xlfn.TEXTJOIN("; ",TRUE,_xlfn._xlws.FILTER(tblThreatControls[Threat ID],(tblThreatControls[Control ID]=$A268)*(tblThreatControls[Threat applies]="Applies"),""))</f>
        <v/>
      </c>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0" t="inlineStr">
        <is>
          <t>Architecture / documentation review</t>
        </is>
      </c>
      <c r="J269" s="40" t="inlineStr">
        <is>
          <t>Sampled, periodic</t>
        </is>
      </c>
      <c r="K269" s="42" t="inlineStr">
        <is>
          <t>Design/Governance</t>
        </is>
      </c>
      <c r="L269" s="42" t="inlineStr">
        <is>
          <t>Not assessed</t>
        </is>
      </c>
      <c r="M269" s="40" t="n"/>
      <c r="N269" s="40" t="n"/>
      <c r="O269" s="42" t="inlineStr">
        <is>
          <t>Low</t>
        </is>
      </c>
      <c r="P269" s="43">
        <f>IF(H269="N/A","N/A",INDEX(CRIT_MATRIX,MATCH(O269,CRIT_MATRIX_ROWS,0),MATCH(APP_RISK_TIER,CRIT_MATRIX_COLS,0)))</f>
        <v/>
      </c>
      <c r="Q269" s="40" t="n"/>
      <c r="R269" s="40" cm="1">
        <f t="array" ref="R269">COUNTIFS(tblThreatControls[Control ID],$A269,tblThreatControls[Threat applies],"Applies")</f>
        <v/>
      </c>
      <c r="S269" s="40" cm="1">
        <f t="array" ref="S269">IF(R269=0,"",INDEX(RISK_SCALE_NAMES,_xlfn.MAXIFS(tblThreatControls[Threat risk score],tblThreatControls[Control ID],$A269)))</f>
        <v/>
      </c>
      <c r="T269" s="40" cm="1">
        <f t="array" ref="T269">IF(AND(H269="Applicable",OR(L269="Not assessed",L269=""),R269&gt;0),"Yes","No")</f>
        <v/>
      </c>
      <c r="U269" s="40" cm="1">
        <f t="array" ref="U269">IF(AND(H269="Applicable",OR(L269="Gap",L269="Partial coverage")),INDEX(RISK_SCALE_NAMES,MAX(IFERROR(MATCH(P269,RISK_SCALE_NAMES,0),1),IFERROR(MATCH(S269,RISK_SCALE_NAMES,0),0))),"")</f>
        <v/>
      </c>
      <c r="V269" s="40" cm="1">
        <f t="array" ref="V269">_xlfn.TEXTJOIN("; ",TRUE,_xlfn._xlws.FILTER(tblThreatControls[Threat ID],(tblThreatControls[Control ID]=$A269)*(tblThreatControls[Threat applies]="Applies"),""))</f>
        <v/>
      </c>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0" t="inlineStr">
        <is>
          <t>IaC scanning + configuration review</t>
        </is>
      </c>
      <c r="J270" s="40" t="inlineStr">
        <is>
          <t>Deterministic, continuous</t>
        </is>
      </c>
      <c r="K270" s="42" t="inlineStr">
        <is>
          <t>Pipeline</t>
        </is>
      </c>
      <c r="L270" s="42" t="inlineStr">
        <is>
          <t>Not assessed</t>
        </is>
      </c>
      <c r="M270" s="40" t="n"/>
      <c r="N270" s="40" t="n"/>
      <c r="O270" s="42" t="inlineStr">
        <is>
          <t>Low</t>
        </is>
      </c>
      <c r="P270" s="43">
        <f>IF(H270="N/A","N/A",INDEX(CRIT_MATRIX,MATCH(O270,CRIT_MATRIX_ROWS,0),MATCH(APP_RISK_TIER,CRIT_MATRIX_COLS,0)))</f>
        <v/>
      </c>
      <c r="Q270" s="40" t="n"/>
      <c r="R270" s="40" cm="1">
        <f t="array" ref="R270">COUNTIFS(tblThreatControls[Control ID],$A270,tblThreatControls[Threat applies],"Applies")</f>
        <v/>
      </c>
      <c r="S270" s="40" cm="1">
        <f t="array" ref="S270">IF(R270=0,"",INDEX(RISK_SCALE_NAMES,_xlfn.MAXIFS(tblThreatControls[Threat risk score],tblThreatControls[Control ID],$A270)))</f>
        <v/>
      </c>
      <c r="T270" s="40" cm="1">
        <f t="array" ref="T270">IF(AND(H270="Applicable",OR(L270="Not assessed",L270=""),R270&gt;0),"Yes","No")</f>
        <v/>
      </c>
      <c r="U270" s="40" cm="1">
        <f t="array" ref="U270">IF(AND(H270="Applicable",OR(L270="Gap",L270="Partial coverage")),INDEX(RISK_SCALE_NAMES,MAX(IFERROR(MATCH(P270,RISK_SCALE_NAMES,0),1),IFERROR(MATCH(S270,RISK_SCALE_NAMES,0),0))),"")</f>
        <v/>
      </c>
      <c r="V270" s="40" cm="1">
        <f t="array" ref="V270">_xlfn.TEXTJOIN("; ",TRUE,_xlfn._xlws.FILTER(tblThreatControls[Threat ID],(tblThreatControls[Control ID]=$A270)*(tblThreatControls[Threat applies]="Applies"),""))</f>
        <v/>
      </c>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0" t="inlineStr">
        <is>
          <t>IaC scanning + configuration review</t>
        </is>
      </c>
      <c r="J271" s="40" t="inlineStr">
        <is>
          <t>Deterministic, continuous</t>
        </is>
      </c>
      <c r="K271" s="42" t="inlineStr">
        <is>
          <t>Pipeline</t>
        </is>
      </c>
      <c r="L271" s="42" t="inlineStr">
        <is>
          <t>Not assessed</t>
        </is>
      </c>
      <c r="M271" s="40" t="n"/>
      <c r="N271" s="40" t="n"/>
      <c r="O271" s="42" t="inlineStr">
        <is>
          <t>Low</t>
        </is>
      </c>
      <c r="P271" s="43">
        <f>IF(H271="N/A","N/A",INDEX(CRIT_MATRIX,MATCH(O271,CRIT_MATRIX_ROWS,0),MATCH(APP_RISK_TIER,CRIT_MATRIX_COLS,0)))</f>
        <v/>
      </c>
      <c r="Q271" s="40" t="n"/>
      <c r="R271" s="40" cm="1">
        <f t="array" ref="R271">COUNTIFS(tblThreatControls[Control ID],$A271,tblThreatControls[Threat applies],"Applies")</f>
        <v/>
      </c>
      <c r="S271" s="40" cm="1">
        <f t="array" ref="S271">IF(R271=0,"",INDEX(RISK_SCALE_NAMES,_xlfn.MAXIFS(tblThreatControls[Threat risk score],tblThreatControls[Control ID],$A271)))</f>
        <v/>
      </c>
      <c r="T271" s="40" cm="1">
        <f t="array" ref="T271">IF(AND(H271="Applicable",OR(L271="Not assessed",L271=""),R271&gt;0),"Yes","No")</f>
        <v/>
      </c>
      <c r="U271" s="40" cm="1">
        <f t="array" ref="U271">IF(AND(H271="Applicable",OR(L271="Gap",L271="Partial coverage")),INDEX(RISK_SCALE_NAMES,MAX(IFERROR(MATCH(P271,RISK_SCALE_NAMES,0),1),IFERROR(MATCH(S271,RISK_SCALE_NAMES,0),0))),"")</f>
        <v/>
      </c>
      <c r="V271" s="40" cm="1">
        <f t="array" ref="V271">_xlfn.TEXTJOIN("; ",TRUE,_xlfn._xlws.FILTER(tblThreatControls[Threat ID],(tblThreatControls[Control ID]=$A271)*(tblThreatControls[Threat applies]="Applies"),""))</f>
        <v/>
      </c>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0" t="inlineStr">
        <is>
          <t>IaC scanning + configuration review</t>
        </is>
      </c>
      <c r="J272" s="40" t="inlineStr">
        <is>
          <t>Deterministic, continuous</t>
        </is>
      </c>
      <c r="K272" s="42" t="inlineStr">
        <is>
          <t>Pipeline</t>
        </is>
      </c>
      <c r="L272" s="42" t="inlineStr">
        <is>
          <t>Full coverage</t>
        </is>
      </c>
      <c r="M272" s="40" t="inlineStr">
        <is>
          <t>Service accounts rotated</t>
        </is>
      </c>
      <c r="N272" s="40" t="n"/>
      <c r="O272" s="42" t="inlineStr">
        <is>
          <t>Low</t>
        </is>
      </c>
      <c r="P272" s="43">
        <f>IF(H272="N/A","N/A",INDEX(CRIT_MATRIX,MATCH(O272,CRIT_MATRIX_ROWS,0),MATCH(APP_RISK_TIER,CRIT_MATRIX_COLS,0)))</f>
        <v/>
      </c>
      <c r="Q272" s="40" t="n"/>
      <c r="R272" s="40" cm="1">
        <f t="array" ref="R272">COUNTIFS(tblThreatControls[Control ID],$A272,tblThreatControls[Threat applies],"Applies")</f>
        <v/>
      </c>
      <c r="S272" s="40" cm="1">
        <f t="array" ref="S272">IF(R272=0,"",INDEX(RISK_SCALE_NAMES,_xlfn.MAXIFS(tblThreatControls[Threat risk score],tblThreatControls[Control ID],$A272)))</f>
        <v/>
      </c>
      <c r="T272" s="40" cm="1">
        <f t="array" ref="T272">IF(AND(H272="Applicable",OR(L272="Not assessed",L272=""),R272&gt;0),"Yes","No")</f>
        <v/>
      </c>
      <c r="U272" s="40" cm="1">
        <f t="array" ref="U272">IF(AND(H272="Applicable",OR(L272="Gap",L272="Partial coverage")),INDEX(RISK_SCALE_NAMES,MAX(IFERROR(MATCH(P272,RISK_SCALE_NAMES,0),1),IFERROR(MATCH(S272,RISK_SCALE_NAMES,0),0))),"")</f>
        <v/>
      </c>
      <c r="V272" s="40" cm="1">
        <f t="array" ref="V272">_xlfn.TEXTJOIN("; ",TRUE,_xlfn._xlws.FILTER(tblThreatControls[Threat ID],(tblThreatControls[Control ID]=$A272)*(tblThreatControls[Threat applies]="Applies"),""))</f>
        <v/>
      </c>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0" t="inlineStr">
        <is>
          <t>IaC scanning + configuration review</t>
        </is>
      </c>
      <c r="J273" s="40" t="inlineStr">
        <is>
          <t>Deterministic, continuous</t>
        </is>
      </c>
      <c r="K273" s="42" t="inlineStr">
        <is>
          <t>Pipeline</t>
        </is>
      </c>
      <c r="L273" s="42" t="inlineStr">
        <is>
          <t>Partial coverage</t>
        </is>
      </c>
      <c r="M273" s="40" t="inlineStr">
        <is>
          <t>Firewall rules</t>
        </is>
      </c>
      <c r="N273" s="40" t="inlineStr">
        <is>
          <t>Vendor telemetry endpoint allowed broadly</t>
        </is>
      </c>
      <c r="O273" s="42" t="inlineStr">
        <is>
          <t>Low</t>
        </is>
      </c>
      <c r="P273" s="43">
        <f>IF(H273="N/A","N/A",INDEX(CRIT_MATRIX,MATCH(O273,CRIT_MATRIX_ROWS,0),MATCH(APP_RISK_TIER,CRIT_MATRIX_COLS,0)))</f>
        <v/>
      </c>
      <c r="Q273" s="40" t="inlineStr">
        <is>
          <t>Compensating</t>
        </is>
      </c>
      <c r="R273" s="40" cm="1">
        <f t="array" ref="R273">COUNTIFS(tblThreatControls[Control ID],$A273,tblThreatControls[Threat applies],"Applies")</f>
        <v/>
      </c>
      <c r="S273" s="40" cm="1">
        <f t="array" ref="S273">IF(R273=0,"",INDEX(RISK_SCALE_NAMES,_xlfn.MAXIFS(tblThreatControls[Threat risk score],tblThreatControls[Control ID],$A273)))</f>
        <v/>
      </c>
      <c r="T273" s="40" cm="1">
        <f t="array" ref="T273">IF(AND(H273="Applicable",OR(L273="Not assessed",L273=""),R273&gt;0),"Yes","No")</f>
        <v/>
      </c>
      <c r="U273" s="40" cm="1">
        <f t="array" ref="U273">IF(AND(H273="Applicable",OR(L273="Gap",L273="Partial coverage")),INDEX(RISK_SCALE_NAMES,MAX(IFERROR(MATCH(P273,RISK_SCALE_NAMES,0),1),IFERROR(MATCH(S273,RISK_SCALE_NAMES,0),0))),"")</f>
        <v/>
      </c>
      <c r="V273" s="40" cm="1">
        <f t="array" ref="V273">_xlfn.TEXTJOIN("; ",TRUE,_xlfn._xlws.FILTER(tblThreatControls[Threat ID],(tblThreatControls[Control ID]=$A273)*(tblThreatControls[Threat applies]="Applies"),""))</f>
        <v/>
      </c>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0" t="inlineStr">
        <is>
          <t>IaC scanning + configuration review</t>
        </is>
      </c>
      <c r="J274" s="40" t="inlineStr">
        <is>
          <t>Deterministic, continuous</t>
        </is>
      </c>
      <c r="K274" s="42" t="inlineStr">
        <is>
          <t>Pipeline</t>
        </is>
      </c>
      <c r="L274" s="42" t="inlineStr">
        <is>
          <t>Not assessed</t>
        </is>
      </c>
      <c r="M274" s="40" t="n"/>
      <c r="N274" s="40" t="n"/>
      <c r="O274" s="42" t="inlineStr">
        <is>
          <t>Low</t>
        </is>
      </c>
      <c r="P274" s="43">
        <f>IF(H274="N/A","N/A",INDEX(CRIT_MATRIX,MATCH(O274,CRIT_MATRIX_ROWS,0),MATCH(APP_RISK_TIER,CRIT_MATRIX_COLS,0)))</f>
        <v/>
      </c>
      <c r="Q274" s="40" t="n"/>
      <c r="R274" s="40" cm="1">
        <f t="array" ref="R274">COUNTIFS(tblThreatControls[Control ID],$A274,tblThreatControls[Threat applies],"Applies")</f>
        <v/>
      </c>
      <c r="S274" s="40" cm="1">
        <f t="array" ref="S274">IF(R274=0,"",INDEX(RISK_SCALE_NAMES,_xlfn.MAXIFS(tblThreatControls[Threat risk score],tblThreatControls[Control ID],$A274)))</f>
        <v/>
      </c>
      <c r="T274" s="40" cm="1">
        <f t="array" ref="T274">IF(AND(H274="Applicable",OR(L274="Not assessed",L274=""),R274&gt;0),"Yes","No")</f>
        <v/>
      </c>
      <c r="U274" s="40" cm="1">
        <f t="array" ref="U274">IF(AND(H274="Applicable",OR(L274="Gap",L274="Partial coverage")),INDEX(RISK_SCALE_NAMES,MAX(IFERROR(MATCH(P274,RISK_SCALE_NAMES,0),1),IFERROR(MATCH(S274,RISK_SCALE_NAMES,0),0))),"")</f>
        <v/>
      </c>
      <c r="V274" s="40" cm="1">
        <f t="array" ref="V274">_xlfn.TEXTJOIN("; ",TRUE,_xlfn._xlws.FILTER(tblThreatControls[Threat ID],(tblThreatControls[Control ID]=$A274)*(tblThreatControls[Threat applies]="Applies"),""))</f>
        <v/>
      </c>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0" t="inlineStr">
        <is>
          <t>IaC scanning + configuration review</t>
        </is>
      </c>
      <c r="J275" s="40" t="inlineStr">
        <is>
          <t>Deterministic, continuous</t>
        </is>
      </c>
      <c r="K275" s="42" t="inlineStr">
        <is>
          <t>Pipeline</t>
        </is>
      </c>
      <c r="L275" s="42" t="inlineStr">
        <is>
          <t>Not assessed</t>
        </is>
      </c>
      <c r="M275" s="40" t="n"/>
      <c r="N275" s="40" t="n"/>
      <c r="O275" s="42" t="inlineStr">
        <is>
          <t>Low</t>
        </is>
      </c>
      <c r="P275" s="43">
        <f>IF(H275="N/A","N/A",INDEX(CRIT_MATRIX,MATCH(O275,CRIT_MATRIX_ROWS,0),MATCH(APP_RISK_TIER,CRIT_MATRIX_COLS,0)))</f>
        <v/>
      </c>
      <c r="Q275" s="40" t="n"/>
      <c r="R275" s="40" cm="1">
        <f t="array" ref="R275">COUNTIFS(tblThreatControls[Control ID],$A275,tblThreatControls[Threat applies],"Applies")</f>
        <v/>
      </c>
      <c r="S275" s="40" cm="1">
        <f t="array" ref="S275">IF(R275=0,"",INDEX(RISK_SCALE_NAMES,_xlfn.MAXIFS(tblThreatControls[Threat risk score],tblThreatControls[Control ID],$A275)))</f>
        <v/>
      </c>
      <c r="T275" s="40" cm="1">
        <f t="array" ref="T275">IF(AND(H275="Applicable",OR(L275="Not assessed",L275=""),R275&gt;0),"Yes","No")</f>
        <v/>
      </c>
      <c r="U275" s="40" cm="1">
        <f t="array" ref="U275">IF(AND(H275="Applicable",OR(L275="Gap",L275="Partial coverage")),INDEX(RISK_SCALE_NAMES,MAX(IFERROR(MATCH(P275,RISK_SCALE_NAMES,0),1),IFERROR(MATCH(S275,RISK_SCALE_NAMES,0),0))),"")</f>
        <v/>
      </c>
      <c r="V275" s="40" cm="1">
        <f t="array" ref="V275">_xlfn.TEXTJOIN("; ",TRUE,_xlfn._xlws.FILTER(tblThreatControls[Threat ID],(tblThreatControls[Control ID]=$A275)*(tblThreatControls[Threat applies]="Applies"),""))</f>
        <v/>
      </c>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0" t="inlineStr">
        <is>
          <t>IaC scanning + configuration review</t>
        </is>
      </c>
      <c r="J276" s="40" t="inlineStr">
        <is>
          <t>Deterministic, continuous</t>
        </is>
      </c>
      <c r="K276" s="42" t="inlineStr">
        <is>
          <t>Pipeline</t>
        </is>
      </c>
      <c r="L276" s="42" t="inlineStr">
        <is>
          <t>Gap</t>
        </is>
      </c>
      <c r="M276" s="40" t="n"/>
      <c r="N276" s="40" t="inlineStr">
        <is>
          <t>License and mail credentials in a config file</t>
        </is>
      </c>
      <c r="O276" s="42" t="inlineStr">
        <is>
          <t>Low</t>
        </is>
      </c>
      <c r="P276" s="43">
        <f>IF(H276="N/A","N/A",INDEX(CRIT_MATRIX,MATCH(O276,CRIT_MATRIX_ROWS,0),MATCH(APP_RISK_TIER,CRIT_MATRIX_COLS,0)))</f>
        <v/>
      </c>
      <c r="Q276" s="40" t="inlineStr">
        <is>
          <t>Configuration</t>
        </is>
      </c>
      <c r="R276" s="40" cm="1">
        <f t="array" ref="R276">COUNTIFS(tblThreatControls[Control ID],$A276,tblThreatControls[Threat applies],"Applies")</f>
        <v/>
      </c>
      <c r="S276" s="40" cm="1">
        <f t="array" ref="S276">IF(R276=0,"",INDEX(RISK_SCALE_NAMES,_xlfn.MAXIFS(tblThreatControls[Threat risk score],tblThreatControls[Control ID],$A276)))</f>
        <v/>
      </c>
      <c r="T276" s="40" cm="1">
        <f t="array" ref="T276">IF(AND(H276="Applicable",OR(L276="Not assessed",L276=""),R276&gt;0),"Yes","No")</f>
        <v/>
      </c>
      <c r="U276" s="40" cm="1">
        <f t="array" ref="U276">IF(AND(H276="Applicable",OR(L276="Gap",L276="Partial coverage")),INDEX(RISK_SCALE_NAMES,MAX(IFERROR(MATCH(P276,RISK_SCALE_NAMES,0),1),IFERROR(MATCH(S276,RISK_SCALE_NAMES,0),0))),"")</f>
        <v/>
      </c>
      <c r="V276" s="40" cm="1">
        <f t="array" ref="V276">_xlfn.TEXTJOIN("; ",TRUE,_xlfn._xlws.FILTER(tblThreatControls[Threat ID],(tblThreatControls[Control ID]=$A276)*(tblThreatControls[Threat applies]="Applies"),""))</f>
        <v/>
      </c>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0" t="inlineStr">
        <is>
          <t>IaC scanning + configuration review</t>
        </is>
      </c>
      <c r="J277" s="40" t="inlineStr">
        <is>
          <t>Deterministic, continuous</t>
        </is>
      </c>
      <c r="K277" s="42" t="inlineStr">
        <is>
          <t>Pipeline</t>
        </is>
      </c>
      <c r="L277" s="42" t="inlineStr">
        <is>
          <t>Not assessed</t>
        </is>
      </c>
      <c r="M277" s="40" t="n"/>
      <c r="N277" s="40" t="n"/>
      <c r="O277" s="42" t="inlineStr">
        <is>
          <t>Low</t>
        </is>
      </c>
      <c r="P277" s="43">
        <f>IF(H277="N/A","N/A",INDEX(CRIT_MATRIX,MATCH(O277,CRIT_MATRIX_ROWS,0),MATCH(APP_RISK_TIER,CRIT_MATRIX_COLS,0)))</f>
        <v/>
      </c>
      <c r="Q277" s="40" t="n"/>
      <c r="R277" s="40" cm="1">
        <f t="array" ref="R277">COUNTIFS(tblThreatControls[Control ID],$A277,tblThreatControls[Threat applies],"Applies")</f>
        <v/>
      </c>
      <c r="S277" s="40" cm="1">
        <f t="array" ref="S277">IF(R277=0,"",INDEX(RISK_SCALE_NAMES,_xlfn.MAXIFS(tblThreatControls[Threat risk score],tblThreatControls[Control ID],$A277)))</f>
        <v/>
      </c>
      <c r="T277" s="40" cm="1">
        <f t="array" ref="T277">IF(AND(H277="Applicable",OR(L277="Not assessed",L277=""),R277&gt;0),"Yes","No")</f>
        <v/>
      </c>
      <c r="U277" s="40" cm="1">
        <f t="array" ref="U277">IF(AND(H277="Applicable",OR(L277="Gap",L277="Partial coverage")),INDEX(RISK_SCALE_NAMES,MAX(IFERROR(MATCH(P277,RISK_SCALE_NAMES,0),1),IFERROR(MATCH(S277,RISK_SCALE_NAMES,0),0))),"")</f>
        <v/>
      </c>
      <c r="V277" s="40" cm="1">
        <f t="array" ref="V277">_xlfn.TEXTJOIN("; ",TRUE,_xlfn._xlws.FILTER(tblThreatControls[Threat ID],(tblThreatControls[Control ID]=$A277)*(tblThreatControls[Threat applies]="Applies"),""))</f>
        <v/>
      </c>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0" t="inlineStr">
        <is>
          <t>IaC scanning + configuration review</t>
        </is>
      </c>
      <c r="J278" s="40" t="inlineStr">
        <is>
          <t>Deterministic, continuous</t>
        </is>
      </c>
      <c r="K278" s="42" t="inlineStr">
        <is>
          <t>Pipeline</t>
        </is>
      </c>
      <c r="L278" s="42" t="inlineStr">
        <is>
          <t>Not assessed</t>
        </is>
      </c>
      <c r="M278" s="40" t="n"/>
      <c r="N278" s="40" t="n"/>
      <c r="O278" s="42" t="inlineStr">
        <is>
          <t>Low</t>
        </is>
      </c>
      <c r="P278" s="43">
        <f>IF(H278="N/A","N/A",INDEX(CRIT_MATRIX,MATCH(O278,CRIT_MATRIX_ROWS,0),MATCH(APP_RISK_TIER,CRIT_MATRIX_COLS,0)))</f>
        <v/>
      </c>
      <c r="Q278" s="40" t="n"/>
      <c r="R278" s="40" cm="1">
        <f t="array" ref="R278">COUNTIFS(tblThreatControls[Control ID],$A278,tblThreatControls[Threat applies],"Applies")</f>
        <v/>
      </c>
      <c r="S278" s="40" cm="1">
        <f t="array" ref="S278">IF(R278=0,"",INDEX(RISK_SCALE_NAMES,_xlfn.MAXIFS(tblThreatControls[Threat risk score],tblThreatControls[Control ID],$A278)))</f>
        <v/>
      </c>
      <c r="T278" s="40" cm="1">
        <f t="array" ref="T278">IF(AND(H278="Applicable",OR(L278="Not assessed",L278=""),R278&gt;0),"Yes","No")</f>
        <v/>
      </c>
      <c r="U278" s="40" cm="1">
        <f t="array" ref="U278">IF(AND(H278="Applicable",OR(L278="Gap",L278="Partial coverage")),INDEX(RISK_SCALE_NAMES,MAX(IFERROR(MATCH(P278,RISK_SCALE_NAMES,0),1),IFERROR(MATCH(S278,RISK_SCALE_NAMES,0),0))),"")</f>
        <v/>
      </c>
      <c r="V278" s="40" cm="1">
        <f t="array" ref="V278">_xlfn.TEXTJOIN("; ",TRUE,_xlfn._xlws.FILTER(tblThreatControls[Threat ID],(tblThreatControls[Control ID]=$A278)*(tblThreatControls[Threat applies]="Applies"),""))</f>
        <v/>
      </c>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0" t="inlineStr">
        <is>
          <t>IaC scanning + configuration review</t>
        </is>
      </c>
      <c r="J279" s="40" t="inlineStr">
        <is>
          <t>Deterministic, continuous</t>
        </is>
      </c>
      <c r="K279" s="42" t="inlineStr">
        <is>
          <t>Pipeline</t>
        </is>
      </c>
      <c r="L279" s="42" t="inlineStr">
        <is>
          <t>Not assessed</t>
        </is>
      </c>
      <c r="M279" s="40" t="n"/>
      <c r="N279" s="40" t="n"/>
      <c r="O279" s="42" t="inlineStr">
        <is>
          <t>Low</t>
        </is>
      </c>
      <c r="P279" s="43">
        <f>IF(H279="N/A","N/A",INDEX(CRIT_MATRIX,MATCH(O279,CRIT_MATRIX_ROWS,0),MATCH(APP_RISK_TIER,CRIT_MATRIX_COLS,0)))</f>
        <v/>
      </c>
      <c r="Q279" s="40" t="n"/>
      <c r="R279" s="40" cm="1">
        <f t="array" ref="R279">COUNTIFS(tblThreatControls[Control ID],$A279,tblThreatControls[Threat applies],"Applies")</f>
        <v/>
      </c>
      <c r="S279" s="40" cm="1">
        <f t="array" ref="S279">IF(R279=0,"",INDEX(RISK_SCALE_NAMES,_xlfn.MAXIFS(tblThreatControls[Threat risk score],tblThreatControls[Control ID],$A279)))</f>
        <v/>
      </c>
      <c r="T279" s="40" cm="1">
        <f t="array" ref="T279">IF(AND(H279="Applicable",OR(L279="Not assessed",L279=""),R279&gt;0),"Yes","No")</f>
        <v/>
      </c>
      <c r="U279" s="40" cm="1">
        <f t="array" ref="U279">IF(AND(H279="Applicable",OR(L279="Gap",L279="Partial coverage")),INDEX(RISK_SCALE_NAMES,MAX(IFERROR(MATCH(P279,RISK_SCALE_NAMES,0),1),IFERROR(MATCH(S279,RISK_SCALE_NAMES,0),0))),"")</f>
        <v/>
      </c>
      <c r="V279" s="40" cm="1">
        <f t="array" ref="V279">_xlfn.TEXTJOIN("; ",TRUE,_xlfn._xlws.FILTER(tblThreatControls[Threat ID],(tblThreatControls[Control ID]=$A279)*(tblThreatControls[Threat applies]="Applies"),""))</f>
        <v/>
      </c>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0" t="inlineStr">
        <is>
          <t>IaC scanning + configuration review</t>
        </is>
      </c>
      <c r="J280" s="40" t="inlineStr">
        <is>
          <t>Deterministic, continuous</t>
        </is>
      </c>
      <c r="K280" s="42" t="inlineStr">
        <is>
          <t>Pipeline</t>
        </is>
      </c>
      <c r="L280" s="42" t="inlineStr">
        <is>
          <t>Not assessed</t>
        </is>
      </c>
      <c r="M280" s="40" t="n"/>
      <c r="N280" s="40" t="n"/>
      <c r="O280" s="42" t="inlineStr">
        <is>
          <t>Low</t>
        </is>
      </c>
      <c r="P280" s="43">
        <f>IF(H280="N/A","N/A",INDEX(CRIT_MATRIX,MATCH(O280,CRIT_MATRIX_ROWS,0),MATCH(APP_RISK_TIER,CRIT_MATRIX_COLS,0)))</f>
        <v/>
      </c>
      <c r="Q280" s="40" t="n"/>
      <c r="R280" s="40" cm="1">
        <f t="array" ref="R280">COUNTIFS(tblThreatControls[Control ID],$A280,tblThreatControls[Threat applies],"Applies")</f>
        <v/>
      </c>
      <c r="S280" s="40" cm="1">
        <f t="array" ref="S280">IF(R280=0,"",INDEX(RISK_SCALE_NAMES,_xlfn.MAXIFS(tblThreatControls[Threat risk score],tblThreatControls[Control ID],$A280)))</f>
        <v/>
      </c>
      <c r="T280" s="40" cm="1">
        <f t="array" ref="T280">IF(AND(H280="Applicable",OR(L280="Not assessed",L280=""),R280&gt;0),"Yes","No")</f>
        <v/>
      </c>
      <c r="U280" s="40" cm="1">
        <f t="array" ref="U280">IF(AND(H280="Applicable",OR(L280="Gap",L280="Partial coverage")),INDEX(RISK_SCALE_NAMES,MAX(IFERROR(MATCH(P280,RISK_SCALE_NAMES,0),1),IFERROR(MATCH(S280,RISK_SCALE_NAMES,0),0))),"")</f>
        <v/>
      </c>
      <c r="V280" s="40" cm="1">
        <f t="array" ref="V280">_xlfn.TEXTJOIN("; ",TRUE,_xlfn._xlws.FILTER(tblThreatControls[Threat ID],(tblThreatControls[Control ID]=$A280)*(tblThreatControls[Threat applies]="Applies"),""))</f>
        <v/>
      </c>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0" t="inlineStr">
        <is>
          <t>IaC scanning + configuration review</t>
        </is>
      </c>
      <c r="J281" s="40" t="inlineStr">
        <is>
          <t>Deterministic, continuous</t>
        </is>
      </c>
      <c r="K281" s="42" t="inlineStr">
        <is>
          <t>Pipeline</t>
        </is>
      </c>
      <c r="L281" s="42" t="inlineStr">
        <is>
          <t>Not assessed</t>
        </is>
      </c>
      <c r="M281" s="40" t="n"/>
      <c r="N281" s="40" t="n"/>
      <c r="O281" s="42" t="inlineStr">
        <is>
          <t>Low</t>
        </is>
      </c>
      <c r="P281" s="43">
        <f>IF(H281="N/A","N/A",INDEX(CRIT_MATRIX,MATCH(O281,CRIT_MATRIX_ROWS,0),MATCH(APP_RISK_TIER,CRIT_MATRIX_COLS,0)))</f>
        <v/>
      </c>
      <c r="Q281" s="40" t="n"/>
      <c r="R281" s="40" cm="1">
        <f t="array" ref="R281">COUNTIFS(tblThreatControls[Control ID],$A281,tblThreatControls[Threat applies],"Applies")</f>
        <v/>
      </c>
      <c r="S281" s="40" cm="1">
        <f t="array" ref="S281">IF(R281=0,"",INDEX(RISK_SCALE_NAMES,_xlfn.MAXIFS(tblThreatControls[Threat risk score],tblThreatControls[Control ID],$A281)))</f>
        <v/>
      </c>
      <c r="T281" s="40" cm="1">
        <f t="array" ref="T281">IF(AND(H281="Applicable",OR(L281="Not assessed",L281=""),R281&gt;0),"Yes","No")</f>
        <v/>
      </c>
      <c r="U281" s="40" cm="1">
        <f t="array" ref="U281">IF(AND(H281="Applicable",OR(L281="Gap",L281="Partial coverage")),INDEX(RISK_SCALE_NAMES,MAX(IFERROR(MATCH(P281,RISK_SCALE_NAMES,0),1),IFERROR(MATCH(S281,RISK_SCALE_NAMES,0),0))),"")</f>
        <v/>
      </c>
      <c r="V281" s="40" cm="1">
        <f t="array" ref="V281">_xlfn.TEXTJOIN("; ",TRUE,_xlfn._xlws.FILTER(tblThreatControls[Threat ID],(tblThreatControls[Control ID]=$A281)*(tblThreatControls[Threat applies]="Applies"),""))</f>
        <v/>
      </c>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0" t="inlineStr">
        <is>
          <t>IaC scanning + configuration review</t>
        </is>
      </c>
      <c r="J282" s="40" t="inlineStr">
        <is>
          <t>Deterministic, continuous</t>
        </is>
      </c>
      <c r="K282" s="42" t="inlineStr">
        <is>
          <t>Pipeline</t>
        </is>
      </c>
      <c r="L282" s="42" t="inlineStr">
        <is>
          <t>Not assessed</t>
        </is>
      </c>
      <c r="M282" s="40" t="n"/>
      <c r="N282" s="40" t="n"/>
      <c r="O282" s="42" t="inlineStr">
        <is>
          <t>Low</t>
        </is>
      </c>
      <c r="P282" s="43">
        <f>IF(H282="N/A","N/A",INDEX(CRIT_MATRIX,MATCH(O282,CRIT_MATRIX_ROWS,0),MATCH(APP_RISK_TIER,CRIT_MATRIX_COLS,0)))</f>
        <v/>
      </c>
      <c r="Q282" s="40" t="n"/>
      <c r="R282" s="40" cm="1">
        <f t="array" ref="R282">COUNTIFS(tblThreatControls[Control ID],$A282,tblThreatControls[Threat applies],"Applies")</f>
        <v/>
      </c>
      <c r="S282" s="40" cm="1">
        <f t="array" ref="S282">IF(R282=0,"",INDEX(RISK_SCALE_NAMES,_xlfn.MAXIFS(tblThreatControls[Threat risk score],tblThreatControls[Control ID],$A282)))</f>
        <v/>
      </c>
      <c r="T282" s="40" cm="1">
        <f t="array" ref="T282">IF(AND(H282="Applicable",OR(L282="Not assessed",L282=""),R282&gt;0),"Yes","No")</f>
        <v/>
      </c>
      <c r="U282" s="40" cm="1">
        <f t="array" ref="U282">IF(AND(H282="Applicable",OR(L282="Gap",L282="Partial coverage")),INDEX(RISK_SCALE_NAMES,MAX(IFERROR(MATCH(P282,RISK_SCALE_NAMES,0),1),IFERROR(MATCH(S282,RISK_SCALE_NAMES,0),0))),"")</f>
        <v/>
      </c>
      <c r="V282" s="40" cm="1">
        <f t="array" ref="V282">_xlfn.TEXTJOIN("; ",TRUE,_xlfn._xlws.FILTER(tblThreatControls[Threat ID],(tblThreatControls[Control ID]=$A282)*(tblThreatControls[Threat applies]="Applies"),""))</f>
        <v/>
      </c>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0" t="inlineStr">
        <is>
          <t>IaC scanning + configuration review</t>
        </is>
      </c>
      <c r="J283" s="40" t="inlineStr">
        <is>
          <t>Deterministic, continuous</t>
        </is>
      </c>
      <c r="K283" s="42" t="inlineStr">
        <is>
          <t>Pipeline</t>
        </is>
      </c>
      <c r="L283" s="42" t="inlineStr">
        <is>
          <t>Not assessed</t>
        </is>
      </c>
      <c r="M283" s="40" t="n"/>
      <c r="N283" s="40" t="n"/>
      <c r="O283" s="42" t="inlineStr">
        <is>
          <t>Low</t>
        </is>
      </c>
      <c r="P283" s="43">
        <f>IF(H283="N/A","N/A",INDEX(CRIT_MATRIX,MATCH(O283,CRIT_MATRIX_ROWS,0),MATCH(APP_RISK_TIER,CRIT_MATRIX_COLS,0)))</f>
        <v/>
      </c>
      <c r="Q283" s="40" t="n"/>
      <c r="R283" s="40" cm="1">
        <f t="array" ref="R283">COUNTIFS(tblThreatControls[Control ID],$A283,tblThreatControls[Threat applies],"Applies")</f>
        <v/>
      </c>
      <c r="S283" s="40" cm="1">
        <f t="array" ref="S283">IF(R283=0,"",INDEX(RISK_SCALE_NAMES,_xlfn.MAXIFS(tblThreatControls[Threat risk score],tblThreatControls[Control ID],$A283)))</f>
        <v/>
      </c>
      <c r="T283" s="40" cm="1">
        <f t="array" ref="T283">IF(AND(H283="Applicable",OR(L283="Not assessed",L283=""),R283&gt;0),"Yes","No")</f>
        <v/>
      </c>
      <c r="U283" s="40" cm="1">
        <f t="array" ref="U283">IF(AND(H283="Applicable",OR(L283="Gap",L283="Partial coverage")),INDEX(RISK_SCALE_NAMES,MAX(IFERROR(MATCH(P283,RISK_SCALE_NAMES,0),1),IFERROR(MATCH(S283,RISK_SCALE_NAMES,0),0))),"")</f>
        <v/>
      </c>
      <c r="V283" s="40" cm="1">
        <f t="array" ref="V283">_xlfn.TEXTJOIN("; ",TRUE,_xlfn._xlws.FILTER(tblThreatControls[Threat ID],(tblThreatControls[Control ID]=$A283)*(tblThreatControls[Threat applies]="Applies"),""))</f>
        <v/>
      </c>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0" t="inlineStr">
        <is>
          <t>IaC scanning + configuration review</t>
        </is>
      </c>
      <c r="J284" s="40" t="inlineStr">
        <is>
          <t>Deterministic, continuous</t>
        </is>
      </c>
      <c r="K284" s="42" t="inlineStr">
        <is>
          <t>Pipeline</t>
        </is>
      </c>
      <c r="L284" s="42" t="inlineStr">
        <is>
          <t>Not assessed</t>
        </is>
      </c>
      <c r="M284" s="40" t="n"/>
      <c r="N284" s="40" t="n"/>
      <c r="O284" s="42" t="inlineStr">
        <is>
          <t>Low</t>
        </is>
      </c>
      <c r="P284" s="43">
        <f>IF(H284="N/A","N/A",INDEX(CRIT_MATRIX,MATCH(O284,CRIT_MATRIX_ROWS,0),MATCH(APP_RISK_TIER,CRIT_MATRIX_COLS,0)))</f>
        <v/>
      </c>
      <c r="Q284" s="40" t="n"/>
      <c r="R284" s="40" cm="1">
        <f t="array" ref="R284">COUNTIFS(tblThreatControls[Control ID],$A284,tblThreatControls[Threat applies],"Applies")</f>
        <v/>
      </c>
      <c r="S284" s="40" cm="1">
        <f t="array" ref="S284">IF(R284=0,"",INDEX(RISK_SCALE_NAMES,_xlfn.MAXIFS(tblThreatControls[Threat risk score],tblThreatControls[Control ID],$A284)))</f>
        <v/>
      </c>
      <c r="T284" s="40" cm="1">
        <f t="array" ref="T284">IF(AND(H284="Applicable",OR(L284="Not assessed",L284=""),R284&gt;0),"Yes","No")</f>
        <v/>
      </c>
      <c r="U284" s="40" cm="1">
        <f t="array" ref="U284">IF(AND(H284="Applicable",OR(L284="Gap",L284="Partial coverage")),INDEX(RISK_SCALE_NAMES,MAX(IFERROR(MATCH(P284,RISK_SCALE_NAMES,0),1),IFERROR(MATCH(S284,RISK_SCALE_NAMES,0),0))),"")</f>
        <v/>
      </c>
      <c r="V284" s="40" cm="1">
        <f t="array" ref="V284">_xlfn.TEXTJOIN("; ",TRUE,_xlfn._xlws.FILTER(tblThreatControls[Threat ID],(tblThreatControls[Control ID]=$A284)*(tblThreatControls[Threat applies]="Applies"),""))</f>
        <v/>
      </c>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0" t="inlineStr">
        <is>
          <t>IaC scanning + configuration review</t>
        </is>
      </c>
      <c r="J285" s="40" t="inlineStr">
        <is>
          <t>Deterministic, continuous</t>
        </is>
      </c>
      <c r="K285" s="42" t="inlineStr">
        <is>
          <t>Pipeline</t>
        </is>
      </c>
      <c r="L285" s="42" t="inlineStr">
        <is>
          <t>Not assessed</t>
        </is>
      </c>
      <c r="M285" s="40" t="n"/>
      <c r="N285" s="40" t="n"/>
      <c r="O285" s="42" t="inlineStr">
        <is>
          <t>Low</t>
        </is>
      </c>
      <c r="P285" s="43">
        <f>IF(H285="N/A","N/A",INDEX(CRIT_MATRIX,MATCH(O285,CRIT_MATRIX_ROWS,0),MATCH(APP_RISK_TIER,CRIT_MATRIX_COLS,0)))</f>
        <v/>
      </c>
      <c r="Q285" s="40" t="n"/>
      <c r="R285" s="40" cm="1">
        <f t="array" ref="R285">COUNTIFS(tblThreatControls[Control ID],$A285,tblThreatControls[Threat applies],"Applies")</f>
        <v/>
      </c>
      <c r="S285" s="40" cm="1">
        <f t="array" ref="S285">IF(R285=0,"",INDEX(RISK_SCALE_NAMES,_xlfn.MAXIFS(tblThreatControls[Threat risk score],tblThreatControls[Control ID],$A285)))</f>
        <v/>
      </c>
      <c r="T285" s="40" cm="1">
        <f t="array" ref="T285">IF(AND(H285="Applicable",OR(L285="Not assessed",L285=""),R285&gt;0),"Yes","No")</f>
        <v/>
      </c>
      <c r="U285" s="40" cm="1">
        <f t="array" ref="U285">IF(AND(H285="Applicable",OR(L285="Gap",L285="Partial coverage")),INDEX(RISK_SCALE_NAMES,MAX(IFERROR(MATCH(P285,RISK_SCALE_NAMES,0),1),IFERROR(MATCH(S285,RISK_SCALE_NAMES,0),0))),"")</f>
        <v/>
      </c>
      <c r="V285" s="40" cm="1">
        <f t="array" ref="V285">_xlfn.TEXTJOIN("; ",TRUE,_xlfn._xlws.FILTER(tblThreatControls[Threat ID],(tblThreatControls[Control ID]=$A285)*(tblThreatControls[Threat applies]="Applies"),""))</f>
        <v/>
      </c>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0" t="inlineStr">
        <is>
          <t>IaC scanning + configuration review</t>
        </is>
      </c>
      <c r="J286" s="40" t="inlineStr">
        <is>
          <t>Deterministic, continuous</t>
        </is>
      </c>
      <c r="K286" s="42" t="inlineStr">
        <is>
          <t>Pipeline</t>
        </is>
      </c>
      <c r="L286" s="42" t="inlineStr">
        <is>
          <t>Not assessed</t>
        </is>
      </c>
      <c r="M286" s="40" t="n"/>
      <c r="N286" s="40" t="n"/>
      <c r="O286" s="42" t="inlineStr">
        <is>
          <t>Low</t>
        </is>
      </c>
      <c r="P286" s="43">
        <f>IF(H286="N/A","N/A",INDEX(CRIT_MATRIX,MATCH(O286,CRIT_MATRIX_ROWS,0),MATCH(APP_RISK_TIER,CRIT_MATRIX_COLS,0)))</f>
        <v/>
      </c>
      <c r="Q286" s="40" t="n"/>
      <c r="R286" s="40" cm="1">
        <f t="array" ref="R286">COUNTIFS(tblThreatControls[Control ID],$A286,tblThreatControls[Threat applies],"Applies")</f>
        <v/>
      </c>
      <c r="S286" s="40" cm="1">
        <f t="array" ref="S286">IF(R286=0,"",INDEX(RISK_SCALE_NAMES,_xlfn.MAXIFS(tblThreatControls[Threat risk score],tblThreatControls[Control ID],$A286)))</f>
        <v/>
      </c>
      <c r="T286" s="40" cm="1">
        <f t="array" ref="T286">IF(AND(H286="Applicable",OR(L286="Not assessed",L286=""),R286&gt;0),"Yes","No")</f>
        <v/>
      </c>
      <c r="U286" s="40" cm="1">
        <f t="array" ref="U286">IF(AND(H286="Applicable",OR(L286="Gap",L286="Partial coverage")),INDEX(RISK_SCALE_NAMES,MAX(IFERROR(MATCH(P286,RISK_SCALE_NAMES,0),1),IFERROR(MATCH(S286,RISK_SCALE_NAMES,0),0))),"")</f>
        <v/>
      </c>
      <c r="V286" s="40" cm="1">
        <f t="array" ref="V286">_xlfn.TEXTJOIN("; ",TRUE,_xlfn._xlws.FILTER(tblThreatControls[Threat ID],(tblThreatControls[Control ID]=$A286)*(tblThreatControls[Threat applies]="Applies"),""))</f>
        <v/>
      </c>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0" t="inlineStr">
        <is>
          <t>Architecture / documentation review</t>
        </is>
      </c>
      <c r="J287" s="40" t="inlineStr">
        <is>
          <t>Sampled, periodic</t>
        </is>
      </c>
      <c r="K287" s="42" t="inlineStr">
        <is>
          <t>Design/Governance</t>
        </is>
      </c>
      <c r="L287" s="42" t="inlineStr">
        <is>
          <t>Not assessed</t>
        </is>
      </c>
      <c r="M287" s="40" t="n"/>
      <c r="N287" s="40" t="n"/>
      <c r="O287" s="42" t="inlineStr">
        <is>
          <t>High</t>
        </is>
      </c>
      <c r="P287" s="43">
        <f>IF(H287="N/A","N/A",INDEX(CRIT_MATRIX,MATCH(O287,CRIT_MATRIX_ROWS,0),MATCH(APP_RISK_TIER,CRIT_MATRIX_COLS,0)))</f>
        <v/>
      </c>
      <c r="Q287" s="40" t="n"/>
      <c r="R287" s="40" cm="1">
        <f t="array" ref="R287">COUNTIFS(tblThreatControls[Control ID],$A287,tblThreatControls[Threat applies],"Applies")</f>
        <v/>
      </c>
      <c r="S287" s="40" cm="1">
        <f t="array" ref="S287">IF(R287=0,"",INDEX(RISK_SCALE_NAMES,_xlfn.MAXIFS(tblThreatControls[Threat risk score],tblThreatControls[Control ID],$A287)))</f>
        <v/>
      </c>
      <c r="T287" s="40" cm="1">
        <f t="array" ref="T287">IF(AND(H287="Applicable",OR(L287="Not assessed",L287=""),R287&gt;0),"Yes","No")</f>
        <v/>
      </c>
      <c r="U287" s="40" cm="1">
        <f t="array" ref="U287">IF(AND(H287="Applicable",OR(L287="Gap",L287="Partial coverage")),INDEX(RISK_SCALE_NAMES,MAX(IFERROR(MATCH(P287,RISK_SCALE_NAMES,0),1),IFERROR(MATCH(S287,RISK_SCALE_NAMES,0),0))),"")</f>
        <v/>
      </c>
      <c r="V287" s="40" cm="1">
        <f t="array" ref="V287">_xlfn.TEXTJOIN("; ",TRUE,_xlfn._xlws.FILTER(tblThreatControls[Threat ID],(tblThreatControls[Control ID]=$A287)*(tblThreatControls[Threat applies]="Applies"),""))</f>
        <v/>
      </c>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0" t="inlineStr">
        <is>
          <t>Architecture / documentation review</t>
        </is>
      </c>
      <c r="J288" s="40" t="inlineStr">
        <is>
          <t>Sampled, periodic</t>
        </is>
      </c>
      <c r="K288" s="42" t="inlineStr">
        <is>
          <t>Design/Governance</t>
        </is>
      </c>
      <c r="L288" s="42" t="inlineStr">
        <is>
          <t>Not assessed</t>
        </is>
      </c>
      <c r="M288" s="40" t="n"/>
      <c r="N288" s="40" t="n"/>
      <c r="O288" s="42" t="inlineStr">
        <is>
          <t>High</t>
        </is>
      </c>
      <c r="P288" s="43">
        <f>IF(H288="N/A","N/A",INDEX(CRIT_MATRIX,MATCH(O288,CRIT_MATRIX_ROWS,0),MATCH(APP_RISK_TIER,CRIT_MATRIX_COLS,0)))</f>
        <v/>
      </c>
      <c r="Q288" s="40" t="n"/>
      <c r="R288" s="40" cm="1">
        <f t="array" ref="R288">COUNTIFS(tblThreatControls[Control ID],$A288,tblThreatControls[Threat applies],"Applies")</f>
        <v/>
      </c>
      <c r="S288" s="40" cm="1">
        <f t="array" ref="S288">IF(R288=0,"",INDEX(RISK_SCALE_NAMES,_xlfn.MAXIFS(tblThreatControls[Threat risk score],tblThreatControls[Control ID],$A288)))</f>
        <v/>
      </c>
      <c r="T288" s="40" cm="1">
        <f t="array" ref="T288">IF(AND(H288="Applicable",OR(L288="Not assessed",L288=""),R288&gt;0),"Yes","No")</f>
        <v/>
      </c>
      <c r="U288" s="40" cm="1">
        <f t="array" ref="U288">IF(AND(H288="Applicable",OR(L288="Gap",L288="Partial coverage")),INDEX(RISK_SCALE_NAMES,MAX(IFERROR(MATCH(P288,RISK_SCALE_NAMES,0),1),IFERROR(MATCH(S288,RISK_SCALE_NAMES,0),0))),"")</f>
        <v/>
      </c>
      <c r="V288" s="40" cm="1">
        <f t="array" ref="V288">_xlfn.TEXTJOIN("; ",TRUE,_xlfn._xlws.FILTER(tblThreatControls[Threat ID],(tblThreatControls[Control ID]=$A288)*(tblThreatControls[Threat applies]="Applies"),""))</f>
        <v/>
      </c>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0" t="inlineStr">
        <is>
          <t>SAST + architecture review</t>
        </is>
      </c>
      <c r="J289" s="40" t="inlineStr">
        <is>
          <t>Mixed</t>
        </is>
      </c>
      <c r="K289" s="42" t="inlineStr">
        <is>
          <t>Design/Pipeline</t>
        </is>
      </c>
      <c r="L289" s="42" t="inlineStr">
        <is>
          <t>Not assessed</t>
        </is>
      </c>
      <c r="M289" s="40" t="n"/>
      <c r="N289" s="40" t="n"/>
      <c r="O289" s="42" t="inlineStr">
        <is>
          <t>High</t>
        </is>
      </c>
      <c r="P289" s="43">
        <f>IF(H289="N/A","N/A",INDEX(CRIT_MATRIX,MATCH(O289,CRIT_MATRIX_ROWS,0),MATCH(APP_RISK_TIER,CRIT_MATRIX_COLS,0)))</f>
        <v/>
      </c>
      <c r="Q289" s="40" t="n"/>
      <c r="R289" s="40" cm="1">
        <f t="array" ref="R289">COUNTIFS(tblThreatControls[Control ID],$A289,tblThreatControls[Threat applies],"Applies")</f>
        <v/>
      </c>
      <c r="S289" s="40" cm="1">
        <f t="array" ref="S289">IF(R289=0,"",INDEX(RISK_SCALE_NAMES,_xlfn.MAXIFS(tblThreatControls[Threat risk score],tblThreatControls[Control ID],$A289)))</f>
        <v/>
      </c>
      <c r="T289" s="40" cm="1">
        <f t="array" ref="T289">IF(AND(H289="Applicable",OR(L289="Not assessed",L289=""),R289&gt;0),"Yes","No")</f>
        <v/>
      </c>
      <c r="U289" s="40" cm="1">
        <f t="array" ref="U289">IF(AND(H289="Applicable",OR(L289="Gap",L289="Partial coverage")),INDEX(RISK_SCALE_NAMES,MAX(IFERROR(MATCH(P289,RISK_SCALE_NAMES,0),1),IFERROR(MATCH(S289,RISK_SCALE_NAMES,0),0))),"")</f>
        <v/>
      </c>
      <c r="V289" s="40" cm="1">
        <f t="array" ref="V289">_xlfn.TEXTJOIN("; ",TRUE,_xlfn._xlws.FILTER(tblThreatControls[Threat ID],(tblThreatControls[Control ID]=$A289)*(tblThreatControls[Threat applies]="Applies"),""))</f>
        <v/>
      </c>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0" t="inlineStr">
        <is>
          <t>SAST + architecture review</t>
        </is>
      </c>
      <c r="J290" s="40" t="inlineStr">
        <is>
          <t>Mixed</t>
        </is>
      </c>
      <c r="K290" s="42" t="inlineStr">
        <is>
          <t>Design/Pipeline</t>
        </is>
      </c>
      <c r="L290" s="42" t="inlineStr">
        <is>
          <t>Not assessed</t>
        </is>
      </c>
      <c r="M290" s="40" t="n"/>
      <c r="N290" s="40" t="n"/>
      <c r="O290" s="42" t="inlineStr">
        <is>
          <t>High</t>
        </is>
      </c>
      <c r="P290" s="43">
        <f>IF(H290="N/A","N/A",INDEX(CRIT_MATRIX,MATCH(O290,CRIT_MATRIX_ROWS,0),MATCH(APP_RISK_TIER,CRIT_MATRIX_COLS,0)))</f>
        <v/>
      </c>
      <c r="Q290" s="40" t="n"/>
      <c r="R290" s="40" cm="1">
        <f t="array" ref="R290">COUNTIFS(tblThreatControls[Control ID],$A290,tblThreatControls[Threat applies],"Applies")</f>
        <v/>
      </c>
      <c r="S290" s="40" cm="1">
        <f t="array" ref="S290">IF(R290=0,"",INDEX(RISK_SCALE_NAMES,_xlfn.MAXIFS(tblThreatControls[Threat risk score],tblThreatControls[Control ID],$A290)))</f>
        <v/>
      </c>
      <c r="T290" s="40" cm="1">
        <f t="array" ref="T290">IF(AND(H290="Applicable",OR(L290="Not assessed",L290=""),R290&gt;0),"Yes","No")</f>
        <v/>
      </c>
      <c r="U290" s="40" cm="1">
        <f t="array" ref="U290">IF(AND(H290="Applicable",OR(L290="Gap",L290="Partial coverage")),INDEX(RISK_SCALE_NAMES,MAX(IFERROR(MATCH(P290,RISK_SCALE_NAMES,0),1),IFERROR(MATCH(S290,RISK_SCALE_NAMES,0),0))),"")</f>
        <v/>
      </c>
      <c r="V290" s="40" cm="1">
        <f t="array" ref="V290">_xlfn.TEXTJOIN("; ",TRUE,_xlfn._xlws.FILTER(tblThreatControls[Threat ID],(tblThreatControls[Control ID]=$A290)*(tblThreatControls[Threat applies]="Applies"),""))</f>
        <v/>
      </c>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0" t="inlineStr">
        <is>
          <t>SAST + architecture review</t>
        </is>
      </c>
      <c r="J291" s="40" t="inlineStr">
        <is>
          <t>Mixed</t>
        </is>
      </c>
      <c r="K291" s="42" t="inlineStr">
        <is>
          <t>Design/Pipeline</t>
        </is>
      </c>
      <c r="L291" s="42" t="inlineStr">
        <is>
          <t>Not assessed</t>
        </is>
      </c>
      <c r="M291" s="40" t="n"/>
      <c r="N291" s="40" t="n"/>
      <c r="O291" s="42" t="inlineStr">
        <is>
          <t>High</t>
        </is>
      </c>
      <c r="P291" s="43">
        <f>IF(H291="N/A","N/A",INDEX(CRIT_MATRIX,MATCH(O291,CRIT_MATRIX_ROWS,0),MATCH(APP_RISK_TIER,CRIT_MATRIX_COLS,0)))</f>
        <v/>
      </c>
      <c r="Q291" s="40" t="n"/>
      <c r="R291" s="40" cm="1">
        <f t="array" ref="R291">COUNTIFS(tblThreatControls[Control ID],$A291,tblThreatControls[Threat applies],"Applies")</f>
        <v/>
      </c>
      <c r="S291" s="40" cm="1">
        <f t="array" ref="S291">IF(R291=0,"",INDEX(RISK_SCALE_NAMES,_xlfn.MAXIFS(tblThreatControls[Threat risk score],tblThreatControls[Control ID],$A291)))</f>
        <v/>
      </c>
      <c r="T291" s="40" cm="1">
        <f t="array" ref="T291">IF(AND(H291="Applicable",OR(L291="Not assessed",L291=""),R291&gt;0),"Yes","No")</f>
        <v/>
      </c>
      <c r="U291" s="40" cm="1">
        <f t="array" ref="U291">IF(AND(H291="Applicable",OR(L291="Gap",L291="Partial coverage")),INDEX(RISK_SCALE_NAMES,MAX(IFERROR(MATCH(P291,RISK_SCALE_NAMES,0),1),IFERROR(MATCH(S291,RISK_SCALE_NAMES,0),0))),"")</f>
        <v/>
      </c>
      <c r="V291" s="40" cm="1">
        <f t="array" ref="V291">_xlfn.TEXTJOIN("; ",TRUE,_xlfn._xlws.FILTER(tblThreatControls[Threat ID],(tblThreatControls[Control ID]=$A291)*(tblThreatControls[Threat applies]="Applies"),""))</f>
        <v/>
      </c>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0" t="inlineStr">
        <is>
          <t>SAST + architecture review</t>
        </is>
      </c>
      <c r="J292" s="40" t="inlineStr">
        <is>
          <t>Mixed</t>
        </is>
      </c>
      <c r="K292" s="42" t="inlineStr">
        <is>
          <t>Design/Pipeline</t>
        </is>
      </c>
      <c r="L292" s="42" t="inlineStr">
        <is>
          <t>Not assessed</t>
        </is>
      </c>
      <c r="M292" s="40" t="n"/>
      <c r="N292" s="40" t="n"/>
      <c r="O292" s="42" t="inlineStr">
        <is>
          <t>High</t>
        </is>
      </c>
      <c r="P292" s="43">
        <f>IF(H292="N/A","N/A",INDEX(CRIT_MATRIX,MATCH(O292,CRIT_MATRIX_ROWS,0),MATCH(APP_RISK_TIER,CRIT_MATRIX_COLS,0)))</f>
        <v/>
      </c>
      <c r="Q292" s="40" t="n"/>
      <c r="R292" s="40" cm="1">
        <f t="array" ref="R292">COUNTIFS(tblThreatControls[Control ID],$A292,tblThreatControls[Threat applies],"Applies")</f>
        <v/>
      </c>
      <c r="S292" s="40" cm="1">
        <f t="array" ref="S292">IF(R292=0,"",INDEX(RISK_SCALE_NAMES,_xlfn.MAXIFS(tblThreatControls[Threat risk score],tblThreatControls[Control ID],$A292)))</f>
        <v/>
      </c>
      <c r="T292" s="40" cm="1">
        <f t="array" ref="T292">IF(AND(H292="Applicable",OR(L292="Not assessed",L292=""),R292&gt;0),"Yes","No")</f>
        <v/>
      </c>
      <c r="U292" s="40" cm="1">
        <f t="array" ref="U292">IF(AND(H292="Applicable",OR(L292="Gap",L292="Partial coverage")),INDEX(RISK_SCALE_NAMES,MAX(IFERROR(MATCH(P292,RISK_SCALE_NAMES,0),1),IFERROR(MATCH(S292,RISK_SCALE_NAMES,0),0))),"")</f>
        <v/>
      </c>
      <c r="V292" s="40" cm="1">
        <f t="array" ref="V292">_xlfn.TEXTJOIN("; ",TRUE,_xlfn._xlws.FILTER(tblThreatControls[Threat ID],(tblThreatControls[Control ID]=$A292)*(tblThreatControls[Threat applies]="Applies"),""))</f>
        <v/>
      </c>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0" t="inlineStr">
        <is>
          <t>SAST + architecture review</t>
        </is>
      </c>
      <c r="J293" s="40" t="inlineStr">
        <is>
          <t>Mixed</t>
        </is>
      </c>
      <c r="K293" s="42" t="inlineStr">
        <is>
          <t>Design/Pipeline</t>
        </is>
      </c>
      <c r="L293" s="42" t="inlineStr">
        <is>
          <t>Not assessed</t>
        </is>
      </c>
      <c r="M293" s="40" t="n"/>
      <c r="N293" s="40" t="n"/>
      <c r="O293" s="42" t="inlineStr">
        <is>
          <t>High</t>
        </is>
      </c>
      <c r="P293" s="43">
        <f>IF(H293="N/A","N/A",INDEX(CRIT_MATRIX,MATCH(O293,CRIT_MATRIX_ROWS,0),MATCH(APP_RISK_TIER,CRIT_MATRIX_COLS,0)))</f>
        <v/>
      </c>
      <c r="Q293" s="40" t="n"/>
      <c r="R293" s="40" cm="1">
        <f t="array" ref="R293">COUNTIFS(tblThreatControls[Control ID],$A293,tblThreatControls[Threat applies],"Applies")</f>
        <v/>
      </c>
      <c r="S293" s="40" cm="1">
        <f t="array" ref="S293">IF(R293=0,"",INDEX(RISK_SCALE_NAMES,_xlfn.MAXIFS(tblThreatControls[Threat risk score],tblThreatControls[Control ID],$A293)))</f>
        <v/>
      </c>
      <c r="T293" s="40" cm="1">
        <f t="array" ref="T293">IF(AND(H293="Applicable",OR(L293="Not assessed",L293=""),R293&gt;0),"Yes","No")</f>
        <v/>
      </c>
      <c r="U293" s="40" cm="1">
        <f t="array" ref="U293">IF(AND(H293="Applicable",OR(L293="Gap",L293="Partial coverage")),INDEX(RISK_SCALE_NAMES,MAX(IFERROR(MATCH(P293,RISK_SCALE_NAMES,0),1),IFERROR(MATCH(S293,RISK_SCALE_NAMES,0),0))),"")</f>
        <v/>
      </c>
      <c r="V293" s="40" cm="1">
        <f t="array" ref="V293">_xlfn.TEXTJOIN("; ",TRUE,_xlfn._xlws.FILTER(tblThreatControls[Threat ID],(tblThreatControls[Control ID]=$A293)*(tblThreatControls[Threat applies]="Applies"),""))</f>
        <v/>
      </c>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0" t="inlineStr">
        <is>
          <t>SAST + architecture review</t>
        </is>
      </c>
      <c r="J294" s="40" t="inlineStr">
        <is>
          <t>Mixed</t>
        </is>
      </c>
      <c r="K294" s="42" t="inlineStr">
        <is>
          <t>Design/Pipeline</t>
        </is>
      </c>
      <c r="L294" s="42" t="inlineStr">
        <is>
          <t>Not assessed</t>
        </is>
      </c>
      <c r="M294" s="40" t="n"/>
      <c r="N294" s="40" t="n"/>
      <c r="O294" s="42" t="inlineStr">
        <is>
          <t>High</t>
        </is>
      </c>
      <c r="P294" s="43">
        <f>IF(H294="N/A","N/A",INDEX(CRIT_MATRIX,MATCH(O294,CRIT_MATRIX_ROWS,0),MATCH(APP_RISK_TIER,CRIT_MATRIX_COLS,0)))</f>
        <v/>
      </c>
      <c r="Q294" s="40" t="n"/>
      <c r="R294" s="40" cm="1">
        <f t="array" ref="R294">COUNTIFS(tblThreatControls[Control ID],$A294,tblThreatControls[Threat applies],"Applies")</f>
        <v/>
      </c>
      <c r="S294" s="40" cm="1">
        <f t="array" ref="S294">IF(R294=0,"",INDEX(RISK_SCALE_NAMES,_xlfn.MAXIFS(tblThreatControls[Threat risk score],tblThreatControls[Control ID],$A294)))</f>
        <v/>
      </c>
      <c r="T294" s="40" cm="1">
        <f t="array" ref="T294">IF(AND(H294="Applicable",OR(L294="Not assessed",L294=""),R294&gt;0),"Yes","No")</f>
        <v/>
      </c>
      <c r="U294" s="40" cm="1">
        <f t="array" ref="U294">IF(AND(H294="Applicable",OR(L294="Gap",L294="Partial coverage")),INDEX(RISK_SCALE_NAMES,MAX(IFERROR(MATCH(P294,RISK_SCALE_NAMES,0),1),IFERROR(MATCH(S294,RISK_SCALE_NAMES,0),0))),"")</f>
        <v/>
      </c>
      <c r="V294" s="40" cm="1">
        <f t="array" ref="V294">_xlfn.TEXTJOIN("; ",TRUE,_xlfn._xlws.FILTER(tblThreatControls[Threat ID],(tblThreatControls[Control ID]=$A294)*(tblThreatControls[Threat applies]="Applies"),""))</f>
        <v/>
      </c>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0" t="inlineStr">
        <is>
          <t>SAST + architecture review</t>
        </is>
      </c>
      <c r="J295" s="40" t="inlineStr">
        <is>
          <t>Mixed</t>
        </is>
      </c>
      <c r="K295" s="42" t="inlineStr">
        <is>
          <t>Design/Pipeline</t>
        </is>
      </c>
      <c r="L295" s="42" t="inlineStr">
        <is>
          <t>Not assessed</t>
        </is>
      </c>
      <c r="M295" s="40" t="n"/>
      <c r="N295" s="40" t="n"/>
      <c r="O295" s="42" t="inlineStr">
        <is>
          <t>High</t>
        </is>
      </c>
      <c r="P295" s="43">
        <f>IF(H295="N/A","N/A",INDEX(CRIT_MATRIX,MATCH(O295,CRIT_MATRIX_ROWS,0),MATCH(APP_RISK_TIER,CRIT_MATRIX_COLS,0)))</f>
        <v/>
      </c>
      <c r="Q295" s="40" t="n"/>
      <c r="R295" s="40" cm="1">
        <f t="array" ref="R295">COUNTIFS(tblThreatControls[Control ID],$A295,tblThreatControls[Threat applies],"Applies")</f>
        <v/>
      </c>
      <c r="S295" s="40" cm="1">
        <f t="array" ref="S295">IF(R295=0,"",INDEX(RISK_SCALE_NAMES,_xlfn.MAXIFS(tblThreatControls[Threat risk score],tblThreatControls[Control ID],$A295)))</f>
        <v/>
      </c>
      <c r="T295" s="40" cm="1">
        <f t="array" ref="T295">IF(AND(H295="Applicable",OR(L295="Not assessed",L295=""),R295&gt;0),"Yes","No")</f>
        <v/>
      </c>
      <c r="U295" s="40" cm="1">
        <f t="array" ref="U295">IF(AND(H295="Applicable",OR(L295="Gap",L295="Partial coverage")),INDEX(RISK_SCALE_NAMES,MAX(IFERROR(MATCH(P295,RISK_SCALE_NAMES,0),1),IFERROR(MATCH(S295,RISK_SCALE_NAMES,0),0))),"")</f>
        <v/>
      </c>
      <c r="V295" s="40" cm="1">
        <f t="array" ref="V295">_xlfn.TEXTJOIN("; ",TRUE,_xlfn._xlws.FILTER(tblThreatControls[Threat ID],(tblThreatControls[Control ID]=$A295)*(tblThreatControls[Threat applies]="Applies"),""))</f>
        <v/>
      </c>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0" t="inlineStr">
        <is>
          <t>SAST + architecture review</t>
        </is>
      </c>
      <c r="J296" s="40" t="inlineStr">
        <is>
          <t>Mixed</t>
        </is>
      </c>
      <c r="K296" s="42" t="inlineStr">
        <is>
          <t>Design/Pipeline</t>
        </is>
      </c>
      <c r="L296" s="42" t="inlineStr">
        <is>
          <t>Not assessed</t>
        </is>
      </c>
      <c r="M296" s="40" t="n"/>
      <c r="N296" s="40" t="n"/>
      <c r="O296" s="42" t="inlineStr">
        <is>
          <t>High</t>
        </is>
      </c>
      <c r="P296" s="43">
        <f>IF(H296="N/A","N/A",INDEX(CRIT_MATRIX,MATCH(O296,CRIT_MATRIX_ROWS,0),MATCH(APP_RISK_TIER,CRIT_MATRIX_COLS,0)))</f>
        <v/>
      </c>
      <c r="Q296" s="40" t="n"/>
      <c r="R296" s="40" cm="1">
        <f t="array" ref="R296">COUNTIFS(tblThreatControls[Control ID],$A296,tblThreatControls[Threat applies],"Applies")</f>
        <v/>
      </c>
      <c r="S296" s="40" cm="1">
        <f t="array" ref="S296">IF(R296=0,"",INDEX(RISK_SCALE_NAMES,_xlfn.MAXIFS(tblThreatControls[Threat risk score],tblThreatControls[Control ID],$A296)))</f>
        <v/>
      </c>
      <c r="T296" s="40" cm="1">
        <f t="array" ref="T296">IF(AND(H296="Applicable",OR(L296="Not assessed",L296=""),R296&gt;0),"Yes","No")</f>
        <v/>
      </c>
      <c r="U296" s="40" cm="1">
        <f t="array" ref="U296">IF(AND(H296="Applicable",OR(L296="Gap",L296="Partial coverage")),INDEX(RISK_SCALE_NAMES,MAX(IFERROR(MATCH(P296,RISK_SCALE_NAMES,0),1),IFERROR(MATCH(S296,RISK_SCALE_NAMES,0),0))),"")</f>
        <v/>
      </c>
      <c r="V296" s="40" cm="1">
        <f t="array" ref="V296">_xlfn.TEXTJOIN("; ",TRUE,_xlfn._xlws.FILTER(tblThreatControls[Threat ID],(tblThreatControls[Control ID]=$A296)*(tblThreatControls[Threat applies]="Applies"),""))</f>
        <v/>
      </c>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0" t="inlineStr">
        <is>
          <t>SAST + architecture review</t>
        </is>
      </c>
      <c r="J297" s="40" t="inlineStr">
        <is>
          <t>Mixed</t>
        </is>
      </c>
      <c r="K297" s="42" t="inlineStr">
        <is>
          <t>Design/Pipeline</t>
        </is>
      </c>
      <c r="L297" s="42" t="inlineStr">
        <is>
          <t>Not assessed</t>
        </is>
      </c>
      <c r="M297" s="40" t="n"/>
      <c r="N297" s="40" t="n"/>
      <c r="O297" s="42" t="inlineStr">
        <is>
          <t>High</t>
        </is>
      </c>
      <c r="P297" s="43">
        <f>IF(H297="N/A","N/A",INDEX(CRIT_MATRIX,MATCH(O297,CRIT_MATRIX_ROWS,0),MATCH(APP_RISK_TIER,CRIT_MATRIX_COLS,0)))</f>
        <v/>
      </c>
      <c r="Q297" s="40" t="n"/>
      <c r="R297" s="40" cm="1">
        <f t="array" ref="R297">COUNTIFS(tblThreatControls[Control ID],$A297,tblThreatControls[Threat applies],"Applies")</f>
        <v/>
      </c>
      <c r="S297" s="40" cm="1">
        <f t="array" ref="S297">IF(R297=0,"",INDEX(RISK_SCALE_NAMES,_xlfn.MAXIFS(tblThreatControls[Threat risk score],tblThreatControls[Control ID],$A297)))</f>
        <v/>
      </c>
      <c r="T297" s="40" cm="1">
        <f t="array" ref="T297">IF(AND(H297="Applicable",OR(L297="Not assessed",L297=""),R297&gt;0),"Yes","No")</f>
        <v/>
      </c>
      <c r="U297" s="40" cm="1">
        <f t="array" ref="U297">IF(AND(H297="Applicable",OR(L297="Gap",L297="Partial coverage")),INDEX(RISK_SCALE_NAMES,MAX(IFERROR(MATCH(P297,RISK_SCALE_NAMES,0),1),IFERROR(MATCH(S297,RISK_SCALE_NAMES,0),0))),"")</f>
        <v/>
      </c>
      <c r="V297" s="40" cm="1">
        <f t="array" ref="V297">_xlfn.TEXTJOIN("; ",TRUE,_xlfn._xlws.FILTER(tblThreatControls[Threat ID],(tblThreatControls[Control ID]=$A297)*(tblThreatControls[Threat applies]="Applies"),""))</f>
        <v/>
      </c>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0" t="inlineStr">
        <is>
          <t>SAST + architecture review</t>
        </is>
      </c>
      <c r="J298" s="40" t="inlineStr">
        <is>
          <t>Mixed</t>
        </is>
      </c>
      <c r="K298" s="42" t="inlineStr">
        <is>
          <t>Design/Pipeline</t>
        </is>
      </c>
      <c r="L298" s="42" t="inlineStr">
        <is>
          <t>Not assessed</t>
        </is>
      </c>
      <c r="M298" s="40" t="n"/>
      <c r="N298" s="40" t="n"/>
      <c r="O298" s="42" t="inlineStr">
        <is>
          <t>High</t>
        </is>
      </c>
      <c r="P298" s="43">
        <f>IF(H298="N/A","N/A",INDEX(CRIT_MATRIX,MATCH(O298,CRIT_MATRIX_ROWS,0),MATCH(APP_RISK_TIER,CRIT_MATRIX_COLS,0)))</f>
        <v/>
      </c>
      <c r="Q298" s="40" t="n"/>
      <c r="R298" s="40" cm="1">
        <f t="array" ref="R298">COUNTIFS(tblThreatControls[Control ID],$A298,tblThreatControls[Threat applies],"Applies")</f>
        <v/>
      </c>
      <c r="S298" s="40" cm="1">
        <f t="array" ref="S298">IF(R298=0,"",INDEX(RISK_SCALE_NAMES,_xlfn.MAXIFS(tblThreatControls[Threat risk score],tblThreatControls[Control ID],$A298)))</f>
        <v/>
      </c>
      <c r="T298" s="40" cm="1">
        <f t="array" ref="T298">IF(AND(H298="Applicable",OR(L298="Not assessed",L298=""),R298&gt;0),"Yes","No")</f>
        <v/>
      </c>
      <c r="U298" s="40" cm="1">
        <f t="array" ref="U298">IF(AND(H298="Applicable",OR(L298="Gap",L298="Partial coverage")),INDEX(RISK_SCALE_NAMES,MAX(IFERROR(MATCH(P298,RISK_SCALE_NAMES,0),1),IFERROR(MATCH(S298,RISK_SCALE_NAMES,0),0))),"")</f>
        <v/>
      </c>
      <c r="V298" s="40" cm="1">
        <f t="array" ref="V298">_xlfn.TEXTJOIN("; ",TRUE,_xlfn._xlws.FILTER(tblThreatControls[Threat ID],(tblThreatControls[Control ID]=$A298)*(tblThreatControls[Threat applies]="Applies"),""))</f>
        <v/>
      </c>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0" t="inlineStr">
        <is>
          <t>SAST + architecture review</t>
        </is>
      </c>
      <c r="J299" s="40" t="inlineStr">
        <is>
          <t>Mixed</t>
        </is>
      </c>
      <c r="K299" s="42" t="inlineStr">
        <is>
          <t>Design/Pipeline</t>
        </is>
      </c>
      <c r="L299" s="42" t="inlineStr">
        <is>
          <t>Not assessed</t>
        </is>
      </c>
      <c r="M299" s="40" t="n"/>
      <c r="N299" s="40" t="n"/>
      <c r="O299" s="42" t="inlineStr">
        <is>
          <t>High</t>
        </is>
      </c>
      <c r="P299" s="43">
        <f>IF(H299="N/A","N/A",INDEX(CRIT_MATRIX,MATCH(O299,CRIT_MATRIX_ROWS,0),MATCH(APP_RISK_TIER,CRIT_MATRIX_COLS,0)))</f>
        <v/>
      </c>
      <c r="Q299" s="40" t="n"/>
      <c r="R299" s="40" cm="1">
        <f t="array" ref="R299">COUNTIFS(tblThreatControls[Control ID],$A299,tblThreatControls[Threat applies],"Applies")</f>
        <v/>
      </c>
      <c r="S299" s="40" cm="1">
        <f t="array" ref="S299">IF(R299=0,"",INDEX(RISK_SCALE_NAMES,_xlfn.MAXIFS(tblThreatControls[Threat risk score],tblThreatControls[Control ID],$A299)))</f>
        <v/>
      </c>
      <c r="T299" s="40" cm="1">
        <f t="array" ref="T299">IF(AND(H299="Applicable",OR(L299="Not assessed",L299=""),R299&gt;0),"Yes","No")</f>
        <v/>
      </c>
      <c r="U299" s="40" cm="1">
        <f t="array" ref="U299">IF(AND(H299="Applicable",OR(L299="Gap",L299="Partial coverage")),INDEX(RISK_SCALE_NAMES,MAX(IFERROR(MATCH(P299,RISK_SCALE_NAMES,0),1),IFERROR(MATCH(S299,RISK_SCALE_NAMES,0),0))),"")</f>
        <v/>
      </c>
      <c r="V299" s="40" cm="1">
        <f t="array" ref="V299">_xlfn.TEXTJOIN("; ",TRUE,_xlfn._xlws.FILTER(tblThreatControls[Threat ID],(tblThreatControls[Control ID]=$A299)*(tblThreatControls[Threat applies]="Applies"),""))</f>
        <v/>
      </c>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0" t="inlineStr">
        <is>
          <t>Architecture / documentation review</t>
        </is>
      </c>
      <c r="J300" s="40" t="inlineStr">
        <is>
          <t>Sampled, periodic</t>
        </is>
      </c>
      <c r="K300" s="42" t="inlineStr">
        <is>
          <t>Design/Governance</t>
        </is>
      </c>
      <c r="L300" s="42" t="inlineStr">
        <is>
          <t>Not assessed</t>
        </is>
      </c>
      <c r="M300" s="40" t="n"/>
      <c r="N300" s="40" t="n"/>
      <c r="O300" s="42" t="inlineStr">
        <is>
          <t>Medium</t>
        </is>
      </c>
      <c r="P300" s="43">
        <f>IF(H300="N/A","N/A",INDEX(CRIT_MATRIX,MATCH(O300,CRIT_MATRIX_ROWS,0),MATCH(APP_RISK_TIER,CRIT_MATRIX_COLS,0)))</f>
        <v/>
      </c>
      <c r="Q300" s="40" t="n"/>
      <c r="R300" s="40" cm="1">
        <f t="array" ref="R300">COUNTIFS(tblThreatControls[Control ID],$A300,tblThreatControls[Threat applies],"Applies")</f>
        <v/>
      </c>
      <c r="S300" s="40" cm="1">
        <f t="array" ref="S300">IF(R300=0,"",INDEX(RISK_SCALE_NAMES,_xlfn.MAXIFS(tblThreatControls[Threat risk score],tblThreatControls[Control ID],$A300)))</f>
        <v/>
      </c>
      <c r="T300" s="40" cm="1">
        <f t="array" ref="T300">IF(AND(H300="Applicable",OR(L300="Not assessed",L300=""),R300&gt;0),"Yes","No")</f>
        <v/>
      </c>
      <c r="U300" s="40" cm="1">
        <f t="array" ref="U300">IF(AND(H300="Applicable",OR(L300="Gap",L300="Partial coverage")),INDEX(RISK_SCALE_NAMES,MAX(IFERROR(MATCH(P300,RISK_SCALE_NAMES,0),1),IFERROR(MATCH(S300,RISK_SCALE_NAMES,0),0))),"")</f>
        <v/>
      </c>
      <c r="V300" s="40" cm="1">
        <f t="array" ref="V300">_xlfn.TEXTJOIN("; ",TRUE,_xlfn._xlws.FILTER(tblThreatControls[Threat ID],(tblThreatControls[Control ID]=$A300)*(tblThreatControls[Threat applies]="Applies"),""))</f>
        <v/>
      </c>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0" t="inlineStr">
        <is>
          <t>Architecture / documentation review</t>
        </is>
      </c>
      <c r="J301" s="40" t="inlineStr">
        <is>
          <t>Sampled, periodic</t>
        </is>
      </c>
      <c r="K301" s="42" t="inlineStr">
        <is>
          <t>Design/Governance</t>
        </is>
      </c>
      <c r="L301" s="42" t="inlineStr">
        <is>
          <t>Not assessed</t>
        </is>
      </c>
      <c r="M301" s="40" t="n"/>
      <c r="N301" s="40" t="n"/>
      <c r="O301" s="42" t="inlineStr">
        <is>
          <t>Medium</t>
        </is>
      </c>
      <c r="P301" s="43">
        <f>IF(H301="N/A","N/A",INDEX(CRIT_MATRIX,MATCH(O301,CRIT_MATRIX_ROWS,0),MATCH(APP_RISK_TIER,CRIT_MATRIX_COLS,0)))</f>
        <v/>
      </c>
      <c r="Q301" s="40" t="n"/>
      <c r="R301" s="40" cm="1">
        <f t="array" ref="R301">COUNTIFS(tblThreatControls[Control ID],$A301,tblThreatControls[Threat applies],"Applies")</f>
        <v/>
      </c>
      <c r="S301" s="40" cm="1">
        <f t="array" ref="S301">IF(R301=0,"",INDEX(RISK_SCALE_NAMES,_xlfn.MAXIFS(tblThreatControls[Threat risk score],tblThreatControls[Control ID],$A301)))</f>
        <v/>
      </c>
      <c r="T301" s="40" cm="1">
        <f t="array" ref="T301">IF(AND(H301="Applicable",OR(L301="Not assessed",L301=""),R301&gt;0),"Yes","No")</f>
        <v/>
      </c>
      <c r="U301" s="40" cm="1">
        <f t="array" ref="U301">IF(AND(H301="Applicable",OR(L301="Gap",L301="Partial coverage")),INDEX(RISK_SCALE_NAMES,MAX(IFERROR(MATCH(P301,RISK_SCALE_NAMES,0),1),IFERROR(MATCH(S301,RISK_SCALE_NAMES,0),0))),"")</f>
        <v/>
      </c>
      <c r="V301" s="40" cm="1">
        <f t="array" ref="V301">_xlfn.TEXTJOIN("; ",TRUE,_xlfn._xlws.FILTER(tblThreatControls[Threat ID],(tblThreatControls[Control ID]=$A301)*(tblThreatControls[Threat applies]="Applies"),""))</f>
        <v/>
      </c>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0" t="inlineStr">
        <is>
          <t>Architecture / documentation review</t>
        </is>
      </c>
      <c r="J302" s="40" t="inlineStr">
        <is>
          <t>Sampled, periodic</t>
        </is>
      </c>
      <c r="K302" s="42" t="inlineStr">
        <is>
          <t>Design/Governance</t>
        </is>
      </c>
      <c r="L302" s="42" t="inlineStr">
        <is>
          <t>Not assessed</t>
        </is>
      </c>
      <c r="M302" s="40" t="n"/>
      <c r="N302" s="40" t="n"/>
      <c r="O302" s="42" t="inlineStr">
        <is>
          <t>Medium</t>
        </is>
      </c>
      <c r="P302" s="43">
        <f>IF(H302="N/A","N/A",INDEX(CRIT_MATRIX,MATCH(O302,CRIT_MATRIX_ROWS,0),MATCH(APP_RISK_TIER,CRIT_MATRIX_COLS,0)))</f>
        <v/>
      </c>
      <c r="Q302" s="40" t="n"/>
      <c r="R302" s="40" cm="1">
        <f t="array" ref="R302">COUNTIFS(tblThreatControls[Control ID],$A302,tblThreatControls[Threat applies],"Applies")</f>
        <v/>
      </c>
      <c r="S302" s="40" cm="1">
        <f t="array" ref="S302">IF(R302=0,"",INDEX(RISK_SCALE_NAMES,_xlfn.MAXIFS(tblThreatControls[Threat risk score],tblThreatControls[Control ID],$A302)))</f>
        <v/>
      </c>
      <c r="T302" s="40" cm="1">
        <f t="array" ref="T302">IF(AND(H302="Applicable",OR(L302="Not assessed",L302=""),R302&gt;0),"Yes","No")</f>
        <v/>
      </c>
      <c r="U302" s="40" cm="1">
        <f t="array" ref="U302">IF(AND(H302="Applicable",OR(L302="Gap",L302="Partial coverage")),INDEX(RISK_SCALE_NAMES,MAX(IFERROR(MATCH(P302,RISK_SCALE_NAMES,0),1),IFERROR(MATCH(S302,RISK_SCALE_NAMES,0),0))),"")</f>
        <v/>
      </c>
      <c r="V302" s="40" cm="1">
        <f t="array" ref="V302">_xlfn.TEXTJOIN("; ",TRUE,_xlfn._xlws.FILTER(tblThreatControls[Threat ID],(tblThreatControls[Control ID]=$A302)*(tblThreatControls[Threat applies]="Applies"),""))</f>
        <v/>
      </c>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0" t="inlineStr">
        <is>
          <t>Architecture / documentation review</t>
        </is>
      </c>
      <c r="J303" s="40" t="inlineStr">
        <is>
          <t>Sampled, periodic</t>
        </is>
      </c>
      <c r="K303" s="42" t="inlineStr">
        <is>
          <t>Design/Governance</t>
        </is>
      </c>
      <c r="L303" s="42" t="inlineStr">
        <is>
          <t>Not assessed</t>
        </is>
      </c>
      <c r="M303" s="40" t="n"/>
      <c r="N303" s="40" t="n"/>
      <c r="O303" s="42" t="inlineStr">
        <is>
          <t>Medium</t>
        </is>
      </c>
      <c r="P303" s="43">
        <f>IF(H303="N/A","N/A",INDEX(CRIT_MATRIX,MATCH(O303,CRIT_MATRIX_ROWS,0),MATCH(APP_RISK_TIER,CRIT_MATRIX_COLS,0)))</f>
        <v/>
      </c>
      <c r="Q303" s="40" t="n"/>
      <c r="R303" s="40" cm="1">
        <f t="array" ref="R303">COUNTIFS(tblThreatControls[Control ID],$A303,tblThreatControls[Threat applies],"Applies")</f>
        <v/>
      </c>
      <c r="S303" s="40" cm="1">
        <f t="array" ref="S303">IF(R303=0,"",INDEX(RISK_SCALE_NAMES,_xlfn.MAXIFS(tblThreatControls[Threat risk score],tblThreatControls[Control ID],$A303)))</f>
        <v/>
      </c>
      <c r="T303" s="40" cm="1">
        <f t="array" ref="T303">IF(AND(H303="Applicable",OR(L303="Not assessed",L303=""),R303&gt;0),"Yes","No")</f>
        <v/>
      </c>
      <c r="U303" s="40" cm="1">
        <f t="array" ref="U303">IF(AND(H303="Applicable",OR(L303="Gap",L303="Partial coverage")),INDEX(RISK_SCALE_NAMES,MAX(IFERROR(MATCH(P303,RISK_SCALE_NAMES,0),1),IFERROR(MATCH(S303,RISK_SCALE_NAMES,0),0))),"")</f>
        <v/>
      </c>
      <c r="V303" s="40" cm="1">
        <f t="array" ref="V303">_xlfn.TEXTJOIN("; ",TRUE,_xlfn._xlws.FILTER(tblThreatControls[Threat ID],(tblThreatControls[Control ID]=$A303)*(tblThreatControls[Threat applies]="Applies"),""))</f>
        <v/>
      </c>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0" t="inlineStr">
        <is>
          <t>Architecture / documentation review</t>
        </is>
      </c>
      <c r="J304" s="40" t="inlineStr">
        <is>
          <t>Sampled, periodic</t>
        </is>
      </c>
      <c r="K304" s="42" t="inlineStr">
        <is>
          <t>Design/Governance</t>
        </is>
      </c>
      <c r="L304" s="42" t="inlineStr">
        <is>
          <t>Not assessed</t>
        </is>
      </c>
      <c r="M304" s="40" t="n"/>
      <c r="N304" s="40" t="n"/>
      <c r="O304" s="42" t="inlineStr">
        <is>
          <t>Medium</t>
        </is>
      </c>
      <c r="P304" s="43">
        <f>IF(H304="N/A","N/A",INDEX(CRIT_MATRIX,MATCH(O304,CRIT_MATRIX_ROWS,0),MATCH(APP_RISK_TIER,CRIT_MATRIX_COLS,0)))</f>
        <v/>
      </c>
      <c r="Q304" s="40" t="n"/>
      <c r="R304" s="40" cm="1">
        <f t="array" ref="R304">COUNTIFS(tblThreatControls[Control ID],$A304,tblThreatControls[Threat applies],"Applies")</f>
        <v/>
      </c>
      <c r="S304" s="40" cm="1">
        <f t="array" ref="S304">IF(R304=0,"",INDEX(RISK_SCALE_NAMES,_xlfn.MAXIFS(tblThreatControls[Threat risk score],tblThreatControls[Control ID],$A304)))</f>
        <v/>
      </c>
      <c r="T304" s="40" cm="1">
        <f t="array" ref="T304">IF(AND(H304="Applicable",OR(L304="Not assessed",L304=""),R304&gt;0),"Yes","No")</f>
        <v/>
      </c>
      <c r="U304" s="40" cm="1">
        <f t="array" ref="U304">IF(AND(H304="Applicable",OR(L304="Gap",L304="Partial coverage")),INDEX(RISK_SCALE_NAMES,MAX(IFERROR(MATCH(P304,RISK_SCALE_NAMES,0),1),IFERROR(MATCH(S304,RISK_SCALE_NAMES,0),0))),"")</f>
        <v/>
      </c>
      <c r="V304" s="40" cm="1">
        <f t="array" ref="V304">_xlfn.TEXTJOIN("; ",TRUE,_xlfn._xlws.FILTER(tblThreatControls[Threat ID],(tblThreatControls[Control ID]=$A304)*(tblThreatControls[Threat applies]="Applies"),""))</f>
        <v/>
      </c>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0" t="inlineStr">
        <is>
          <t>SCA + architecture review</t>
        </is>
      </c>
      <c r="J305" s="40" t="inlineStr">
        <is>
          <t>Deterministic, continuous</t>
        </is>
      </c>
      <c r="K305" s="42" t="inlineStr">
        <is>
          <t>Pipeline</t>
        </is>
      </c>
      <c r="L305" s="42" t="inlineStr">
        <is>
          <t>Not assessed</t>
        </is>
      </c>
      <c r="M305" s="40" t="n"/>
      <c r="N305" s="40" t="n"/>
      <c r="O305" s="42" t="inlineStr">
        <is>
          <t>Medium</t>
        </is>
      </c>
      <c r="P305" s="43">
        <f>IF(H305="N/A","N/A",INDEX(CRIT_MATRIX,MATCH(O305,CRIT_MATRIX_ROWS,0),MATCH(APP_RISK_TIER,CRIT_MATRIX_COLS,0)))</f>
        <v/>
      </c>
      <c r="Q305" s="40" t="n"/>
      <c r="R305" s="40" cm="1">
        <f t="array" ref="R305">COUNTIFS(tblThreatControls[Control ID],$A305,tblThreatControls[Threat applies],"Applies")</f>
        <v/>
      </c>
      <c r="S305" s="40" cm="1">
        <f t="array" ref="S305">IF(R305=0,"",INDEX(RISK_SCALE_NAMES,_xlfn.MAXIFS(tblThreatControls[Threat risk score],tblThreatControls[Control ID],$A305)))</f>
        <v/>
      </c>
      <c r="T305" s="40" cm="1">
        <f t="array" ref="T305">IF(AND(H305="Applicable",OR(L305="Not assessed",L305=""),R305&gt;0),"Yes","No")</f>
        <v/>
      </c>
      <c r="U305" s="40" cm="1">
        <f t="array" ref="U305">IF(AND(H305="Applicable",OR(L305="Gap",L305="Partial coverage")),INDEX(RISK_SCALE_NAMES,MAX(IFERROR(MATCH(P305,RISK_SCALE_NAMES,0),1),IFERROR(MATCH(S305,RISK_SCALE_NAMES,0),0))),"")</f>
        <v/>
      </c>
      <c r="V305" s="40" cm="1">
        <f t="array" ref="V305">_xlfn.TEXTJOIN("; ",TRUE,_xlfn._xlws.FILTER(tblThreatControls[Threat ID],(tblThreatControls[Control ID]=$A305)*(tblThreatControls[Threat applies]="Applies"),""))</f>
        <v/>
      </c>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0" t="inlineStr">
        <is>
          <t>SCA + architecture review</t>
        </is>
      </c>
      <c r="J306" s="40" t="inlineStr">
        <is>
          <t>Deterministic, continuous</t>
        </is>
      </c>
      <c r="K306" s="42" t="inlineStr">
        <is>
          <t>Pipeline</t>
        </is>
      </c>
      <c r="L306" s="42" t="inlineStr">
        <is>
          <t>Not assessed</t>
        </is>
      </c>
      <c r="M306" s="40" t="n"/>
      <c r="N306" s="40" t="n"/>
      <c r="O306" s="42" t="inlineStr">
        <is>
          <t>Medium</t>
        </is>
      </c>
      <c r="P306" s="43">
        <f>IF(H306="N/A","N/A",INDEX(CRIT_MATRIX,MATCH(O306,CRIT_MATRIX_ROWS,0),MATCH(APP_RISK_TIER,CRIT_MATRIX_COLS,0)))</f>
        <v/>
      </c>
      <c r="Q306" s="40" t="n"/>
      <c r="R306" s="40" cm="1">
        <f t="array" ref="R306">COUNTIFS(tblThreatControls[Control ID],$A306,tblThreatControls[Threat applies],"Applies")</f>
        <v/>
      </c>
      <c r="S306" s="40" cm="1">
        <f t="array" ref="S306">IF(R306=0,"",INDEX(RISK_SCALE_NAMES,_xlfn.MAXIFS(tblThreatControls[Threat risk score],tblThreatControls[Control ID],$A306)))</f>
        <v/>
      </c>
      <c r="T306" s="40" cm="1">
        <f t="array" ref="T306">IF(AND(H306="Applicable",OR(L306="Not assessed",L306=""),R306&gt;0),"Yes","No")</f>
        <v/>
      </c>
      <c r="U306" s="40" cm="1">
        <f t="array" ref="U306">IF(AND(H306="Applicable",OR(L306="Gap",L306="Partial coverage")),INDEX(RISK_SCALE_NAMES,MAX(IFERROR(MATCH(P306,RISK_SCALE_NAMES,0),1),IFERROR(MATCH(S306,RISK_SCALE_NAMES,0),0))),"")</f>
        <v/>
      </c>
      <c r="V306" s="40" cm="1">
        <f t="array" ref="V306">_xlfn.TEXTJOIN("; ",TRUE,_xlfn._xlws.FILTER(tblThreatControls[Threat ID],(tblThreatControls[Control ID]=$A306)*(tblThreatControls[Threat applies]="Applies"),""))</f>
        <v/>
      </c>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0" t="inlineStr">
        <is>
          <t>SCA + architecture review</t>
        </is>
      </c>
      <c r="J307" s="40" t="inlineStr">
        <is>
          <t>Deterministic, continuous</t>
        </is>
      </c>
      <c r="K307" s="42" t="inlineStr">
        <is>
          <t>Pipeline</t>
        </is>
      </c>
      <c r="L307" s="42" t="inlineStr">
        <is>
          <t>Not assessed</t>
        </is>
      </c>
      <c r="M307" s="40" t="n"/>
      <c r="N307" s="40" t="n"/>
      <c r="O307" s="42" t="inlineStr">
        <is>
          <t>Medium</t>
        </is>
      </c>
      <c r="P307" s="43">
        <f>IF(H307="N/A","N/A",INDEX(CRIT_MATRIX,MATCH(O307,CRIT_MATRIX_ROWS,0),MATCH(APP_RISK_TIER,CRIT_MATRIX_COLS,0)))</f>
        <v/>
      </c>
      <c r="Q307" s="40" t="n"/>
      <c r="R307" s="40" cm="1">
        <f t="array" ref="R307">COUNTIFS(tblThreatControls[Control ID],$A307,tblThreatControls[Threat applies],"Applies")</f>
        <v/>
      </c>
      <c r="S307" s="40" cm="1">
        <f t="array" ref="S307">IF(R307=0,"",INDEX(RISK_SCALE_NAMES,_xlfn.MAXIFS(tblThreatControls[Threat risk score],tblThreatControls[Control ID],$A307)))</f>
        <v/>
      </c>
      <c r="T307" s="40" cm="1">
        <f t="array" ref="T307">IF(AND(H307="Applicable",OR(L307="Not assessed",L307=""),R307&gt;0),"Yes","No")</f>
        <v/>
      </c>
      <c r="U307" s="40" cm="1">
        <f t="array" ref="U307">IF(AND(H307="Applicable",OR(L307="Gap",L307="Partial coverage")),INDEX(RISK_SCALE_NAMES,MAX(IFERROR(MATCH(P307,RISK_SCALE_NAMES,0),1),IFERROR(MATCH(S307,RISK_SCALE_NAMES,0),0))),"")</f>
        <v/>
      </c>
      <c r="V307" s="40" cm="1">
        <f t="array" ref="V307">_xlfn.TEXTJOIN("; ",TRUE,_xlfn._xlws.FILTER(tblThreatControls[Threat ID],(tblThreatControls[Control ID]=$A307)*(tblThreatControls[Threat applies]="Applies"),""))</f>
        <v/>
      </c>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0" t="inlineStr">
        <is>
          <t>SCA + architecture review</t>
        </is>
      </c>
      <c r="J308" s="40" t="inlineStr">
        <is>
          <t>Deterministic, continuous</t>
        </is>
      </c>
      <c r="K308" s="42" t="inlineStr">
        <is>
          <t>Pipeline</t>
        </is>
      </c>
      <c r="L308" s="42" t="inlineStr">
        <is>
          <t>Not assessed</t>
        </is>
      </c>
      <c r="M308" s="40" t="n"/>
      <c r="N308" s="40" t="n"/>
      <c r="O308" s="42" t="inlineStr">
        <is>
          <t>Medium</t>
        </is>
      </c>
      <c r="P308" s="43">
        <f>IF(H308="N/A","N/A",INDEX(CRIT_MATRIX,MATCH(O308,CRIT_MATRIX_ROWS,0),MATCH(APP_RISK_TIER,CRIT_MATRIX_COLS,0)))</f>
        <v/>
      </c>
      <c r="Q308" s="40" t="n"/>
      <c r="R308" s="40" cm="1">
        <f t="array" ref="R308">COUNTIFS(tblThreatControls[Control ID],$A308,tblThreatControls[Threat applies],"Applies")</f>
        <v/>
      </c>
      <c r="S308" s="40" cm="1">
        <f t="array" ref="S308">IF(R308=0,"",INDEX(RISK_SCALE_NAMES,_xlfn.MAXIFS(tblThreatControls[Threat risk score],tblThreatControls[Control ID],$A308)))</f>
        <v/>
      </c>
      <c r="T308" s="40" cm="1">
        <f t="array" ref="T308">IF(AND(H308="Applicable",OR(L308="Not assessed",L308=""),R308&gt;0),"Yes","No")</f>
        <v/>
      </c>
      <c r="U308" s="40" cm="1">
        <f t="array" ref="U308">IF(AND(H308="Applicable",OR(L308="Gap",L308="Partial coverage")),INDEX(RISK_SCALE_NAMES,MAX(IFERROR(MATCH(P308,RISK_SCALE_NAMES,0),1),IFERROR(MATCH(S308,RISK_SCALE_NAMES,0),0))),"")</f>
        <v/>
      </c>
      <c r="V308" s="40" cm="1">
        <f t="array" ref="V308">_xlfn.TEXTJOIN("; ",TRUE,_xlfn._xlws.FILTER(tblThreatControls[Threat ID],(tblThreatControls[Control ID]=$A308)*(tblThreatControls[Threat applies]="Applies"),""))</f>
        <v/>
      </c>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0" t="inlineStr">
        <is>
          <t>SCA + architecture review</t>
        </is>
      </c>
      <c r="J309" s="40" t="inlineStr">
        <is>
          <t>Deterministic, continuous</t>
        </is>
      </c>
      <c r="K309" s="42" t="inlineStr">
        <is>
          <t>Pipeline</t>
        </is>
      </c>
      <c r="L309" s="42" t="inlineStr">
        <is>
          <t>Not assessed</t>
        </is>
      </c>
      <c r="M309" s="40" t="n"/>
      <c r="N309" s="40" t="n"/>
      <c r="O309" s="42" t="inlineStr">
        <is>
          <t>Medium</t>
        </is>
      </c>
      <c r="P309" s="43">
        <f>IF(H309="N/A","N/A",INDEX(CRIT_MATRIX,MATCH(O309,CRIT_MATRIX_ROWS,0),MATCH(APP_RISK_TIER,CRIT_MATRIX_COLS,0)))</f>
        <v/>
      </c>
      <c r="Q309" s="40" t="n"/>
      <c r="R309" s="40" cm="1">
        <f t="array" ref="R309">COUNTIFS(tblThreatControls[Control ID],$A309,tblThreatControls[Threat applies],"Applies")</f>
        <v/>
      </c>
      <c r="S309" s="40" cm="1">
        <f t="array" ref="S309">IF(R309=0,"",INDEX(RISK_SCALE_NAMES,_xlfn.MAXIFS(tblThreatControls[Threat risk score],tblThreatControls[Control ID],$A309)))</f>
        <v/>
      </c>
      <c r="T309" s="40" cm="1">
        <f t="array" ref="T309">IF(AND(H309="Applicable",OR(L309="Not assessed",L309=""),R309&gt;0),"Yes","No")</f>
        <v/>
      </c>
      <c r="U309" s="40" cm="1">
        <f t="array" ref="U309">IF(AND(H309="Applicable",OR(L309="Gap",L309="Partial coverage")),INDEX(RISK_SCALE_NAMES,MAX(IFERROR(MATCH(P309,RISK_SCALE_NAMES,0),1),IFERROR(MATCH(S309,RISK_SCALE_NAMES,0),0))),"")</f>
        <v/>
      </c>
      <c r="V309" s="40" cm="1">
        <f t="array" ref="V309">_xlfn.TEXTJOIN("; ",TRUE,_xlfn._xlws.FILTER(tblThreatControls[Threat ID],(tblThreatControls[Control ID]=$A309)*(tblThreatControls[Threat applies]="Applies"),""))</f>
        <v/>
      </c>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0" t="inlineStr">
        <is>
          <t>SAST</t>
        </is>
      </c>
      <c r="J310" s="40" t="inlineStr">
        <is>
          <t>Deterministic, continuous</t>
        </is>
      </c>
      <c r="K310" s="42" t="inlineStr">
        <is>
          <t>Pipeline</t>
        </is>
      </c>
      <c r="L310" s="42" t="inlineStr">
        <is>
          <t>Not assessed</t>
        </is>
      </c>
      <c r="M310" s="40" t="n"/>
      <c r="N310" s="40" t="n"/>
      <c r="O310" s="42" t="inlineStr">
        <is>
          <t>Medium</t>
        </is>
      </c>
      <c r="P310" s="43">
        <f>IF(H310="N/A","N/A",INDEX(CRIT_MATRIX,MATCH(O310,CRIT_MATRIX_ROWS,0),MATCH(APP_RISK_TIER,CRIT_MATRIX_COLS,0)))</f>
        <v/>
      </c>
      <c r="Q310" s="40" t="n"/>
      <c r="R310" s="40" cm="1">
        <f t="array" ref="R310">COUNTIFS(tblThreatControls[Control ID],$A310,tblThreatControls[Threat applies],"Applies")</f>
        <v/>
      </c>
      <c r="S310" s="40" cm="1">
        <f t="array" ref="S310">IF(R310=0,"",INDEX(RISK_SCALE_NAMES,_xlfn.MAXIFS(tblThreatControls[Threat risk score],tblThreatControls[Control ID],$A310)))</f>
        <v/>
      </c>
      <c r="T310" s="40" cm="1">
        <f t="array" ref="T310">IF(AND(H310="Applicable",OR(L310="Not assessed",L310=""),R310&gt;0),"Yes","No")</f>
        <v/>
      </c>
      <c r="U310" s="40" cm="1">
        <f t="array" ref="U310">IF(AND(H310="Applicable",OR(L310="Gap",L310="Partial coverage")),INDEX(RISK_SCALE_NAMES,MAX(IFERROR(MATCH(P310,RISK_SCALE_NAMES,0),1),IFERROR(MATCH(S310,RISK_SCALE_NAMES,0),0))),"")</f>
        <v/>
      </c>
      <c r="V310" s="40" cm="1">
        <f t="array" ref="V310">_xlfn.TEXTJOIN("; ",TRUE,_xlfn._xlws.FILTER(tblThreatControls[Threat ID],(tblThreatControls[Control ID]=$A310)*(tblThreatControls[Threat applies]="Applies"),""))</f>
        <v/>
      </c>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0" t="inlineStr">
        <is>
          <t>SAST</t>
        </is>
      </c>
      <c r="J311" s="40" t="inlineStr">
        <is>
          <t>Deterministic, continuous</t>
        </is>
      </c>
      <c r="K311" s="42" t="inlineStr">
        <is>
          <t>Pipeline</t>
        </is>
      </c>
      <c r="L311" s="42" t="inlineStr">
        <is>
          <t>Not assessed</t>
        </is>
      </c>
      <c r="M311" s="40" t="n"/>
      <c r="N311" s="40" t="n"/>
      <c r="O311" s="42" t="inlineStr">
        <is>
          <t>Medium</t>
        </is>
      </c>
      <c r="P311" s="43">
        <f>IF(H311="N/A","N/A",INDEX(CRIT_MATRIX,MATCH(O311,CRIT_MATRIX_ROWS,0),MATCH(APP_RISK_TIER,CRIT_MATRIX_COLS,0)))</f>
        <v/>
      </c>
      <c r="Q311" s="40" t="n"/>
      <c r="R311" s="40" cm="1">
        <f t="array" ref="R311">COUNTIFS(tblThreatControls[Control ID],$A311,tblThreatControls[Threat applies],"Applies")</f>
        <v/>
      </c>
      <c r="S311" s="40" cm="1">
        <f t="array" ref="S311">IF(R311=0,"",INDEX(RISK_SCALE_NAMES,_xlfn.MAXIFS(tblThreatControls[Threat risk score],tblThreatControls[Control ID],$A311)))</f>
        <v/>
      </c>
      <c r="T311" s="40" cm="1">
        <f t="array" ref="T311">IF(AND(H311="Applicable",OR(L311="Not assessed",L311=""),R311&gt;0),"Yes","No")</f>
        <v/>
      </c>
      <c r="U311" s="40" cm="1">
        <f t="array" ref="U311">IF(AND(H311="Applicable",OR(L311="Gap",L311="Partial coverage")),INDEX(RISK_SCALE_NAMES,MAX(IFERROR(MATCH(P311,RISK_SCALE_NAMES,0),1),IFERROR(MATCH(S311,RISK_SCALE_NAMES,0),0))),"")</f>
        <v/>
      </c>
      <c r="V311" s="40" cm="1">
        <f t="array" ref="V311">_xlfn.TEXTJOIN("; ",TRUE,_xlfn._xlws.FILTER(tblThreatControls[Threat ID],(tblThreatControls[Control ID]=$A311)*(tblThreatControls[Threat applies]="Applies"),""))</f>
        <v/>
      </c>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0" t="inlineStr">
        <is>
          <t>SAST</t>
        </is>
      </c>
      <c r="J312" s="40" t="inlineStr">
        <is>
          <t>Deterministic, continuous</t>
        </is>
      </c>
      <c r="K312" s="42" t="inlineStr">
        <is>
          <t>Pipeline</t>
        </is>
      </c>
      <c r="L312" s="42" t="inlineStr">
        <is>
          <t>Not assessed</t>
        </is>
      </c>
      <c r="M312" s="40" t="n"/>
      <c r="N312" s="40" t="n"/>
      <c r="O312" s="42" t="inlineStr">
        <is>
          <t>Medium</t>
        </is>
      </c>
      <c r="P312" s="43">
        <f>IF(H312="N/A","N/A",INDEX(CRIT_MATRIX,MATCH(O312,CRIT_MATRIX_ROWS,0),MATCH(APP_RISK_TIER,CRIT_MATRIX_COLS,0)))</f>
        <v/>
      </c>
      <c r="Q312" s="40" t="n"/>
      <c r="R312" s="40" cm="1">
        <f t="array" ref="R312">COUNTIFS(tblThreatControls[Control ID],$A312,tblThreatControls[Threat applies],"Applies")</f>
        <v/>
      </c>
      <c r="S312" s="40" cm="1">
        <f t="array" ref="S312">IF(R312=0,"",INDEX(RISK_SCALE_NAMES,_xlfn.MAXIFS(tblThreatControls[Threat risk score],tblThreatControls[Control ID],$A312)))</f>
        <v/>
      </c>
      <c r="T312" s="40" cm="1">
        <f t="array" ref="T312">IF(AND(H312="Applicable",OR(L312="Not assessed",L312=""),R312&gt;0),"Yes","No")</f>
        <v/>
      </c>
      <c r="U312" s="40" cm="1">
        <f t="array" ref="U312">IF(AND(H312="Applicable",OR(L312="Gap",L312="Partial coverage")),INDEX(RISK_SCALE_NAMES,MAX(IFERROR(MATCH(P312,RISK_SCALE_NAMES,0),1),IFERROR(MATCH(S312,RISK_SCALE_NAMES,0),0))),"")</f>
        <v/>
      </c>
      <c r="V312" s="40" cm="1">
        <f t="array" ref="V312">_xlfn.TEXTJOIN("; ",TRUE,_xlfn._xlws.FILTER(tblThreatControls[Threat ID],(tblThreatControls[Control ID]=$A312)*(tblThreatControls[Threat applies]="Applies"),""))</f>
        <v/>
      </c>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0" t="inlineStr">
        <is>
          <t>SAST</t>
        </is>
      </c>
      <c r="J313" s="40" t="inlineStr">
        <is>
          <t>Deterministic, continuous</t>
        </is>
      </c>
      <c r="K313" s="42" t="inlineStr">
        <is>
          <t>Pipeline</t>
        </is>
      </c>
      <c r="L313" s="42" t="inlineStr">
        <is>
          <t>Not assessed</t>
        </is>
      </c>
      <c r="M313" s="40" t="n"/>
      <c r="N313" s="40" t="n"/>
      <c r="O313" s="42" t="inlineStr">
        <is>
          <t>Medium</t>
        </is>
      </c>
      <c r="P313" s="43">
        <f>IF(H313="N/A","N/A",INDEX(CRIT_MATRIX,MATCH(O313,CRIT_MATRIX_ROWS,0),MATCH(APP_RISK_TIER,CRIT_MATRIX_COLS,0)))</f>
        <v/>
      </c>
      <c r="Q313" s="40" t="n"/>
      <c r="R313" s="40" cm="1">
        <f t="array" ref="R313">COUNTIFS(tblThreatControls[Control ID],$A313,tblThreatControls[Threat applies],"Applies")</f>
        <v/>
      </c>
      <c r="S313" s="40" cm="1">
        <f t="array" ref="S313">IF(R313=0,"",INDEX(RISK_SCALE_NAMES,_xlfn.MAXIFS(tblThreatControls[Threat risk score],tblThreatControls[Control ID],$A313)))</f>
        <v/>
      </c>
      <c r="T313" s="40" cm="1">
        <f t="array" ref="T313">IF(AND(H313="Applicable",OR(L313="Not assessed",L313=""),R313&gt;0),"Yes","No")</f>
        <v/>
      </c>
      <c r="U313" s="40" cm="1">
        <f t="array" ref="U313">IF(AND(H313="Applicable",OR(L313="Gap",L313="Partial coverage")),INDEX(RISK_SCALE_NAMES,MAX(IFERROR(MATCH(P313,RISK_SCALE_NAMES,0),1),IFERROR(MATCH(S313,RISK_SCALE_NAMES,0),0))),"")</f>
        <v/>
      </c>
      <c r="V313" s="40" cm="1">
        <f t="array" ref="V313">_xlfn.TEXTJOIN("; ",TRUE,_xlfn._xlws.FILTER(tblThreatControls[Threat ID],(tblThreatControls[Control ID]=$A313)*(tblThreatControls[Threat applies]="Applies"),""))</f>
        <v/>
      </c>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0" t="inlineStr">
        <is>
          <t>SAST</t>
        </is>
      </c>
      <c r="J314" s="40" t="inlineStr">
        <is>
          <t>Deterministic, continuous</t>
        </is>
      </c>
      <c r="K314" s="42" t="inlineStr">
        <is>
          <t>Pipeline</t>
        </is>
      </c>
      <c r="L314" s="42" t="inlineStr">
        <is>
          <t>Not assessed</t>
        </is>
      </c>
      <c r="M314" s="40" t="n"/>
      <c r="N314" s="40" t="n"/>
      <c r="O314" s="42" t="inlineStr">
        <is>
          <t>Medium</t>
        </is>
      </c>
      <c r="P314" s="43">
        <f>IF(H314="N/A","N/A",INDEX(CRIT_MATRIX,MATCH(O314,CRIT_MATRIX_ROWS,0),MATCH(APP_RISK_TIER,CRIT_MATRIX_COLS,0)))</f>
        <v/>
      </c>
      <c r="Q314" s="40" t="n"/>
      <c r="R314" s="40" cm="1">
        <f t="array" ref="R314">COUNTIFS(tblThreatControls[Control ID],$A314,tblThreatControls[Threat applies],"Applies")</f>
        <v/>
      </c>
      <c r="S314" s="40" cm="1">
        <f t="array" ref="S314">IF(R314=0,"",INDEX(RISK_SCALE_NAMES,_xlfn.MAXIFS(tblThreatControls[Threat risk score],tblThreatControls[Control ID],$A314)))</f>
        <v/>
      </c>
      <c r="T314" s="40" cm="1">
        <f t="array" ref="T314">IF(AND(H314="Applicable",OR(L314="Not assessed",L314=""),R314&gt;0),"Yes","No")</f>
        <v/>
      </c>
      <c r="U314" s="40" cm="1">
        <f t="array" ref="U314">IF(AND(H314="Applicable",OR(L314="Gap",L314="Partial coverage")),INDEX(RISK_SCALE_NAMES,MAX(IFERROR(MATCH(P314,RISK_SCALE_NAMES,0),1),IFERROR(MATCH(S314,RISK_SCALE_NAMES,0),0))),"")</f>
        <v/>
      </c>
      <c r="V314" s="40" cm="1">
        <f t="array" ref="V314">_xlfn.TEXTJOIN("; ",TRUE,_xlfn._xlws.FILTER(tblThreatControls[Threat ID],(tblThreatControls[Control ID]=$A314)*(tblThreatControls[Threat applies]="Applies"),""))</f>
        <v/>
      </c>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0" t="inlineStr">
        <is>
          <t>SAST</t>
        </is>
      </c>
      <c r="J315" s="40" t="inlineStr">
        <is>
          <t>Deterministic, continuous</t>
        </is>
      </c>
      <c r="K315" s="42" t="inlineStr">
        <is>
          <t>Pipeline</t>
        </is>
      </c>
      <c r="L315" s="42" t="inlineStr">
        <is>
          <t>Not assessed</t>
        </is>
      </c>
      <c r="M315" s="40" t="n"/>
      <c r="N315" s="40" t="n"/>
      <c r="O315" s="42" t="inlineStr">
        <is>
          <t>Medium</t>
        </is>
      </c>
      <c r="P315" s="43">
        <f>IF(H315="N/A","N/A",INDEX(CRIT_MATRIX,MATCH(O315,CRIT_MATRIX_ROWS,0),MATCH(APP_RISK_TIER,CRIT_MATRIX_COLS,0)))</f>
        <v/>
      </c>
      <c r="Q315" s="40" t="n"/>
      <c r="R315" s="40" cm="1">
        <f t="array" ref="R315">COUNTIFS(tblThreatControls[Control ID],$A315,tblThreatControls[Threat applies],"Applies")</f>
        <v/>
      </c>
      <c r="S315" s="40" cm="1">
        <f t="array" ref="S315">IF(R315=0,"",INDEX(RISK_SCALE_NAMES,_xlfn.MAXIFS(tblThreatControls[Threat risk score],tblThreatControls[Control ID],$A315)))</f>
        <v/>
      </c>
      <c r="T315" s="40" cm="1">
        <f t="array" ref="T315">IF(AND(H315="Applicable",OR(L315="Not assessed",L315=""),R315&gt;0),"Yes","No")</f>
        <v/>
      </c>
      <c r="U315" s="40" cm="1">
        <f t="array" ref="U315">IF(AND(H315="Applicable",OR(L315="Gap",L315="Partial coverage")),INDEX(RISK_SCALE_NAMES,MAX(IFERROR(MATCH(P315,RISK_SCALE_NAMES,0),1),IFERROR(MATCH(S315,RISK_SCALE_NAMES,0),0))),"")</f>
        <v/>
      </c>
      <c r="V315" s="40" cm="1">
        <f t="array" ref="V315">_xlfn.TEXTJOIN("; ",TRUE,_xlfn._xlws.FILTER(tblThreatControls[Threat ID],(tblThreatControls[Control ID]=$A315)*(tblThreatControls[Threat applies]="Applies"),""))</f>
        <v/>
      </c>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0" t="inlineStr">
        <is>
          <t>SAST</t>
        </is>
      </c>
      <c r="J316" s="40" t="inlineStr">
        <is>
          <t>Deterministic, continuous</t>
        </is>
      </c>
      <c r="K316" s="42" t="inlineStr">
        <is>
          <t>Pipeline</t>
        </is>
      </c>
      <c r="L316" s="42" t="inlineStr">
        <is>
          <t>Not assessed</t>
        </is>
      </c>
      <c r="M316" s="40" t="n"/>
      <c r="N316" s="40" t="n"/>
      <c r="O316" s="42" t="inlineStr">
        <is>
          <t>Medium</t>
        </is>
      </c>
      <c r="P316" s="43">
        <f>IF(H316="N/A","N/A",INDEX(CRIT_MATRIX,MATCH(O316,CRIT_MATRIX_ROWS,0),MATCH(APP_RISK_TIER,CRIT_MATRIX_COLS,0)))</f>
        <v/>
      </c>
      <c r="Q316" s="40" t="n"/>
      <c r="R316" s="40" cm="1">
        <f t="array" ref="R316">COUNTIFS(tblThreatControls[Control ID],$A316,tblThreatControls[Threat applies],"Applies")</f>
        <v/>
      </c>
      <c r="S316" s="40" cm="1">
        <f t="array" ref="S316">IF(R316=0,"",INDEX(RISK_SCALE_NAMES,_xlfn.MAXIFS(tblThreatControls[Threat risk score],tblThreatControls[Control ID],$A316)))</f>
        <v/>
      </c>
      <c r="T316" s="40" cm="1">
        <f t="array" ref="T316">IF(AND(H316="Applicable",OR(L316="Not assessed",L316=""),R316&gt;0),"Yes","No")</f>
        <v/>
      </c>
      <c r="U316" s="40" cm="1">
        <f t="array" ref="U316">IF(AND(H316="Applicable",OR(L316="Gap",L316="Partial coverage")),INDEX(RISK_SCALE_NAMES,MAX(IFERROR(MATCH(P316,RISK_SCALE_NAMES,0),1),IFERROR(MATCH(S316,RISK_SCALE_NAMES,0),0))),"")</f>
        <v/>
      </c>
      <c r="V316" s="40" cm="1">
        <f t="array" ref="V316">_xlfn.TEXTJOIN("; ",TRUE,_xlfn._xlws.FILTER(tblThreatControls[Threat ID],(tblThreatControls[Control ID]=$A316)*(tblThreatControls[Threat applies]="Applies"),""))</f>
        <v/>
      </c>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0" t="inlineStr">
        <is>
          <t>SAST</t>
        </is>
      </c>
      <c r="J317" s="40" t="inlineStr">
        <is>
          <t>Deterministic, continuous</t>
        </is>
      </c>
      <c r="K317" s="42" t="inlineStr">
        <is>
          <t>Pipeline</t>
        </is>
      </c>
      <c r="L317" s="42" t="inlineStr">
        <is>
          <t>Not assessed</t>
        </is>
      </c>
      <c r="M317" s="40" t="n"/>
      <c r="N317" s="40" t="n"/>
      <c r="O317" s="42" t="inlineStr">
        <is>
          <t>Medium</t>
        </is>
      </c>
      <c r="P317" s="43">
        <f>IF(H317="N/A","N/A",INDEX(CRIT_MATRIX,MATCH(O317,CRIT_MATRIX_ROWS,0),MATCH(APP_RISK_TIER,CRIT_MATRIX_COLS,0)))</f>
        <v/>
      </c>
      <c r="Q317" s="40" t="n"/>
      <c r="R317" s="40" cm="1">
        <f t="array" ref="R317">COUNTIFS(tblThreatControls[Control ID],$A317,tblThreatControls[Threat applies],"Applies")</f>
        <v/>
      </c>
      <c r="S317" s="40" cm="1">
        <f t="array" ref="S317">IF(R317=0,"",INDEX(RISK_SCALE_NAMES,_xlfn.MAXIFS(tblThreatControls[Threat risk score],tblThreatControls[Control ID],$A317)))</f>
        <v/>
      </c>
      <c r="T317" s="40" cm="1">
        <f t="array" ref="T317">IF(AND(H317="Applicable",OR(L317="Not assessed",L317=""),R317&gt;0),"Yes","No")</f>
        <v/>
      </c>
      <c r="U317" s="40" cm="1">
        <f t="array" ref="U317">IF(AND(H317="Applicable",OR(L317="Gap",L317="Partial coverage")),INDEX(RISK_SCALE_NAMES,MAX(IFERROR(MATCH(P317,RISK_SCALE_NAMES,0),1),IFERROR(MATCH(S317,RISK_SCALE_NAMES,0),0))),"")</f>
        <v/>
      </c>
      <c r="V317" s="40" cm="1">
        <f t="array" ref="V317">_xlfn.TEXTJOIN("; ",TRUE,_xlfn._xlws.FILTER(tblThreatControls[Threat ID],(tblThreatControls[Control ID]=$A317)*(tblThreatControls[Threat applies]="Applies"),""))</f>
        <v/>
      </c>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0" t="inlineStr">
        <is>
          <t>SAST</t>
        </is>
      </c>
      <c r="J318" s="40" t="inlineStr">
        <is>
          <t>Deterministic, continuous</t>
        </is>
      </c>
      <c r="K318" s="42" t="inlineStr">
        <is>
          <t>Pipeline</t>
        </is>
      </c>
      <c r="L318" s="42" t="inlineStr">
        <is>
          <t>Not assessed</t>
        </is>
      </c>
      <c r="M318" s="40" t="n"/>
      <c r="N318" s="40" t="n"/>
      <c r="O318" s="42" t="inlineStr">
        <is>
          <t>Medium</t>
        </is>
      </c>
      <c r="P318" s="43">
        <f>IF(H318="N/A","N/A",INDEX(CRIT_MATRIX,MATCH(O318,CRIT_MATRIX_ROWS,0),MATCH(APP_RISK_TIER,CRIT_MATRIX_COLS,0)))</f>
        <v/>
      </c>
      <c r="Q318" s="40" t="n"/>
      <c r="R318" s="40" cm="1">
        <f t="array" ref="R318">COUNTIFS(tblThreatControls[Control ID],$A318,tblThreatControls[Threat applies],"Applies")</f>
        <v/>
      </c>
      <c r="S318" s="40" cm="1">
        <f t="array" ref="S318">IF(R318=0,"",INDEX(RISK_SCALE_NAMES,_xlfn.MAXIFS(tblThreatControls[Threat risk score],tblThreatControls[Control ID],$A318)))</f>
        <v/>
      </c>
      <c r="T318" s="40" cm="1">
        <f t="array" ref="T318">IF(AND(H318="Applicable",OR(L318="Not assessed",L318=""),R318&gt;0),"Yes","No")</f>
        <v/>
      </c>
      <c r="U318" s="40" cm="1">
        <f t="array" ref="U318">IF(AND(H318="Applicable",OR(L318="Gap",L318="Partial coverage")),INDEX(RISK_SCALE_NAMES,MAX(IFERROR(MATCH(P318,RISK_SCALE_NAMES,0),1),IFERROR(MATCH(S318,RISK_SCALE_NAMES,0),0))),"")</f>
        <v/>
      </c>
      <c r="V318" s="40" cm="1">
        <f t="array" ref="V318">_xlfn.TEXTJOIN("; ",TRUE,_xlfn._xlws.FILTER(tblThreatControls[Threat ID],(tblThreatControls[Control ID]=$A318)*(tblThreatControls[Threat applies]="Applies"),""))</f>
        <v/>
      </c>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0" t="inlineStr">
        <is>
          <t>SAST</t>
        </is>
      </c>
      <c r="J319" s="40" t="inlineStr">
        <is>
          <t>Deterministic, continuous</t>
        </is>
      </c>
      <c r="K319" s="42" t="inlineStr">
        <is>
          <t>Pipeline</t>
        </is>
      </c>
      <c r="L319" s="42" t="inlineStr">
        <is>
          <t>Not assessed</t>
        </is>
      </c>
      <c r="M319" s="40" t="n"/>
      <c r="N319" s="40" t="n"/>
      <c r="O319" s="42" t="inlineStr">
        <is>
          <t>Medium</t>
        </is>
      </c>
      <c r="P319" s="43">
        <f>IF(H319="N/A","N/A",INDEX(CRIT_MATRIX,MATCH(O319,CRIT_MATRIX_ROWS,0),MATCH(APP_RISK_TIER,CRIT_MATRIX_COLS,0)))</f>
        <v/>
      </c>
      <c r="Q319" s="40" t="n"/>
      <c r="R319" s="40" cm="1">
        <f t="array" ref="R319">COUNTIFS(tblThreatControls[Control ID],$A319,tblThreatControls[Threat applies],"Applies")</f>
        <v/>
      </c>
      <c r="S319" s="40" cm="1">
        <f t="array" ref="S319">IF(R319=0,"",INDEX(RISK_SCALE_NAMES,_xlfn.MAXIFS(tblThreatControls[Threat risk score],tblThreatControls[Control ID],$A319)))</f>
        <v/>
      </c>
      <c r="T319" s="40" cm="1">
        <f t="array" ref="T319">IF(AND(H319="Applicable",OR(L319="Not assessed",L319=""),R319&gt;0),"Yes","No")</f>
        <v/>
      </c>
      <c r="U319" s="40" cm="1">
        <f t="array" ref="U319">IF(AND(H319="Applicable",OR(L319="Gap",L319="Partial coverage")),INDEX(RISK_SCALE_NAMES,MAX(IFERROR(MATCH(P319,RISK_SCALE_NAMES,0),1),IFERROR(MATCH(S319,RISK_SCALE_NAMES,0),0))),"")</f>
        <v/>
      </c>
      <c r="V319" s="40" cm="1">
        <f t="array" ref="V319">_xlfn.TEXTJOIN("; ",TRUE,_xlfn._xlws.FILTER(tblThreatControls[Threat ID],(tblThreatControls[Control ID]=$A319)*(tblThreatControls[Threat applies]="Applies"),""))</f>
        <v/>
      </c>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0" t="inlineStr">
        <is>
          <t>SAST</t>
        </is>
      </c>
      <c r="J320" s="40" t="inlineStr">
        <is>
          <t>Deterministic, continuous</t>
        </is>
      </c>
      <c r="K320" s="42" t="inlineStr">
        <is>
          <t>Pipeline</t>
        </is>
      </c>
      <c r="L320" s="42" t="inlineStr">
        <is>
          <t>Not assessed</t>
        </is>
      </c>
      <c r="M320" s="40" t="n"/>
      <c r="N320" s="40" t="n"/>
      <c r="O320" s="42" t="inlineStr">
        <is>
          <t>Medium</t>
        </is>
      </c>
      <c r="P320" s="43">
        <f>IF(H320="N/A","N/A",INDEX(CRIT_MATRIX,MATCH(O320,CRIT_MATRIX_ROWS,0),MATCH(APP_RISK_TIER,CRIT_MATRIX_COLS,0)))</f>
        <v/>
      </c>
      <c r="Q320" s="40" t="n"/>
      <c r="R320" s="40" cm="1">
        <f t="array" ref="R320">COUNTIFS(tblThreatControls[Control ID],$A320,tblThreatControls[Threat applies],"Applies")</f>
        <v/>
      </c>
      <c r="S320" s="40" cm="1">
        <f t="array" ref="S320">IF(R320=0,"",INDEX(RISK_SCALE_NAMES,_xlfn.MAXIFS(tblThreatControls[Threat risk score],tblThreatControls[Control ID],$A320)))</f>
        <v/>
      </c>
      <c r="T320" s="40" cm="1">
        <f t="array" ref="T320">IF(AND(H320="Applicable",OR(L320="Not assessed",L320=""),R320&gt;0),"Yes","No")</f>
        <v/>
      </c>
      <c r="U320" s="40" cm="1">
        <f t="array" ref="U320">IF(AND(H320="Applicable",OR(L320="Gap",L320="Partial coverage")),INDEX(RISK_SCALE_NAMES,MAX(IFERROR(MATCH(P320,RISK_SCALE_NAMES,0),1),IFERROR(MATCH(S320,RISK_SCALE_NAMES,0),0))),"")</f>
        <v/>
      </c>
      <c r="V320" s="40" cm="1">
        <f t="array" ref="V320">_xlfn.TEXTJOIN("; ",TRUE,_xlfn._xlws.FILTER(tblThreatControls[Threat ID],(tblThreatControls[Control ID]=$A320)*(tblThreatControls[Threat applies]="Applies"),""))</f>
        <v/>
      </c>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0" t="inlineStr">
        <is>
          <t>Architecture / documentation review</t>
        </is>
      </c>
      <c r="J321" s="40" t="inlineStr">
        <is>
          <t>Sampled, periodic</t>
        </is>
      </c>
      <c r="K321" s="42" t="inlineStr">
        <is>
          <t>Design/Governance</t>
        </is>
      </c>
      <c r="L321" s="42" t="inlineStr">
        <is>
          <t>Not assessed</t>
        </is>
      </c>
      <c r="M321" s="40" t="n"/>
      <c r="N321" s="40" t="n"/>
      <c r="O321" s="42" t="inlineStr">
        <is>
          <t>Medium</t>
        </is>
      </c>
      <c r="P321" s="43">
        <f>IF(H321="N/A","N/A",INDEX(CRIT_MATRIX,MATCH(O321,CRIT_MATRIX_ROWS,0),MATCH(APP_RISK_TIER,CRIT_MATRIX_COLS,0)))</f>
        <v/>
      </c>
      <c r="Q321" s="40" t="n"/>
      <c r="R321" s="40" cm="1">
        <f t="array" ref="R321">COUNTIFS(tblThreatControls[Control ID],$A321,tblThreatControls[Threat applies],"Applies")</f>
        <v/>
      </c>
      <c r="S321" s="40" cm="1">
        <f t="array" ref="S321">IF(R321=0,"",INDEX(RISK_SCALE_NAMES,_xlfn.MAXIFS(tblThreatControls[Threat risk score],tblThreatControls[Control ID],$A321)))</f>
        <v/>
      </c>
      <c r="T321" s="40" cm="1">
        <f t="array" ref="T321">IF(AND(H321="Applicable",OR(L321="Not assessed",L321=""),R321&gt;0),"Yes","No")</f>
        <v/>
      </c>
      <c r="U321" s="40" cm="1">
        <f t="array" ref="U321">IF(AND(H321="Applicable",OR(L321="Gap",L321="Partial coverage")),INDEX(RISK_SCALE_NAMES,MAX(IFERROR(MATCH(P321,RISK_SCALE_NAMES,0),1),IFERROR(MATCH(S321,RISK_SCALE_NAMES,0),0))),"")</f>
        <v/>
      </c>
      <c r="V321" s="40" cm="1">
        <f t="array" ref="V321">_xlfn.TEXTJOIN("; ",TRUE,_xlfn._xlws.FILTER(tblThreatControls[Threat ID],(tblThreatControls[Control ID]=$A321)*(tblThreatControls[Threat applies]="Applies"),""))</f>
        <v/>
      </c>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0" t="inlineStr">
        <is>
          <t>Configuration review + SAST</t>
        </is>
      </c>
      <c r="J322" s="40" t="inlineStr">
        <is>
          <t>Deterministic, continuous</t>
        </is>
      </c>
      <c r="K322" s="42" t="inlineStr">
        <is>
          <t>Pipeline</t>
        </is>
      </c>
      <c r="L322" s="42" t="inlineStr">
        <is>
          <t>Not assessed</t>
        </is>
      </c>
      <c r="M322" s="40" t="n"/>
      <c r="N322" s="40" t="n"/>
      <c r="O322" s="42" t="inlineStr">
        <is>
          <t>Medium</t>
        </is>
      </c>
      <c r="P322" s="43">
        <f>IF(H322="N/A","N/A",INDEX(CRIT_MATRIX,MATCH(O322,CRIT_MATRIX_ROWS,0),MATCH(APP_RISK_TIER,CRIT_MATRIX_COLS,0)))</f>
        <v/>
      </c>
      <c r="Q322" s="40" t="n"/>
      <c r="R322" s="40" cm="1">
        <f t="array" ref="R322">COUNTIFS(tblThreatControls[Control ID],$A322,tblThreatControls[Threat applies],"Applies")</f>
        <v/>
      </c>
      <c r="S322" s="40" cm="1">
        <f t="array" ref="S322">IF(R322=0,"",INDEX(RISK_SCALE_NAMES,_xlfn.MAXIFS(tblThreatControls[Threat risk score],tblThreatControls[Control ID],$A322)))</f>
        <v/>
      </c>
      <c r="T322" s="40" cm="1">
        <f t="array" ref="T322">IF(AND(H322="Applicable",OR(L322="Not assessed",L322=""),R322&gt;0),"Yes","No")</f>
        <v/>
      </c>
      <c r="U322" s="40" cm="1">
        <f t="array" ref="U322">IF(AND(H322="Applicable",OR(L322="Gap",L322="Partial coverage")),INDEX(RISK_SCALE_NAMES,MAX(IFERROR(MATCH(P322,RISK_SCALE_NAMES,0),1),IFERROR(MATCH(S322,RISK_SCALE_NAMES,0),0))),"")</f>
        <v/>
      </c>
      <c r="V322" s="40" cm="1">
        <f t="array" ref="V322">_xlfn.TEXTJOIN("; ",TRUE,_xlfn._xlws.FILTER(tblThreatControls[Threat ID],(tblThreatControls[Control ID]=$A322)*(tblThreatControls[Threat applies]="Applies"),""))</f>
        <v/>
      </c>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0" t="inlineStr">
        <is>
          <t>Configuration review + SAST</t>
        </is>
      </c>
      <c r="J323" s="40" t="inlineStr">
        <is>
          <t>Deterministic, continuous</t>
        </is>
      </c>
      <c r="K323" s="42" t="inlineStr">
        <is>
          <t>Pipeline</t>
        </is>
      </c>
      <c r="L323" s="42" t="inlineStr">
        <is>
          <t>Not assessed</t>
        </is>
      </c>
      <c r="M323" s="40" t="n"/>
      <c r="N323" s="40" t="n"/>
      <c r="O323" s="42" t="inlineStr">
        <is>
          <t>Medium</t>
        </is>
      </c>
      <c r="P323" s="43">
        <f>IF(H323="N/A","N/A",INDEX(CRIT_MATRIX,MATCH(O323,CRIT_MATRIX_ROWS,0),MATCH(APP_RISK_TIER,CRIT_MATRIX_COLS,0)))</f>
        <v/>
      </c>
      <c r="Q323" s="40" t="n"/>
      <c r="R323" s="40" cm="1">
        <f t="array" ref="R323">COUNTIFS(tblThreatControls[Control ID],$A323,tblThreatControls[Threat applies],"Applies")</f>
        <v/>
      </c>
      <c r="S323" s="40" cm="1">
        <f t="array" ref="S323">IF(R323=0,"",INDEX(RISK_SCALE_NAMES,_xlfn.MAXIFS(tblThreatControls[Threat risk score],tblThreatControls[Control ID],$A323)))</f>
        <v/>
      </c>
      <c r="T323" s="40" cm="1">
        <f t="array" ref="T323">IF(AND(H323="Applicable",OR(L323="Not assessed",L323=""),R323&gt;0),"Yes","No")</f>
        <v/>
      </c>
      <c r="U323" s="40" cm="1">
        <f t="array" ref="U323">IF(AND(H323="Applicable",OR(L323="Gap",L323="Partial coverage")),INDEX(RISK_SCALE_NAMES,MAX(IFERROR(MATCH(P323,RISK_SCALE_NAMES,0),1),IFERROR(MATCH(S323,RISK_SCALE_NAMES,0),0))),"")</f>
        <v/>
      </c>
      <c r="V323" s="40" cm="1">
        <f t="array" ref="V323">_xlfn.TEXTJOIN("; ",TRUE,_xlfn._xlws.FILTER(tblThreatControls[Threat ID],(tblThreatControls[Control ID]=$A323)*(tblThreatControls[Threat applies]="Applies"),""))</f>
        <v/>
      </c>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0" t="inlineStr">
        <is>
          <t>Configuration review + SAST</t>
        </is>
      </c>
      <c r="J324" s="40" t="inlineStr">
        <is>
          <t>Deterministic, continuous</t>
        </is>
      </c>
      <c r="K324" s="42" t="inlineStr">
        <is>
          <t>Pipeline</t>
        </is>
      </c>
      <c r="L324" s="42" t="inlineStr">
        <is>
          <t>Not assessed</t>
        </is>
      </c>
      <c r="M324" s="40" t="n"/>
      <c r="N324" s="40" t="n"/>
      <c r="O324" s="42" t="inlineStr">
        <is>
          <t>Medium</t>
        </is>
      </c>
      <c r="P324" s="43">
        <f>IF(H324="N/A","N/A",INDEX(CRIT_MATRIX,MATCH(O324,CRIT_MATRIX_ROWS,0),MATCH(APP_RISK_TIER,CRIT_MATRIX_COLS,0)))</f>
        <v/>
      </c>
      <c r="Q324" s="40" t="n"/>
      <c r="R324" s="40" cm="1">
        <f t="array" ref="R324">COUNTIFS(tblThreatControls[Control ID],$A324,tblThreatControls[Threat applies],"Applies")</f>
        <v/>
      </c>
      <c r="S324" s="40" cm="1">
        <f t="array" ref="S324">IF(R324=0,"",INDEX(RISK_SCALE_NAMES,_xlfn.MAXIFS(tblThreatControls[Threat risk score],tblThreatControls[Control ID],$A324)))</f>
        <v/>
      </c>
      <c r="T324" s="40" cm="1">
        <f t="array" ref="T324">IF(AND(H324="Applicable",OR(L324="Not assessed",L324=""),R324&gt;0),"Yes","No")</f>
        <v/>
      </c>
      <c r="U324" s="40" cm="1">
        <f t="array" ref="U324">IF(AND(H324="Applicable",OR(L324="Gap",L324="Partial coverage")),INDEX(RISK_SCALE_NAMES,MAX(IFERROR(MATCH(P324,RISK_SCALE_NAMES,0),1),IFERROR(MATCH(S324,RISK_SCALE_NAMES,0),0))),"")</f>
        <v/>
      </c>
      <c r="V324" s="40" cm="1">
        <f t="array" ref="V324">_xlfn.TEXTJOIN("; ",TRUE,_xlfn._xlws.FILTER(tblThreatControls[Threat ID],(tblThreatControls[Control ID]=$A324)*(tblThreatControls[Threat applies]="Applies"),""))</f>
        <v/>
      </c>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0" t="inlineStr">
        <is>
          <t>Configuration review + SAST</t>
        </is>
      </c>
      <c r="J325" s="40" t="inlineStr">
        <is>
          <t>Deterministic, continuous</t>
        </is>
      </c>
      <c r="K325" s="42" t="inlineStr">
        <is>
          <t>Pipeline</t>
        </is>
      </c>
      <c r="L325" s="42" t="inlineStr">
        <is>
          <t>Not assessed</t>
        </is>
      </c>
      <c r="M325" s="40" t="n"/>
      <c r="N325" s="40" t="n"/>
      <c r="O325" s="42" t="inlineStr">
        <is>
          <t>Medium</t>
        </is>
      </c>
      <c r="P325" s="43">
        <f>IF(H325="N/A","N/A",INDEX(CRIT_MATRIX,MATCH(O325,CRIT_MATRIX_ROWS,0),MATCH(APP_RISK_TIER,CRIT_MATRIX_COLS,0)))</f>
        <v/>
      </c>
      <c r="Q325" s="40" t="n"/>
      <c r="R325" s="40" cm="1">
        <f t="array" ref="R325">COUNTIFS(tblThreatControls[Control ID],$A325,tblThreatControls[Threat applies],"Applies")</f>
        <v/>
      </c>
      <c r="S325" s="40" cm="1">
        <f t="array" ref="S325">IF(R325=0,"",INDEX(RISK_SCALE_NAMES,_xlfn.MAXIFS(tblThreatControls[Threat risk score],tblThreatControls[Control ID],$A325)))</f>
        <v/>
      </c>
      <c r="T325" s="40" cm="1">
        <f t="array" ref="T325">IF(AND(H325="Applicable",OR(L325="Not assessed",L325=""),R325&gt;0),"Yes","No")</f>
        <v/>
      </c>
      <c r="U325" s="40" cm="1">
        <f t="array" ref="U325">IF(AND(H325="Applicable",OR(L325="Gap",L325="Partial coverage")),INDEX(RISK_SCALE_NAMES,MAX(IFERROR(MATCH(P325,RISK_SCALE_NAMES,0),1),IFERROR(MATCH(S325,RISK_SCALE_NAMES,0),0))),"")</f>
        <v/>
      </c>
      <c r="V325" s="40" cm="1">
        <f t="array" ref="V325">_xlfn.TEXTJOIN("; ",TRUE,_xlfn._xlws.FILTER(tblThreatControls[Threat ID],(tblThreatControls[Control ID]=$A325)*(tblThreatControls[Threat applies]="Applies"),""))</f>
        <v/>
      </c>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0" t="inlineStr">
        <is>
          <t>Configuration review + SAST</t>
        </is>
      </c>
      <c r="J326" s="40" t="inlineStr">
        <is>
          <t>Deterministic, continuous</t>
        </is>
      </c>
      <c r="K326" s="42" t="inlineStr">
        <is>
          <t>Pipeline</t>
        </is>
      </c>
      <c r="L326" s="42" t="inlineStr">
        <is>
          <t>Not assessed</t>
        </is>
      </c>
      <c r="M326" s="40" t="n"/>
      <c r="N326" s="40" t="n"/>
      <c r="O326" s="42" t="inlineStr">
        <is>
          <t>Medium</t>
        </is>
      </c>
      <c r="P326" s="43">
        <f>IF(H326="N/A","N/A",INDEX(CRIT_MATRIX,MATCH(O326,CRIT_MATRIX_ROWS,0),MATCH(APP_RISK_TIER,CRIT_MATRIX_COLS,0)))</f>
        <v/>
      </c>
      <c r="Q326" s="40" t="n"/>
      <c r="R326" s="40" cm="1">
        <f t="array" ref="R326">COUNTIFS(tblThreatControls[Control ID],$A326,tblThreatControls[Threat applies],"Applies")</f>
        <v/>
      </c>
      <c r="S326" s="40" cm="1">
        <f t="array" ref="S326">IF(R326=0,"",INDEX(RISK_SCALE_NAMES,_xlfn.MAXIFS(tblThreatControls[Threat risk score],tblThreatControls[Control ID],$A326)))</f>
        <v/>
      </c>
      <c r="T326" s="40" cm="1">
        <f t="array" ref="T326">IF(AND(H326="Applicable",OR(L326="Not assessed",L326=""),R326&gt;0),"Yes","No")</f>
        <v/>
      </c>
      <c r="U326" s="40" cm="1">
        <f t="array" ref="U326">IF(AND(H326="Applicable",OR(L326="Gap",L326="Partial coverage")),INDEX(RISK_SCALE_NAMES,MAX(IFERROR(MATCH(P326,RISK_SCALE_NAMES,0),1),IFERROR(MATCH(S326,RISK_SCALE_NAMES,0),0))),"")</f>
        <v/>
      </c>
      <c r="V326" s="40" cm="1">
        <f t="array" ref="V326">_xlfn.TEXTJOIN("; ",TRUE,_xlfn._xlws.FILTER(tblThreatControls[Threat ID],(tblThreatControls[Control ID]=$A326)*(tblThreatControls[Threat applies]="Applies"),""))</f>
        <v/>
      </c>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0" t="inlineStr">
        <is>
          <t>Configuration review + SAST</t>
        </is>
      </c>
      <c r="J327" s="40" t="inlineStr">
        <is>
          <t>Deterministic, continuous</t>
        </is>
      </c>
      <c r="K327" s="42" t="inlineStr">
        <is>
          <t>Pipeline</t>
        </is>
      </c>
      <c r="L327" s="42" t="inlineStr">
        <is>
          <t>Not assessed</t>
        </is>
      </c>
      <c r="M327" s="40" t="n"/>
      <c r="N327" s="40" t="n"/>
      <c r="O327" s="42" t="inlineStr">
        <is>
          <t>Medium</t>
        </is>
      </c>
      <c r="P327" s="43">
        <f>IF(H327="N/A","N/A",INDEX(CRIT_MATRIX,MATCH(O327,CRIT_MATRIX_ROWS,0),MATCH(APP_RISK_TIER,CRIT_MATRIX_COLS,0)))</f>
        <v/>
      </c>
      <c r="Q327" s="40" t="n"/>
      <c r="R327" s="40" cm="1">
        <f t="array" ref="R327">COUNTIFS(tblThreatControls[Control ID],$A327,tblThreatControls[Threat applies],"Applies")</f>
        <v/>
      </c>
      <c r="S327" s="40" cm="1">
        <f t="array" ref="S327">IF(R327=0,"",INDEX(RISK_SCALE_NAMES,_xlfn.MAXIFS(tblThreatControls[Threat risk score],tblThreatControls[Control ID],$A327)))</f>
        <v/>
      </c>
      <c r="T327" s="40" cm="1">
        <f t="array" ref="T327">IF(AND(H327="Applicable",OR(L327="Not assessed",L327=""),R327&gt;0),"Yes","No")</f>
        <v/>
      </c>
      <c r="U327" s="40" cm="1">
        <f t="array" ref="U327">IF(AND(H327="Applicable",OR(L327="Gap",L327="Partial coverage")),INDEX(RISK_SCALE_NAMES,MAX(IFERROR(MATCH(P327,RISK_SCALE_NAMES,0),1),IFERROR(MATCH(S327,RISK_SCALE_NAMES,0),0))),"")</f>
        <v/>
      </c>
      <c r="V327" s="40" cm="1">
        <f t="array" ref="V327">_xlfn.TEXTJOIN("; ",TRUE,_xlfn._xlws.FILTER(tblThreatControls[Threat ID],(tblThreatControls[Control ID]=$A327)*(tblThreatControls[Threat applies]="Applies"),""))</f>
        <v/>
      </c>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0" t="inlineStr">
        <is>
          <t>Configuration review + SAST</t>
        </is>
      </c>
      <c r="J328" s="40" t="inlineStr">
        <is>
          <t>Deterministic, continuous</t>
        </is>
      </c>
      <c r="K328" s="42" t="inlineStr">
        <is>
          <t>Pipeline</t>
        </is>
      </c>
      <c r="L328" s="42" t="inlineStr">
        <is>
          <t>Not assessed</t>
        </is>
      </c>
      <c r="M328" s="40" t="n"/>
      <c r="N328" s="40" t="n"/>
      <c r="O328" s="42" t="inlineStr">
        <is>
          <t>Medium</t>
        </is>
      </c>
      <c r="P328" s="43">
        <f>IF(H328="N/A","N/A",INDEX(CRIT_MATRIX,MATCH(O328,CRIT_MATRIX_ROWS,0),MATCH(APP_RISK_TIER,CRIT_MATRIX_COLS,0)))</f>
        <v/>
      </c>
      <c r="Q328" s="40" t="n"/>
      <c r="R328" s="40" cm="1">
        <f t="array" ref="R328">COUNTIFS(tblThreatControls[Control ID],$A328,tblThreatControls[Threat applies],"Applies")</f>
        <v/>
      </c>
      <c r="S328" s="40" cm="1">
        <f t="array" ref="S328">IF(R328=0,"",INDEX(RISK_SCALE_NAMES,_xlfn.MAXIFS(tblThreatControls[Threat risk score],tblThreatControls[Control ID],$A328)))</f>
        <v/>
      </c>
      <c r="T328" s="40" cm="1">
        <f t="array" ref="T328">IF(AND(H328="Applicable",OR(L328="Not assessed",L328=""),R328&gt;0),"Yes","No")</f>
        <v/>
      </c>
      <c r="U328" s="40" cm="1">
        <f t="array" ref="U328">IF(AND(H328="Applicable",OR(L328="Gap",L328="Partial coverage")),INDEX(RISK_SCALE_NAMES,MAX(IFERROR(MATCH(P328,RISK_SCALE_NAMES,0),1),IFERROR(MATCH(S328,RISK_SCALE_NAMES,0),0))),"")</f>
        <v/>
      </c>
      <c r="V328" s="40" cm="1">
        <f t="array" ref="V328">_xlfn.TEXTJOIN("; ",TRUE,_xlfn._xlws.FILTER(tblThreatControls[Threat ID],(tblThreatControls[Control ID]=$A328)*(tblThreatControls[Threat applies]="Applies"),""))</f>
        <v/>
      </c>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0" t="inlineStr">
        <is>
          <t>Configuration review + SAST</t>
        </is>
      </c>
      <c r="J329" s="40" t="inlineStr">
        <is>
          <t>Deterministic, continuous</t>
        </is>
      </c>
      <c r="K329" s="42" t="inlineStr">
        <is>
          <t>Pipeline</t>
        </is>
      </c>
      <c r="L329" s="42" t="inlineStr">
        <is>
          <t>Not assessed</t>
        </is>
      </c>
      <c r="M329" s="40" t="n"/>
      <c r="N329" s="40" t="n"/>
      <c r="O329" s="42" t="inlineStr">
        <is>
          <t>Medium</t>
        </is>
      </c>
      <c r="P329" s="43">
        <f>IF(H329="N/A","N/A",INDEX(CRIT_MATRIX,MATCH(O329,CRIT_MATRIX_ROWS,0),MATCH(APP_RISK_TIER,CRIT_MATRIX_COLS,0)))</f>
        <v/>
      </c>
      <c r="Q329" s="40" t="n"/>
      <c r="R329" s="40" cm="1">
        <f t="array" ref="R329">COUNTIFS(tblThreatControls[Control ID],$A329,tblThreatControls[Threat applies],"Applies")</f>
        <v/>
      </c>
      <c r="S329" s="40" cm="1">
        <f t="array" ref="S329">IF(R329=0,"",INDEX(RISK_SCALE_NAMES,_xlfn.MAXIFS(tblThreatControls[Threat risk score],tblThreatControls[Control ID],$A329)))</f>
        <v/>
      </c>
      <c r="T329" s="40" cm="1">
        <f t="array" ref="T329">IF(AND(H329="Applicable",OR(L329="Not assessed",L329=""),R329&gt;0),"Yes","No")</f>
        <v/>
      </c>
      <c r="U329" s="40" cm="1">
        <f t="array" ref="U329">IF(AND(H329="Applicable",OR(L329="Gap",L329="Partial coverage")),INDEX(RISK_SCALE_NAMES,MAX(IFERROR(MATCH(P329,RISK_SCALE_NAMES,0),1),IFERROR(MATCH(S329,RISK_SCALE_NAMES,0),0))),"")</f>
        <v/>
      </c>
      <c r="V329" s="40" cm="1">
        <f t="array" ref="V329">_xlfn.TEXTJOIN("; ",TRUE,_xlfn._xlws.FILTER(tblThreatControls[Threat ID],(tblThreatControls[Control ID]=$A329)*(tblThreatControls[Threat applies]="Applies"),""))</f>
        <v/>
      </c>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0" t="inlineStr">
        <is>
          <t>Configuration review + SAST</t>
        </is>
      </c>
      <c r="J330" s="40" t="inlineStr">
        <is>
          <t>Deterministic, continuous</t>
        </is>
      </c>
      <c r="K330" s="42" t="inlineStr">
        <is>
          <t>Pipeline</t>
        </is>
      </c>
      <c r="L330" s="42" t="inlineStr">
        <is>
          <t>Not assessed</t>
        </is>
      </c>
      <c r="M330" s="40" t="n"/>
      <c r="N330" s="40" t="n"/>
      <c r="O330" s="42" t="inlineStr">
        <is>
          <t>Medium</t>
        </is>
      </c>
      <c r="P330" s="43">
        <f>IF(H330="N/A","N/A",INDEX(CRIT_MATRIX,MATCH(O330,CRIT_MATRIX_ROWS,0),MATCH(APP_RISK_TIER,CRIT_MATRIX_COLS,0)))</f>
        <v/>
      </c>
      <c r="Q330" s="40" t="n"/>
      <c r="R330" s="40" cm="1">
        <f t="array" ref="R330">COUNTIFS(tblThreatControls[Control ID],$A330,tblThreatControls[Threat applies],"Applies")</f>
        <v/>
      </c>
      <c r="S330" s="40" cm="1">
        <f t="array" ref="S330">IF(R330=0,"",INDEX(RISK_SCALE_NAMES,_xlfn.MAXIFS(tblThreatControls[Threat risk score],tblThreatControls[Control ID],$A330)))</f>
        <v/>
      </c>
      <c r="T330" s="40" cm="1">
        <f t="array" ref="T330">IF(AND(H330="Applicable",OR(L330="Not assessed",L330=""),R330&gt;0),"Yes","No")</f>
        <v/>
      </c>
      <c r="U330" s="40" cm="1">
        <f t="array" ref="U330">IF(AND(H330="Applicable",OR(L330="Gap",L330="Partial coverage")),INDEX(RISK_SCALE_NAMES,MAX(IFERROR(MATCH(P330,RISK_SCALE_NAMES,0),1),IFERROR(MATCH(S330,RISK_SCALE_NAMES,0),0))),"")</f>
        <v/>
      </c>
      <c r="V330" s="40" cm="1">
        <f t="array" ref="V330">_xlfn.TEXTJOIN("; ",TRUE,_xlfn._xlws.FILTER(tblThreatControls[Threat ID],(tblThreatControls[Control ID]=$A330)*(tblThreatControls[Threat applies]="Applies"),""))</f>
        <v/>
      </c>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0" t="inlineStr">
        <is>
          <t>Configuration review + SAST</t>
        </is>
      </c>
      <c r="J331" s="40" t="inlineStr">
        <is>
          <t>Deterministic, continuous</t>
        </is>
      </c>
      <c r="K331" s="42" t="inlineStr">
        <is>
          <t>Pipeline</t>
        </is>
      </c>
      <c r="L331" s="42" t="inlineStr">
        <is>
          <t>Not assessed</t>
        </is>
      </c>
      <c r="M331" s="40" t="n"/>
      <c r="N331" s="40" t="n"/>
      <c r="O331" s="42" t="inlineStr">
        <is>
          <t>Medium</t>
        </is>
      </c>
      <c r="P331" s="43">
        <f>IF(H331="N/A","N/A",INDEX(CRIT_MATRIX,MATCH(O331,CRIT_MATRIX_ROWS,0),MATCH(APP_RISK_TIER,CRIT_MATRIX_COLS,0)))</f>
        <v/>
      </c>
      <c r="Q331" s="40" t="n"/>
      <c r="R331" s="40" cm="1">
        <f t="array" ref="R331">COUNTIFS(tblThreatControls[Control ID],$A331,tblThreatControls[Threat applies],"Applies")</f>
        <v/>
      </c>
      <c r="S331" s="40" cm="1">
        <f t="array" ref="S331">IF(R331=0,"",INDEX(RISK_SCALE_NAMES,_xlfn.MAXIFS(tblThreatControls[Threat risk score],tblThreatControls[Control ID],$A331)))</f>
        <v/>
      </c>
      <c r="T331" s="40" cm="1">
        <f t="array" ref="T331">IF(AND(H331="Applicable",OR(L331="Not assessed",L331=""),R331&gt;0),"Yes","No")</f>
        <v/>
      </c>
      <c r="U331" s="40" cm="1">
        <f t="array" ref="U331">IF(AND(H331="Applicable",OR(L331="Gap",L331="Partial coverage")),INDEX(RISK_SCALE_NAMES,MAX(IFERROR(MATCH(P331,RISK_SCALE_NAMES,0),1),IFERROR(MATCH(S331,RISK_SCALE_NAMES,0),0))),"")</f>
        <v/>
      </c>
      <c r="V331" s="40" cm="1">
        <f t="array" ref="V331">_xlfn.TEXTJOIN("; ",TRUE,_xlfn._xlws.FILTER(tblThreatControls[Threat ID],(tblThreatControls[Control ID]=$A331)*(tblThreatControls[Threat applies]="Applies"),""))</f>
        <v/>
      </c>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0" t="inlineStr">
        <is>
          <t>Configuration review + SAST</t>
        </is>
      </c>
      <c r="J332" s="40" t="inlineStr">
        <is>
          <t>Deterministic, continuous</t>
        </is>
      </c>
      <c r="K332" s="42" t="inlineStr">
        <is>
          <t>Pipeline</t>
        </is>
      </c>
      <c r="L332" s="42" t="inlineStr">
        <is>
          <t>Not assessed</t>
        </is>
      </c>
      <c r="M332" s="40" t="n"/>
      <c r="N332" s="40" t="n"/>
      <c r="O332" s="42" t="inlineStr">
        <is>
          <t>Medium</t>
        </is>
      </c>
      <c r="P332" s="43">
        <f>IF(H332="N/A","N/A",INDEX(CRIT_MATRIX,MATCH(O332,CRIT_MATRIX_ROWS,0),MATCH(APP_RISK_TIER,CRIT_MATRIX_COLS,0)))</f>
        <v/>
      </c>
      <c r="Q332" s="40" t="n"/>
      <c r="R332" s="40" cm="1">
        <f t="array" ref="R332">COUNTIFS(tblThreatControls[Control ID],$A332,tblThreatControls[Threat applies],"Applies")</f>
        <v/>
      </c>
      <c r="S332" s="40" cm="1">
        <f t="array" ref="S332">IF(R332=0,"",INDEX(RISK_SCALE_NAMES,_xlfn.MAXIFS(tblThreatControls[Threat risk score],tblThreatControls[Control ID],$A332)))</f>
        <v/>
      </c>
      <c r="T332" s="40" cm="1">
        <f t="array" ref="T332">IF(AND(H332="Applicable",OR(L332="Not assessed",L332=""),R332&gt;0),"Yes","No")</f>
        <v/>
      </c>
      <c r="U332" s="40" cm="1">
        <f t="array" ref="U332">IF(AND(H332="Applicable",OR(L332="Gap",L332="Partial coverage")),INDEX(RISK_SCALE_NAMES,MAX(IFERROR(MATCH(P332,RISK_SCALE_NAMES,0),1),IFERROR(MATCH(S332,RISK_SCALE_NAMES,0),0))),"")</f>
        <v/>
      </c>
      <c r="V332" s="40" cm="1">
        <f t="array" ref="V332">_xlfn.TEXTJOIN("; ",TRUE,_xlfn._xlws.FILTER(tblThreatControls[Threat ID],(tblThreatControls[Control ID]=$A332)*(tblThreatControls[Threat applies]="Applies"),""))</f>
        <v/>
      </c>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0" t="inlineStr">
        <is>
          <t>Configuration review + SAST</t>
        </is>
      </c>
      <c r="J333" s="40" t="inlineStr">
        <is>
          <t>Deterministic, continuous</t>
        </is>
      </c>
      <c r="K333" s="42" t="inlineStr">
        <is>
          <t>Pipeline</t>
        </is>
      </c>
      <c r="L333" s="42" t="inlineStr">
        <is>
          <t>Not assessed</t>
        </is>
      </c>
      <c r="M333" s="40" t="n"/>
      <c r="N333" s="40" t="n"/>
      <c r="O333" s="42" t="inlineStr">
        <is>
          <t>Medium</t>
        </is>
      </c>
      <c r="P333" s="43">
        <f>IF(H333="N/A","N/A",INDEX(CRIT_MATRIX,MATCH(O333,CRIT_MATRIX_ROWS,0),MATCH(APP_RISK_TIER,CRIT_MATRIX_COLS,0)))</f>
        <v/>
      </c>
      <c r="Q333" s="40" t="n"/>
      <c r="R333" s="40" cm="1">
        <f t="array" ref="R333">COUNTIFS(tblThreatControls[Control ID],$A333,tblThreatControls[Threat applies],"Applies")</f>
        <v/>
      </c>
      <c r="S333" s="40" cm="1">
        <f t="array" ref="S333">IF(R333=0,"",INDEX(RISK_SCALE_NAMES,_xlfn.MAXIFS(tblThreatControls[Threat risk score],tblThreatControls[Control ID],$A333)))</f>
        <v/>
      </c>
      <c r="T333" s="40" cm="1">
        <f t="array" ref="T333">IF(AND(H333="Applicable",OR(L333="Not assessed",L333=""),R333&gt;0),"Yes","No")</f>
        <v/>
      </c>
      <c r="U333" s="40" cm="1">
        <f t="array" ref="U333">IF(AND(H333="Applicable",OR(L333="Gap",L333="Partial coverage")),INDEX(RISK_SCALE_NAMES,MAX(IFERROR(MATCH(P333,RISK_SCALE_NAMES,0),1),IFERROR(MATCH(S333,RISK_SCALE_NAMES,0),0))),"")</f>
        <v/>
      </c>
      <c r="V333" s="40" cm="1">
        <f t="array" ref="V333">_xlfn.TEXTJOIN("; ",TRUE,_xlfn._xlws.FILTER(tblThreatControls[Threat ID],(tblThreatControls[Control ID]=$A333)*(tblThreatControls[Threat applies]="Applies"),""))</f>
        <v/>
      </c>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0" t="inlineStr">
        <is>
          <t>Configuration review + SAST</t>
        </is>
      </c>
      <c r="J334" s="40" t="inlineStr">
        <is>
          <t>Deterministic, continuous</t>
        </is>
      </c>
      <c r="K334" s="42" t="inlineStr">
        <is>
          <t>Pipeline</t>
        </is>
      </c>
      <c r="L334" s="42" t="inlineStr">
        <is>
          <t>Not assessed</t>
        </is>
      </c>
      <c r="M334" s="40" t="n"/>
      <c r="N334" s="40" t="n"/>
      <c r="O334" s="42" t="inlineStr">
        <is>
          <t>Medium</t>
        </is>
      </c>
      <c r="P334" s="43">
        <f>IF(H334="N/A","N/A",INDEX(CRIT_MATRIX,MATCH(O334,CRIT_MATRIX_ROWS,0),MATCH(APP_RISK_TIER,CRIT_MATRIX_COLS,0)))</f>
        <v/>
      </c>
      <c r="Q334" s="40" t="n"/>
      <c r="R334" s="40" cm="1">
        <f t="array" ref="R334">COUNTIFS(tblThreatControls[Control ID],$A334,tblThreatControls[Threat applies],"Applies")</f>
        <v/>
      </c>
      <c r="S334" s="40" cm="1">
        <f t="array" ref="S334">IF(R334=0,"",INDEX(RISK_SCALE_NAMES,_xlfn.MAXIFS(tblThreatControls[Threat risk score],tblThreatControls[Control ID],$A334)))</f>
        <v/>
      </c>
      <c r="T334" s="40" cm="1">
        <f t="array" ref="T334">IF(AND(H334="Applicable",OR(L334="Not assessed",L334=""),R334&gt;0),"Yes","No")</f>
        <v/>
      </c>
      <c r="U334" s="40" cm="1">
        <f t="array" ref="U334">IF(AND(H334="Applicable",OR(L334="Gap",L334="Partial coverage")),INDEX(RISK_SCALE_NAMES,MAX(IFERROR(MATCH(P334,RISK_SCALE_NAMES,0),1),IFERROR(MATCH(S334,RISK_SCALE_NAMES,0),0))),"")</f>
        <v/>
      </c>
      <c r="V334" s="40" cm="1">
        <f t="array" ref="V334">_xlfn.TEXTJOIN("; ",TRUE,_xlfn._xlws.FILTER(tblThreatControls[Threat ID],(tblThreatControls[Control ID]=$A334)*(tblThreatControls[Threat applies]="Applies"),""))</f>
        <v/>
      </c>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0" t="inlineStr">
        <is>
          <t>Configuration review + SAST</t>
        </is>
      </c>
      <c r="J335" s="40" t="inlineStr">
        <is>
          <t>Deterministic, continuous</t>
        </is>
      </c>
      <c r="K335" s="42" t="inlineStr">
        <is>
          <t>Pipeline</t>
        </is>
      </c>
      <c r="L335" s="42" t="inlineStr">
        <is>
          <t>Not assessed</t>
        </is>
      </c>
      <c r="M335" s="40" t="n"/>
      <c r="N335" s="40" t="n"/>
      <c r="O335" s="42" t="inlineStr">
        <is>
          <t>Medium</t>
        </is>
      </c>
      <c r="P335" s="43">
        <f>IF(H335="N/A","N/A",INDEX(CRIT_MATRIX,MATCH(O335,CRIT_MATRIX_ROWS,0),MATCH(APP_RISK_TIER,CRIT_MATRIX_COLS,0)))</f>
        <v/>
      </c>
      <c r="Q335" s="40" t="n"/>
      <c r="R335" s="40" cm="1">
        <f t="array" ref="R335">COUNTIFS(tblThreatControls[Control ID],$A335,tblThreatControls[Threat applies],"Applies")</f>
        <v/>
      </c>
      <c r="S335" s="40" cm="1">
        <f t="array" ref="S335">IF(R335=0,"",INDEX(RISK_SCALE_NAMES,_xlfn.MAXIFS(tblThreatControls[Threat risk score],tblThreatControls[Control ID],$A335)))</f>
        <v/>
      </c>
      <c r="T335" s="40" cm="1">
        <f t="array" ref="T335">IF(AND(H335="Applicable",OR(L335="Not assessed",L335=""),R335&gt;0),"Yes","No")</f>
        <v/>
      </c>
      <c r="U335" s="40" cm="1">
        <f t="array" ref="U335">IF(AND(H335="Applicable",OR(L335="Gap",L335="Partial coverage")),INDEX(RISK_SCALE_NAMES,MAX(IFERROR(MATCH(P335,RISK_SCALE_NAMES,0),1),IFERROR(MATCH(S335,RISK_SCALE_NAMES,0),0))),"")</f>
        <v/>
      </c>
      <c r="V335" s="40" cm="1">
        <f t="array" ref="V335">_xlfn.TEXTJOIN("; ",TRUE,_xlfn._xlws.FILTER(tblThreatControls[Threat ID],(tblThreatControls[Control ID]=$A335)*(tblThreatControls[Threat applies]="Applies"),""))</f>
        <v/>
      </c>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0" t="inlineStr">
        <is>
          <t>Configuration review + SAST</t>
        </is>
      </c>
      <c r="J336" s="40" t="inlineStr">
        <is>
          <t>Deterministic, continuous</t>
        </is>
      </c>
      <c r="K336" s="42" t="inlineStr">
        <is>
          <t>Pipeline</t>
        </is>
      </c>
      <c r="L336" s="42" t="inlineStr">
        <is>
          <t>Not assessed</t>
        </is>
      </c>
      <c r="M336" s="40" t="n"/>
      <c r="N336" s="40" t="n"/>
      <c r="O336" s="42" t="inlineStr">
        <is>
          <t>Medium</t>
        </is>
      </c>
      <c r="P336" s="43">
        <f>IF(H336="N/A","N/A",INDEX(CRIT_MATRIX,MATCH(O336,CRIT_MATRIX_ROWS,0),MATCH(APP_RISK_TIER,CRIT_MATRIX_COLS,0)))</f>
        <v/>
      </c>
      <c r="Q336" s="40" t="n"/>
      <c r="R336" s="40" cm="1">
        <f t="array" ref="R336">COUNTIFS(tblThreatControls[Control ID],$A336,tblThreatControls[Threat applies],"Applies")</f>
        <v/>
      </c>
      <c r="S336" s="40" cm="1">
        <f t="array" ref="S336">IF(R336=0,"",INDEX(RISK_SCALE_NAMES,_xlfn.MAXIFS(tblThreatControls[Threat risk score],tblThreatControls[Control ID],$A336)))</f>
        <v/>
      </c>
      <c r="T336" s="40" cm="1">
        <f t="array" ref="T336">IF(AND(H336="Applicable",OR(L336="Not assessed",L336=""),R336&gt;0),"Yes","No")</f>
        <v/>
      </c>
      <c r="U336" s="40" cm="1">
        <f t="array" ref="U336">IF(AND(H336="Applicable",OR(L336="Gap",L336="Partial coverage")),INDEX(RISK_SCALE_NAMES,MAX(IFERROR(MATCH(P336,RISK_SCALE_NAMES,0),1),IFERROR(MATCH(S336,RISK_SCALE_NAMES,0),0))),"")</f>
        <v/>
      </c>
      <c r="V336" s="40" cm="1">
        <f t="array" ref="V336">_xlfn.TEXTJOIN("; ",TRUE,_xlfn._xlws.FILTER(tblThreatControls[Threat ID],(tblThreatControls[Control ID]=$A336)*(tblThreatControls[Threat applies]="Applies"),""))</f>
        <v/>
      </c>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0" t="inlineStr">
        <is>
          <t>Configuration review + SAST</t>
        </is>
      </c>
      <c r="J337" s="40" t="inlineStr">
        <is>
          <t>Deterministic, continuous</t>
        </is>
      </c>
      <c r="K337" s="42" t="inlineStr">
        <is>
          <t>Pipeline</t>
        </is>
      </c>
      <c r="L337" s="42" t="inlineStr">
        <is>
          <t>Not assessed</t>
        </is>
      </c>
      <c r="M337" s="40" t="n"/>
      <c r="N337" s="40" t="n"/>
      <c r="O337" s="42" t="inlineStr">
        <is>
          <t>Medium</t>
        </is>
      </c>
      <c r="P337" s="43">
        <f>IF(H337="N/A","N/A",INDEX(CRIT_MATRIX,MATCH(O337,CRIT_MATRIX_ROWS,0),MATCH(APP_RISK_TIER,CRIT_MATRIX_COLS,0)))</f>
        <v/>
      </c>
      <c r="Q337" s="40" t="n"/>
      <c r="R337" s="40" cm="1">
        <f t="array" ref="R337">COUNTIFS(tblThreatControls[Control ID],$A337,tblThreatControls[Threat applies],"Applies")</f>
        <v/>
      </c>
      <c r="S337" s="40" cm="1">
        <f t="array" ref="S337">IF(R337=0,"",INDEX(RISK_SCALE_NAMES,_xlfn.MAXIFS(tblThreatControls[Threat risk score],tblThreatControls[Control ID],$A337)))</f>
        <v/>
      </c>
      <c r="T337" s="40" cm="1">
        <f t="array" ref="T337">IF(AND(H337="Applicable",OR(L337="Not assessed",L337=""),R337&gt;0),"Yes","No")</f>
        <v/>
      </c>
      <c r="U337" s="40" cm="1">
        <f t="array" ref="U337">IF(AND(H337="Applicable",OR(L337="Gap",L337="Partial coverage")),INDEX(RISK_SCALE_NAMES,MAX(IFERROR(MATCH(P337,RISK_SCALE_NAMES,0),1),IFERROR(MATCH(S337,RISK_SCALE_NAMES,0),0))),"")</f>
        <v/>
      </c>
      <c r="V337" s="40" cm="1">
        <f t="array" ref="V337">_xlfn.TEXTJOIN("; ",TRUE,_xlfn._xlws.FILTER(tblThreatControls[Threat ID],(tblThreatControls[Control ID]=$A337)*(tblThreatControls[Threat applies]="Applies"),""))</f>
        <v/>
      </c>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0" t="inlineStr">
        <is>
          <t>SAST + DAST / configuration review</t>
        </is>
      </c>
      <c r="J338" s="40" t="inlineStr">
        <is>
          <t>Deterministic, continuous</t>
        </is>
      </c>
      <c r="K338" s="42" t="inlineStr">
        <is>
          <t>Pipeline</t>
        </is>
      </c>
      <c r="L338" s="42" t="inlineStr">
        <is>
          <t>Not assessed</t>
        </is>
      </c>
      <c r="M338" s="40" t="n"/>
      <c r="N338" s="40" t="n"/>
      <c r="O338" s="42" t="inlineStr">
        <is>
          <t>Medium</t>
        </is>
      </c>
      <c r="P338" s="43">
        <f>IF(H338="N/A","N/A",INDEX(CRIT_MATRIX,MATCH(O338,CRIT_MATRIX_ROWS,0),MATCH(APP_RISK_TIER,CRIT_MATRIX_COLS,0)))</f>
        <v/>
      </c>
      <c r="Q338" s="40" t="n"/>
      <c r="R338" s="40" cm="1">
        <f t="array" ref="R338">COUNTIFS(tblThreatControls[Control ID],$A338,tblThreatControls[Threat applies],"Applies")</f>
        <v/>
      </c>
      <c r="S338" s="40" cm="1">
        <f t="array" ref="S338">IF(R338=0,"",INDEX(RISK_SCALE_NAMES,_xlfn.MAXIFS(tblThreatControls[Threat risk score],tblThreatControls[Control ID],$A338)))</f>
        <v/>
      </c>
      <c r="T338" s="40" cm="1">
        <f t="array" ref="T338">IF(AND(H338="Applicable",OR(L338="Not assessed",L338=""),R338&gt;0),"Yes","No")</f>
        <v/>
      </c>
      <c r="U338" s="40" cm="1">
        <f t="array" ref="U338">IF(AND(H338="Applicable",OR(L338="Gap",L338="Partial coverage")),INDEX(RISK_SCALE_NAMES,MAX(IFERROR(MATCH(P338,RISK_SCALE_NAMES,0),1),IFERROR(MATCH(S338,RISK_SCALE_NAMES,0),0))),"")</f>
        <v/>
      </c>
      <c r="V338" s="40" cm="1">
        <f t="array" ref="V338">_xlfn.TEXTJOIN("; ",TRUE,_xlfn._xlws.FILTER(tblThreatControls[Threat ID],(tblThreatControls[Control ID]=$A338)*(tblThreatControls[Threat applies]="Applies"),""))</f>
        <v/>
      </c>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0" t="inlineStr">
        <is>
          <t>SAST + DAST / configuration review</t>
        </is>
      </c>
      <c r="J339" s="40" t="inlineStr">
        <is>
          <t>Deterministic, continuous</t>
        </is>
      </c>
      <c r="K339" s="42" t="inlineStr">
        <is>
          <t>Pipeline</t>
        </is>
      </c>
      <c r="L339" s="42" t="inlineStr">
        <is>
          <t>Not assessed</t>
        </is>
      </c>
      <c r="M339" s="40" t="n"/>
      <c r="N339" s="40" t="n"/>
      <c r="O339" s="42" t="inlineStr">
        <is>
          <t>Medium</t>
        </is>
      </c>
      <c r="P339" s="43">
        <f>IF(H339="N/A","N/A",INDEX(CRIT_MATRIX,MATCH(O339,CRIT_MATRIX_ROWS,0),MATCH(APP_RISK_TIER,CRIT_MATRIX_COLS,0)))</f>
        <v/>
      </c>
      <c r="Q339" s="40" t="n"/>
      <c r="R339" s="40" cm="1">
        <f t="array" ref="R339">COUNTIFS(tblThreatControls[Control ID],$A339,tblThreatControls[Threat applies],"Applies")</f>
        <v/>
      </c>
      <c r="S339" s="40" cm="1">
        <f t="array" ref="S339">IF(R339=0,"",INDEX(RISK_SCALE_NAMES,_xlfn.MAXIFS(tblThreatControls[Threat risk score],tblThreatControls[Control ID],$A339)))</f>
        <v/>
      </c>
      <c r="T339" s="40" cm="1">
        <f t="array" ref="T339">IF(AND(H339="Applicable",OR(L339="Not assessed",L339=""),R339&gt;0),"Yes","No")</f>
        <v/>
      </c>
      <c r="U339" s="40" cm="1">
        <f t="array" ref="U339">IF(AND(H339="Applicable",OR(L339="Gap",L339="Partial coverage")),INDEX(RISK_SCALE_NAMES,MAX(IFERROR(MATCH(P339,RISK_SCALE_NAMES,0),1),IFERROR(MATCH(S339,RISK_SCALE_NAMES,0),0))),"")</f>
        <v/>
      </c>
      <c r="V339" s="40" cm="1">
        <f t="array" ref="V339">_xlfn.TEXTJOIN("; ",TRUE,_xlfn._xlws.FILTER(tblThreatControls[Threat ID],(tblThreatControls[Control ID]=$A339)*(tblThreatControls[Threat applies]="Applies"),""))</f>
        <v/>
      </c>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0" t="inlineStr">
        <is>
          <t>SAST + DAST / configuration review</t>
        </is>
      </c>
      <c r="J340" s="40" t="inlineStr">
        <is>
          <t>Deterministic, continuous</t>
        </is>
      </c>
      <c r="K340" s="42" t="inlineStr">
        <is>
          <t>Pipeline</t>
        </is>
      </c>
      <c r="L340" s="42" t="inlineStr">
        <is>
          <t>Not assessed</t>
        </is>
      </c>
      <c r="M340" s="40" t="n"/>
      <c r="N340" s="40" t="n"/>
      <c r="O340" s="42" t="inlineStr">
        <is>
          <t>Medium</t>
        </is>
      </c>
      <c r="P340" s="43">
        <f>IF(H340="N/A","N/A",INDEX(CRIT_MATRIX,MATCH(O340,CRIT_MATRIX_ROWS,0),MATCH(APP_RISK_TIER,CRIT_MATRIX_COLS,0)))</f>
        <v/>
      </c>
      <c r="Q340" s="40" t="n"/>
      <c r="R340" s="40" cm="1">
        <f t="array" ref="R340">COUNTIFS(tblThreatControls[Control ID],$A340,tblThreatControls[Threat applies],"Applies")</f>
        <v/>
      </c>
      <c r="S340" s="40" cm="1">
        <f t="array" ref="S340">IF(R340=0,"",INDEX(RISK_SCALE_NAMES,_xlfn.MAXIFS(tblThreatControls[Threat risk score],tblThreatControls[Control ID],$A340)))</f>
        <v/>
      </c>
      <c r="T340" s="40" cm="1">
        <f t="array" ref="T340">IF(AND(H340="Applicable",OR(L340="Not assessed",L340=""),R340&gt;0),"Yes","No")</f>
        <v/>
      </c>
      <c r="U340" s="40" cm="1">
        <f t="array" ref="U340">IF(AND(H340="Applicable",OR(L340="Gap",L340="Partial coverage")),INDEX(RISK_SCALE_NAMES,MAX(IFERROR(MATCH(P340,RISK_SCALE_NAMES,0),1),IFERROR(MATCH(S340,RISK_SCALE_NAMES,0),0))),"")</f>
        <v/>
      </c>
      <c r="V340" s="40" cm="1">
        <f t="array" ref="V340">_xlfn.TEXTJOIN("; ",TRUE,_xlfn._xlws.FILTER(tblThreatControls[Threat ID],(tblThreatControls[Control ID]=$A340)*(tblThreatControls[Threat applies]="Applies"),""))</f>
        <v/>
      </c>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0" t="inlineStr">
        <is>
          <t>SAST + DAST / configuration review</t>
        </is>
      </c>
      <c r="J341" s="40" t="inlineStr">
        <is>
          <t>Deterministic, continuous</t>
        </is>
      </c>
      <c r="K341" s="42" t="inlineStr">
        <is>
          <t>Pipeline</t>
        </is>
      </c>
      <c r="L341" s="42" t="inlineStr">
        <is>
          <t>Not assessed</t>
        </is>
      </c>
      <c r="M341" s="40" t="n"/>
      <c r="N341" s="40" t="n"/>
      <c r="O341" s="42" t="inlineStr">
        <is>
          <t>Medium</t>
        </is>
      </c>
      <c r="P341" s="43">
        <f>IF(H341="N/A","N/A",INDEX(CRIT_MATRIX,MATCH(O341,CRIT_MATRIX_ROWS,0),MATCH(APP_RISK_TIER,CRIT_MATRIX_COLS,0)))</f>
        <v/>
      </c>
      <c r="Q341" s="40" t="n"/>
      <c r="R341" s="40" cm="1">
        <f t="array" ref="R341">COUNTIFS(tblThreatControls[Control ID],$A341,tblThreatControls[Threat applies],"Applies")</f>
        <v/>
      </c>
      <c r="S341" s="40" cm="1">
        <f t="array" ref="S341">IF(R341=0,"",INDEX(RISK_SCALE_NAMES,_xlfn.MAXIFS(tblThreatControls[Threat risk score],tblThreatControls[Control ID],$A341)))</f>
        <v/>
      </c>
      <c r="T341" s="40" cm="1">
        <f t="array" ref="T341">IF(AND(H341="Applicable",OR(L341="Not assessed",L341=""),R341&gt;0),"Yes","No")</f>
        <v/>
      </c>
      <c r="U341" s="40" cm="1">
        <f t="array" ref="U341">IF(AND(H341="Applicable",OR(L341="Gap",L341="Partial coverage")),INDEX(RISK_SCALE_NAMES,MAX(IFERROR(MATCH(P341,RISK_SCALE_NAMES,0),1),IFERROR(MATCH(S341,RISK_SCALE_NAMES,0),0))),"")</f>
        <v/>
      </c>
      <c r="V341" s="40" cm="1">
        <f t="array" ref="V341">_xlfn.TEXTJOIN("; ",TRUE,_xlfn._xlws.FILTER(tblThreatControls[Threat ID],(tblThreatControls[Control ID]=$A341)*(tblThreatControls[Threat applies]="Applies"),""))</f>
        <v/>
      </c>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0" t="inlineStr">
        <is>
          <t>SAST + DAST / configuration review</t>
        </is>
      </c>
      <c r="J342" s="40" t="inlineStr">
        <is>
          <t>Deterministic, continuous</t>
        </is>
      </c>
      <c r="K342" s="42" t="inlineStr">
        <is>
          <t>Pipeline</t>
        </is>
      </c>
      <c r="L342" s="42" t="inlineStr">
        <is>
          <t>Not assessed</t>
        </is>
      </c>
      <c r="M342" s="40" t="n"/>
      <c r="N342" s="40" t="n"/>
      <c r="O342" s="42" t="inlineStr">
        <is>
          <t>Medium</t>
        </is>
      </c>
      <c r="P342" s="43">
        <f>IF(H342="N/A","N/A",INDEX(CRIT_MATRIX,MATCH(O342,CRIT_MATRIX_ROWS,0),MATCH(APP_RISK_TIER,CRIT_MATRIX_COLS,0)))</f>
        <v/>
      </c>
      <c r="Q342" s="40" t="n"/>
      <c r="R342" s="40" cm="1">
        <f t="array" ref="R342">COUNTIFS(tblThreatControls[Control ID],$A342,tblThreatControls[Threat applies],"Applies")</f>
        <v/>
      </c>
      <c r="S342" s="40" cm="1">
        <f t="array" ref="S342">IF(R342=0,"",INDEX(RISK_SCALE_NAMES,_xlfn.MAXIFS(tblThreatControls[Threat risk score],tblThreatControls[Control ID],$A342)))</f>
        <v/>
      </c>
      <c r="T342" s="40" cm="1">
        <f t="array" ref="T342">IF(AND(H342="Applicable",OR(L342="Not assessed",L342=""),R342&gt;0),"Yes","No")</f>
        <v/>
      </c>
      <c r="U342" s="40" cm="1">
        <f t="array" ref="U342">IF(AND(H342="Applicable",OR(L342="Gap",L342="Partial coverage")),INDEX(RISK_SCALE_NAMES,MAX(IFERROR(MATCH(P342,RISK_SCALE_NAMES,0),1),IFERROR(MATCH(S342,RISK_SCALE_NAMES,0),0))),"")</f>
        <v/>
      </c>
      <c r="V342" s="40" cm="1">
        <f t="array" ref="V342">_xlfn.TEXTJOIN("; ",TRUE,_xlfn._xlws.FILTER(tblThreatControls[Threat ID],(tblThreatControls[Control ID]=$A342)*(tblThreatControls[Threat applies]="Applies"),""))</f>
        <v/>
      </c>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0" t="inlineStr">
        <is>
          <t>SAST + DAST / configuration review</t>
        </is>
      </c>
      <c r="J343" s="40" t="inlineStr">
        <is>
          <t>Deterministic, continuous</t>
        </is>
      </c>
      <c r="K343" s="42" t="inlineStr">
        <is>
          <t>Pipeline</t>
        </is>
      </c>
      <c r="L343" s="42" t="inlineStr">
        <is>
          <t>Not assessed</t>
        </is>
      </c>
      <c r="M343" s="40" t="n"/>
      <c r="N343" s="40" t="n"/>
      <c r="O343" s="42" t="inlineStr">
        <is>
          <t>Medium</t>
        </is>
      </c>
      <c r="P343" s="43">
        <f>IF(H343="N/A","N/A",INDEX(CRIT_MATRIX,MATCH(O343,CRIT_MATRIX_ROWS,0),MATCH(APP_RISK_TIER,CRIT_MATRIX_COLS,0)))</f>
        <v/>
      </c>
      <c r="Q343" s="40" t="n"/>
      <c r="R343" s="40" cm="1">
        <f t="array" ref="R343">COUNTIFS(tblThreatControls[Control ID],$A343,tblThreatControls[Threat applies],"Applies")</f>
        <v/>
      </c>
      <c r="S343" s="40" cm="1">
        <f t="array" ref="S343">IF(R343=0,"",INDEX(RISK_SCALE_NAMES,_xlfn.MAXIFS(tblThreatControls[Threat risk score],tblThreatControls[Control ID],$A343)))</f>
        <v/>
      </c>
      <c r="T343" s="40" cm="1">
        <f t="array" ref="T343">IF(AND(H343="Applicable",OR(L343="Not assessed",L343=""),R343&gt;0),"Yes","No")</f>
        <v/>
      </c>
      <c r="U343" s="40" cm="1">
        <f t="array" ref="U343">IF(AND(H343="Applicable",OR(L343="Gap",L343="Partial coverage")),INDEX(RISK_SCALE_NAMES,MAX(IFERROR(MATCH(P343,RISK_SCALE_NAMES,0),1),IFERROR(MATCH(S343,RISK_SCALE_NAMES,0),0))),"")</f>
        <v/>
      </c>
      <c r="V343" s="40" cm="1">
        <f t="array" ref="V343">_xlfn.TEXTJOIN("; ",TRUE,_xlfn._xlws.FILTER(tblThreatControls[Threat ID],(tblThreatControls[Control ID]=$A343)*(tblThreatControls[Threat applies]="Applies"),""))</f>
        <v/>
      </c>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0" t="inlineStr">
        <is>
          <t>SAST + DAST / configuration review</t>
        </is>
      </c>
      <c r="J344" s="40" t="inlineStr">
        <is>
          <t>Deterministic, continuous</t>
        </is>
      </c>
      <c r="K344" s="42" t="inlineStr">
        <is>
          <t>Pipeline</t>
        </is>
      </c>
      <c r="L344" s="42" t="inlineStr">
        <is>
          <t>Not assessed</t>
        </is>
      </c>
      <c r="M344" s="40" t="n"/>
      <c r="N344" s="40" t="n"/>
      <c r="O344" s="42" t="inlineStr">
        <is>
          <t>Medium</t>
        </is>
      </c>
      <c r="P344" s="43">
        <f>IF(H344="N/A","N/A",INDEX(CRIT_MATRIX,MATCH(O344,CRIT_MATRIX_ROWS,0),MATCH(APP_RISK_TIER,CRIT_MATRIX_COLS,0)))</f>
        <v/>
      </c>
      <c r="Q344" s="40" t="n"/>
      <c r="R344" s="40" cm="1">
        <f t="array" ref="R344">COUNTIFS(tblThreatControls[Control ID],$A344,tblThreatControls[Threat applies],"Applies")</f>
        <v/>
      </c>
      <c r="S344" s="40" cm="1">
        <f t="array" ref="S344">IF(R344=0,"",INDEX(RISK_SCALE_NAMES,_xlfn.MAXIFS(tblThreatControls[Threat risk score],tblThreatControls[Control ID],$A344)))</f>
        <v/>
      </c>
      <c r="T344" s="40" cm="1">
        <f t="array" ref="T344">IF(AND(H344="Applicable",OR(L344="Not assessed",L344=""),R344&gt;0),"Yes","No")</f>
        <v/>
      </c>
      <c r="U344" s="40" cm="1">
        <f t="array" ref="U344">IF(AND(H344="Applicable",OR(L344="Gap",L344="Partial coverage")),INDEX(RISK_SCALE_NAMES,MAX(IFERROR(MATCH(P344,RISK_SCALE_NAMES,0),1),IFERROR(MATCH(S344,RISK_SCALE_NAMES,0),0))),"")</f>
        <v/>
      </c>
      <c r="V344" s="40" cm="1">
        <f t="array" ref="V344">_xlfn.TEXTJOIN("; ",TRUE,_xlfn._xlws.FILTER(tblThreatControls[Threat ID],(tblThreatControls[Control ID]=$A344)*(tblThreatControls[Threat applies]="Applies"),""))</f>
        <v/>
      </c>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0" t="inlineStr">
        <is>
          <t>SAST + DAST / configuration review</t>
        </is>
      </c>
      <c r="J345" s="40" t="inlineStr">
        <is>
          <t>Deterministic, continuous</t>
        </is>
      </c>
      <c r="K345" s="42" t="inlineStr">
        <is>
          <t>Pipeline</t>
        </is>
      </c>
      <c r="L345" s="42" t="inlineStr">
        <is>
          <t>Not assessed</t>
        </is>
      </c>
      <c r="M345" s="40" t="n"/>
      <c r="N345" s="40" t="n"/>
      <c r="O345" s="42" t="inlineStr">
        <is>
          <t>Medium</t>
        </is>
      </c>
      <c r="P345" s="43">
        <f>IF(H345="N/A","N/A",INDEX(CRIT_MATRIX,MATCH(O345,CRIT_MATRIX_ROWS,0),MATCH(APP_RISK_TIER,CRIT_MATRIX_COLS,0)))</f>
        <v/>
      </c>
      <c r="Q345" s="40" t="n"/>
      <c r="R345" s="40" cm="1">
        <f t="array" ref="R345">COUNTIFS(tblThreatControls[Control ID],$A345,tblThreatControls[Threat applies],"Applies")</f>
        <v/>
      </c>
      <c r="S345" s="40" cm="1">
        <f t="array" ref="S345">IF(R345=0,"",INDEX(RISK_SCALE_NAMES,_xlfn.MAXIFS(tblThreatControls[Threat risk score],tblThreatControls[Control ID],$A345)))</f>
        <v/>
      </c>
      <c r="T345" s="40" cm="1">
        <f t="array" ref="T345">IF(AND(H345="Applicable",OR(L345="Not assessed",L345=""),R345&gt;0),"Yes","No")</f>
        <v/>
      </c>
      <c r="U345" s="40" cm="1">
        <f t="array" ref="U345">IF(AND(H345="Applicable",OR(L345="Gap",L345="Partial coverage")),INDEX(RISK_SCALE_NAMES,MAX(IFERROR(MATCH(P345,RISK_SCALE_NAMES,0),1),IFERROR(MATCH(S345,RISK_SCALE_NAMES,0),0))),"")</f>
        <v/>
      </c>
      <c r="V345" s="40" cm="1">
        <f t="array" ref="V345">_xlfn.TEXTJOIN("; ",TRUE,_xlfn._xlws.FILTER(tblThreatControls[Threat ID],(tblThreatControls[Control ID]=$A345)*(tblThreatControls[Threat applies]="Applies"),""))</f>
        <v/>
      </c>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0" t="inlineStr">
        <is>
          <t>SAST + DAST / configuration review</t>
        </is>
      </c>
      <c r="J346" s="40" t="inlineStr">
        <is>
          <t>Deterministic, continuous</t>
        </is>
      </c>
      <c r="K346" s="42" t="inlineStr">
        <is>
          <t>Pipeline</t>
        </is>
      </c>
      <c r="L346" s="42" t="inlineStr">
        <is>
          <t>Not assessed</t>
        </is>
      </c>
      <c r="M346" s="40" t="n"/>
      <c r="N346" s="40" t="n"/>
      <c r="O346" s="42" t="inlineStr">
        <is>
          <t>Medium</t>
        </is>
      </c>
      <c r="P346" s="43">
        <f>IF(H346="N/A","N/A",INDEX(CRIT_MATRIX,MATCH(O346,CRIT_MATRIX_ROWS,0),MATCH(APP_RISK_TIER,CRIT_MATRIX_COLS,0)))</f>
        <v/>
      </c>
      <c r="Q346" s="40" t="n"/>
      <c r="R346" s="40" cm="1">
        <f t="array" ref="R346">COUNTIFS(tblThreatControls[Control ID],$A346,tblThreatControls[Threat applies],"Applies")</f>
        <v/>
      </c>
      <c r="S346" s="40" cm="1">
        <f t="array" ref="S346">IF(R346=0,"",INDEX(RISK_SCALE_NAMES,_xlfn.MAXIFS(tblThreatControls[Threat risk score],tblThreatControls[Control ID],$A346)))</f>
        <v/>
      </c>
      <c r="T346" s="40" cm="1">
        <f t="array" ref="T346">IF(AND(H346="Applicable",OR(L346="Not assessed",L346=""),R346&gt;0),"Yes","No")</f>
        <v/>
      </c>
      <c r="U346" s="40" cm="1">
        <f t="array" ref="U346">IF(AND(H346="Applicable",OR(L346="Gap",L346="Partial coverage")),INDEX(RISK_SCALE_NAMES,MAX(IFERROR(MATCH(P346,RISK_SCALE_NAMES,0),1),IFERROR(MATCH(S346,RISK_SCALE_NAMES,0),0))),"")</f>
        <v/>
      </c>
      <c r="V346" s="40" cm="1">
        <f t="array" ref="V346">_xlfn.TEXTJOIN("; ",TRUE,_xlfn._xlws.FILTER(tblThreatControls[Threat ID],(tblThreatControls[Control ID]=$A346)*(tblThreatControls[Threat applies]="Applies"),""))</f>
        <v/>
      </c>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0" t="inlineStr">
        <is>
          <t>SAST + DAST / configuration review</t>
        </is>
      </c>
      <c r="J347" s="40" t="inlineStr">
        <is>
          <t>Deterministic, continuous</t>
        </is>
      </c>
      <c r="K347" s="42" t="inlineStr">
        <is>
          <t>Pipeline</t>
        </is>
      </c>
      <c r="L347" s="42" t="inlineStr">
        <is>
          <t>Not assessed</t>
        </is>
      </c>
      <c r="M347" s="40" t="n"/>
      <c r="N347" s="40" t="n"/>
      <c r="O347" s="42" t="inlineStr">
        <is>
          <t>Medium</t>
        </is>
      </c>
      <c r="P347" s="43">
        <f>IF(H347="N/A","N/A",INDEX(CRIT_MATRIX,MATCH(O347,CRIT_MATRIX_ROWS,0),MATCH(APP_RISK_TIER,CRIT_MATRIX_COLS,0)))</f>
        <v/>
      </c>
      <c r="Q347" s="40" t="n"/>
      <c r="R347" s="40" cm="1">
        <f t="array" ref="R347">COUNTIFS(tblThreatControls[Control ID],$A347,tblThreatControls[Threat applies],"Applies")</f>
        <v/>
      </c>
      <c r="S347" s="40" cm="1">
        <f t="array" ref="S347">IF(R347=0,"",INDEX(RISK_SCALE_NAMES,_xlfn.MAXIFS(tblThreatControls[Threat risk score],tblThreatControls[Control ID],$A347)))</f>
        <v/>
      </c>
      <c r="T347" s="40" cm="1">
        <f t="array" ref="T347">IF(AND(H347="Applicable",OR(L347="Not assessed",L347=""),R347&gt;0),"Yes","No")</f>
        <v/>
      </c>
      <c r="U347" s="40" cm="1">
        <f t="array" ref="U347">IF(AND(H347="Applicable",OR(L347="Gap",L347="Partial coverage")),INDEX(RISK_SCALE_NAMES,MAX(IFERROR(MATCH(P347,RISK_SCALE_NAMES,0),1),IFERROR(MATCH(S347,RISK_SCALE_NAMES,0),0))),"")</f>
        <v/>
      </c>
      <c r="V347" s="40" cm="1">
        <f t="array" ref="V347">_xlfn.TEXTJOIN("; ",TRUE,_xlfn._xlws.FILTER(tblThreatControls[Threat ID],(tblThreatControls[Control ID]=$A347)*(tblThreatControls[Threat applies]="Applies"),""))</f>
        <v/>
      </c>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0" t="inlineStr">
        <is>
          <t>SAST + DAST / configuration review</t>
        </is>
      </c>
      <c r="J348" s="40" t="inlineStr">
        <is>
          <t>Deterministic, continuous</t>
        </is>
      </c>
      <c r="K348" s="42" t="inlineStr">
        <is>
          <t>Pipeline</t>
        </is>
      </c>
      <c r="L348" s="42" t="inlineStr">
        <is>
          <t>Not assessed</t>
        </is>
      </c>
      <c r="M348" s="40" t="n"/>
      <c r="N348" s="40" t="n"/>
      <c r="O348" s="42" t="inlineStr">
        <is>
          <t>Medium</t>
        </is>
      </c>
      <c r="P348" s="43">
        <f>IF(H348="N/A","N/A",INDEX(CRIT_MATRIX,MATCH(O348,CRIT_MATRIX_ROWS,0),MATCH(APP_RISK_TIER,CRIT_MATRIX_COLS,0)))</f>
        <v/>
      </c>
      <c r="Q348" s="40" t="n"/>
      <c r="R348" s="40" cm="1">
        <f t="array" ref="R348">COUNTIFS(tblThreatControls[Control ID],$A348,tblThreatControls[Threat applies],"Applies")</f>
        <v/>
      </c>
      <c r="S348" s="40" cm="1">
        <f t="array" ref="S348">IF(R348=0,"",INDEX(RISK_SCALE_NAMES,_xlfn.MAXIFS(tblThreatControls[Threat risk score],tblThreatControls[Control ID],$A348)))</f>
        <v/>
      </c>
      <c r="T348" s="40" cm="1">
        <f t="array" ref="T348">IF(AND(H348="Applicable",OR(L348="Not assessed",L348=""),R348&gt;0),"Yes","No")</f>
        <v/>
      </c>
      <c r="U348" s="40" cm="1">
        <f t="array" ref="U348">IF(AND(H348="Applicable",OR(L348="Gap",L348="Partial coverage")),INDEX(RISK_SCALE_NAMES,MAX(IFERROR(MATCH(P348,RISK_SCALE_NAMES,0),1),IFERROR(MATCH(S348,RISK_SCALE_NAMES,0),0))),"")</f>
        <v/>
      </c>
      <c r="V348" s="40" cm="1">
        <f t="array" ref="V348">_xlfn.TEXTJOIN("; ",TRUE,_xlfn._xlws.FILTER(tblThreatControls[Threat ID],(tblThreatControls[Control ID]=$A348)*(tblThreatControls[Threat applies]="Applies"),""))</f>
        <v/>
      </c>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0" t="inlineStr">
        <is>
          <t>SAST + DAST / configuration review</t>
        </is>
      </c>
      <c r="J349" s="40" t="inlineStr">
        <is>
          <t>Deterministic, continuous</t>
        </is>
      </c>
      <c r="K349" s="42" t="inlineStr">
        <is>
          <t>Pipeline</t>
        </is>
      </c>
      <c r="L349" s="42" t="inlineStr">
        <is>
          <t>Not assessed</t>
        </is>
      </c>
      <c r="M349" s="40" t="n"/>
      <c r="N349" s="40" t="n"/>
      <c r="O349" s="42" t="inlineStr">
        <is>
          <t>Medium</t>
        </is>
      </c>
      <c r="P349" s="43">
        <f>IF(H349="N/A","N/A",INDEX(CRIT_MATRIX,MATCH(O349,CRIT_MATRIX_ROWS,0),MATCH(APP_RISK_TIER,CRIT_MATRIX_COLS,0)))</f>
        <v/>
      </c>
      <c r="Q349" s="40" t="n"/>
      <c r="R349" s="40" cm="1">
        <f t="array" ref="R349">COUNTIFS(tblThreatControls[Control ID],$A349,tblThreatControls[Threat applies],"Applies")</f>
        <v/>
      </c>
      <c r="S349" s="40" cm="1">
        <f t="array" ref="S349">IF(R349=0,"",INDEX(RISK_SCALE_NAMES,_xlfn.MAXIFS(tblThreatControls[Threat risk score],tblThreatControls[Control ID],$A349)))</f>
        <v/>
      </c>
      <c r="T349" s="40" cm="1">
        <f t="array" ref="T349">IF(AND(H349="Applicable",OR(L349="Not assessed",L349=""),R349&gt;0),"Yes","No")</f>
        <v/>
      </c>
      <c r="U349" s="40" cm="1">
        <f t="array" ref="U349">IF(AND(H349="Applicable",OR(L349="Gap",L349="Partial coverage")),INDEX(RISK_SCALE_NAMES,MAX(IFERROR(MATCH(P349,RISK_SCALE_NAMES,0),1),IFERROR(MATCH(S349,RISK_SCALE_NAMES,0),0))),"")</f>
        <v/>
      </c>
      <c r="V349" s="40" cm="1">
        <f t="array" ref="V349">_xlfn.TEXTJOIN("; ",TRUE,_xlfn._xlws.FILTER(tblThreatControls[Threat ID],(tblThreatControls[Control ID]=$A349)*(tblThreatControls[Threat applies]="Applies"),""))</f>
        <v/>
      </c>
    </row>
  </sheetData>
  <autoFilter ref="A4:V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349">
    <cfRule type="expression" priority="9" dxfId="9">
      <formula>$S5="Critical"</formula>
    </cfRule>
    <cfRule type="expression" priority="10" dxfId="10">
      <formula>$S5="High"</formula>
    </cfRule>
    <cfRule type="expression" priority="11" dxfId="11">
      <formula>$S5="Medium"</formula>
    </cfRule>
  </conditionalFormatting>
  <conditionalFormatting sqref="U5:U349">
    <cfRule type="expression" priority="12" dxfId="9">
      <formula>$U5="Critical"</formula>
    </cfRule>
    <cfRule type="expression" priority="13" dxfId="10">
      <formula>$U5="High"</formula>
    </cfRule>
    <cfRule type="expression" priority="14" dxfId="11">
      <formula>$U5="Medium"</formula>
    </cfRule>
  </conditionalFormatting>
  <conditionalFormatting sqref="T5:T349">
    <cfRule type="cellIs" priority="15" operator="equal" dxfId="18">
      <formula>"Yes"</formula>
    </cfRule>
  </conditionalFormatting>
  <dataValidations count="2">
    <dataValidation sqref="L5:L349" showDropDown="0" showInputMessage="0" showErrorMessage="0" allowBlank="1" type="list" errorStyle="stop" operator="between">
      <formula1>"Not assessed,Full coverage,Partial coverage,Gap,N/A"</formula1>
      <formula2>0</formula2>
    </dataValidation>
    <dataValidation sqref="Q5:Q349" showDropDown="0" showInputMessage="1" showErrorMessage="1" allowBlank="1" error="Choose one of the listed options." prompt="Choose an option." type="list">
      <formula1>"Internal dev,Configuration,Vendor,Compensating,Risk acceptance"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V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the 'ASVS Checklist' sheet — that sheet must stay a verbatim copy of ASVS. Column G is a live formula — edit it to control when a row applies (=TRUE() = always); it may use any characterization key, e.g. SOURCING_MODEL or IS_COTS.
Control IDs: CUSTOM-NN for organization policy / contractual / platform-specific controls; TMX-&lt;AREA&gt;-NNN for controls originated by threat modeling (vendor, compensating, infrastructure). TMX rows are maintained centrally with the threat catalog. EXAMPLE-01 is a worked example — edit or delete it.</t>
        </is>
      </c>
    </row>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inlineStr"/>
      <c r="N5" s="47" t="inlineStr">
        <is>
          <t>This is a worked example — replace with your own control, or delete the row.</t>
        </is>
      </c>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45" customHeight="1" s="19">
      <c r="A6" s="49" t="inlineStr">
        <is>
          <t>TMX-VENDOR-001</t>
        </is>
      </c>
      <c r="B6" s="49" t="inlineStr">
        <is>
          <t>Vendor access (threat modeling)</t>
        </is>
      </c>
      <c r="C6" s="49" t="inlineStr">
        <is>
          <t>Remote access</t>
        </is>
      </c>
      <c r="D6" s="50" t="n">
        <v>1</v>
      </c>
      <c r="E6" s="49" t="inlineStr">
        <is>
          <t>Vendor remote access to the environment goes only through the company PAM solution, is approved per session, and every session is recorded and retained.</t>
        </is>
      </c>
      <c r="F6" s="49" t="inlineStr">
        <is>
          <t>Vendor product where the vendor has (or may have) remote access</t>
        </is>
      </c>
      <c r="G6" s="49">
        <f>AND(IS_COTS,VENDOR_REMOTE_ACCESS&lt;&gt;"No",VENDOR_REMOTE_ACCESS&lt;&gt;"")</f>
        <v/>
      </c>
      <c r="H6" s="50">
        <f>IF($A6="","",IF(AND(G6,D6&lt;=TARGET_LEVEL_NUM),"Applicable","N/A"))</f>
        <v/>
      </c>
      <c r="I6" s="49" t="inlineStr">
        <is>
          <t>PAM configuration review + session log audit</t>
        </is>
      </c>
      <c r="J6" s="49" t="inlineStr">
        <is>
          <t>Manual, periodic</t>
        </is>
      </c>
      <c r="K6" s="49" t="inlineStr">
        <is>
          <t>Periodic review</t>
        </is>
      </c>
      <c r="L6" s="49" t="inlineStr">
        <is>
          <t>Gap</t>
        </is>
      </c>
      <c r="M6" s="49" t="n"/>
      <c r="N6" s="49" t="inlineStr">
        <is>
          <t>Vendor VPN account always on</t>
        </is>
      </c>
      <c r="O6" s="50" t="inlineStr">
        <is>
          <t>High</t>
        </is>
      </c>
      <c r="P6" s="50">
        <f>IF($A6="","",IF(H6="N/A","N/A",IFERROR(INDEX(CRIT_MATRIX,MATCH(O6,CRIT_MATRIX_ROWS,0),MATCH(APP_RISK_TIER,CRIT_MATRIX_COLS,0)),"")))</f>
        <v/>
      </c>
      <c r="Q6" s="49" t="inlineStr">
        <is>
          <t>Compensating</t>
        </is>
      </c>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45" customHeight="1" s="19">
      <c r="A7" s="49" t="inlineStr">
        <is>
          <t>TMX-VENDOR-002</t>
        </is>
      </c>
      <c r="B7" s="49" t="inlineStr">
        <is>
          <t>Vendor access (threat modeling)</t>
        </is>
      </c>
      <c r="C7" s="49" t="inlineStr">
        <is>
          <t>Patching</t>
        </is>
      </c>
      <c r="D7" s="50" t="n">
        <v>1</v>
      </c>
      <c r="E7" s="49" t="inlineStr">
        <is>
          <t>The product version in use is supported by the vendor, and the contract defines a security patch SLA that is met; updates are obtained from the vendor's verified channel.</t>
        </is>
      </c>
      <c r="F7" s="49" t="inlineStr">
        <is>
          <t>Vendor product</t>
        </is>
      </c>
      <c r="G7" s="49">
        <f>IS_COTS</f>
        <v/>
      </c>
      <c r="H7" s="50">
        <f>IF($A7="","",IF(AND(G7,D7&lt;=TARGET_LEVEL_NUM),"Applicable","N/A"))</f>
        <v/>
      </c>
      <c r="I7" s="49" t="inlineStr">
        <is>
          <t>Contract review + patch level check</t>
        </is>
      </c>
      <c r="J7" s="49" t="inlineStr">
        <is>
          <t>Manual, periodic</t>
        </is>
      </c>
      <c r="K7" s="49" t="inlineStr">
        <is>
          <t>Periodic review</t>
        </is>
      </c>
      <c r="L7" s="49" t="inlineStr">
        <is>
          <t>Not assessed</t>
        </is>
      </c>
      <c r="M7" s="49" t="n"/>
      <c r="N7" s="49" t="inlineStr">
        <is>
          <t>Draft — starter control from the threat modeling catalog. Review before use.</t>
        </is>
      </c>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45" customHeight="1" s="19">
      <c r="A8" s="49" t="inlineStr">
        <is>
          <t>TMX-WAF-001</t>
        </is>
      </c>
      <c r="B8" s="49" t="inlineStr">
        <is>
          <t>Compensating (threat modeling)</t>
        </is>
      </c>
      <c r="C8" s="49" t="inlineStr">
        <is>
          <t>WAF / API gateway</t>
        </is>
      </c>
      <c r="D8" s="50" t="n">
        <v>1</v>
      </c>
      <c r="E8" s="49" t="inlineStr">
        <is>
          <t>Internet-facing endpoints are behind a WAF or API gateway with rate limiting and bot protection, including on the login.</t>
        </is>
      </c>
      <c r="F8" s="49" t="inlineStr">
        <is>
          <t>Internet-facing</t>
        </is>
      </c>
      <c r="G8" s="49">
        <f>EXPOSURE="Public internet"</f>
        <v/>
      </c>
      <c r="H8" s="50">
        <f>IF($A8="","",IF(AND(G8,D8&lt;=TARGET_LEVEL_NUM),"Applicable","N/A"))</f>
        <v/>
      </c>
      <c r="I8" s="49" t="inlineStr">
        <is>
          <t>WAF / gateway configuration review</t>
        </is>
      </c>
      <c r="J8" s="49" t="inlineStr">
        <is>
          <t>Deterministic, continuous</t>
        </is>
      </c>
      <c r="K8" s="49" t="inlineStr">
        <is>
          <t>Configuration scan</t>
        </is>
      </c>
      <c r="L8" s="49" t="inlineStr">
        <is>
          <t>Full coverage</t>
        </is>
      </c>
      <c r="M8" s="49" t="inlineStr">
        <is>
          <t>WAF policy 'portal-prod'</t>
        </is>
      </c>
      <c r="N8" s="49" t="n"/>
      <c r="O8" s="50" t="inlineStr">
        <is>
          <t>Medium</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45" customHeight="1" s="19">
      <c r="A9" s="49" t="inlineStr">
        <is>
          <t>TMX-EGRESS-001</t>
        </is>
      </c>
      <c r="B9" s="49" t="inlineStr">
        <is>
          <t>Compensating (threat modeling)</t>
        </is>
      </c>
      <c r="C9" s="49" t="inlineStr">
        <is>
          <t>Egress control</t>
        </is>
      </c>
      <c r="D9" s="50" t="n">
        <v>1</v>
      </c>
      <c r="E9" s="49" t="inlineStr">
        <is>
          <t>Outbound connections from the product's hosts are restricted to an allowlist of approved destinations (egress proxy or firewall), including vendor telemetry and update endpoints.</t>
        </is>
      </c>
      <c r="F9" s="49" t="inlineStr">
        <is>
          <t>Vendor product</t>
        </is>
      </c>
      <c r="G9" s="49">
        <f>IS_COTS</f>
        <v/>
      </c>
      <c r="H9" s="50">
        <f>IF($A9="","",IF(AND(G9,D9&lt;=TARGET_LEVEL_NUM),"Applicable","N/A"))</f>
        <v/>
      </c>
      <c r="I9" s="49" t="inlineStr">
        <is>
          <t>Firewall / proxy rule review</t>
        </is>
      </c>
      <c r="J9" s="49" t="inlineStr">
        <is>
          <t>Manual, periodic</t>
        </is>
      </c>
      <c r="K9" s="49" t="inlineStr">
        <is>
          <t>Periodic review</t>
        </is>
      </c>
      <c r="L9" s="49" t="inlineStr">
        <is>
          <t>Not assessed</t>
        </is>
      </c>
      <c r="M9" s="49" t="n"/>
      <c r="N9" s="49" t="inlineStr">
        <is>
          <t>Draft — starter control from the threat modeling catalog. Review before use.</t>
        </is>
      </c>
      <c r="O9" s="50" t="inlineStr">
        <is>
          <t>Medium</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c r="R125" s="49" cm="1">
        <f t="array" ref="R125">IF($A125="","",COUNTIFS(tblThreatControls[Control ID],$A125,tblThreatControls[Threat applies],"Applies"))</f>
        <v/>
      </c>
      <c r="S125" s="49" cm="1">
        <f t="array" ref="S125">IF($A125="","",IF(R125=0,"",INDEX(RISK_SCALE_NAMES,_xlfn.MAXIFS(tblThreatControls[Threat risk score],tblThreatControls[Control ID],$A125))))</f>
        <v/>
      </c>
      <c r="T125" s="49" cm="1">
        <f t="array" ref="T125">IF($A125="","",IF(AND(H125="Applicable",OR(L125="Not assessed",L125=""),R125&gt;0),"Yes","No"))</f>
        <v/>
      </c>
      <c r="U125" s="49" cm="1">
        <f t="array" ref="U125">IF($A125="","",IF(AND(H125="Applicable",OR(L125="Gap",L125="Partial coverage")),INDEX(RISK_SCALE_NAMES,MAX(IFERROR(MATCH(P125,RISK_SCALE_NAMES,0),1),IFERROR(MATCH(S125,RISK_SCALE_NAMES,0),0))),""))</f>
        <v/>
      </c>
      <c r="V125" s="49" cm="1">
        <f t="array" ref="V125">IF($A125="","",_xlfn.TEXTJOIN("; ",TRUE,_xlfn._xlws.FILTER(tblThreatControls[Threat ID],(tblThreatControls[Control ID]=$A125)*(tblThreatControls[Threat applies]="Applies"),"")))</f>
        <v/>
      </c>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c r="R126" s="49" cm="1">
        <f t="array" ref="R126">IF($A126="","",COUNTIFS(tblThreatControls[Control ID],$A126,tblThreatControls[Threat applies],"Applies"))</f>
        <v/>
      </c>
      <c r="S126" s="49" cm="1">
        <f t="array" ref="S126">IF($A126="","",IF(R126=0,"",INDEX(RISK_SCALE_NAMES,_xlfn.MAXIFS(tblThreatControls[Threat risk score],tblThreatControls[Control ID],$A126))))</f>
        <v/>
      </c>
      <c r="T126" s="49" cm="1">
        <f t="array" ref="T126">IF($A126="","",IF(AND(H126="Applicable",OR(L126="Not assessed",L126=""),R126&gt;0),"Yes","No"))</f>
        <v/>
      </c>
      <c r="U126" s="49" cm="1">
        <f t="array" ref="U126">IF($A126="","",IF(AND(H126="Applicable",OR(L126="Gap",L126="Partial coverage")),INDEX(RISK_SCALE_NAMES,MAX(IFERROR(MATCH(P126,RISK_SCALE_NAMES,0),1),IFERROR(MATCH(S126,RISK_SCALE_NAMES,0),0))),""))</f>
        <v/>
      </c>
      <c r="V126" s="49" cm="1">
        <f t="array" ref="V126">IF($A126="","",_xlfn.TEXTJOIN("; ",TRUE,_xlfn._xlws.FILTER(tblThreatControls[Threat ID],(tblThreatControls[Control ID]=$A126)*(tblThreatControls[Threat applies]="Applies"),"")))</f>
        <v/>
      </c>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c r="R127" s="49" cm="1">
        <f t="array" ref="R127">IF($A127="","",COUNTIFS(tblThreatControls[Control ID],$A127,tblThreatControls[Threat applies],"Applies"))</f>
        <v/>
      </c>
      <c r="S127" s="49" cm="1">
        <f t="array" ref="S127">IF($A127="","",IF(R127=0,"",INDEX(RISK_SCALE_NAMES,_xlfn.MAXIFS(tblThreatControls[Threat risk score],tblThreatControls[Control ID],$A127))))</f>
        <v/>
      </c>
      <c r="T127" s="49" cm="1">
        <f t="array" ref="T127">IF($A127="","",IF(AND(H127="Applicable",OR(L127="Not assessed",L127=""),R127&gt;0),"Yes","No"))</f>
        <v/>
      </c>
      <c r="U127" s="49" cm="1">
        <f t="array" ref="U127">IF($A127="","",IF(AND(H127="Applicable",OR(L127="Gap",L127="Partial coverage")),INDEX(RISK_SCALE_NAMES,MAX(IFERROR(MATCH(P127,RISK_SCALE_NAMES,0),1),IFERROR(MATCH(S127,RISK_SCALE_NAMES,0),0))),""))</f>
        <v/>
      </c>
      <c r="V127" s="49" cm="1">
        <f t="array" ref="V127">IF($A127="","",_xlfn.TEXTJOIN("; ",TRUE,_xlfn._xlws.FILTER(tblThreatControls[Threat ID],(tblThreatControls[Control ID]=$A127)*(tblThreatControls[Threat applies]="Applies"),"")))</f>
        <v/>
      </c>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c r="R128" s="49" cm="1">
        <f t="array" ref="R128">IF($A128="","",COUNTIFS(tblThreatControls[Control ID],$A128,tblThreatControls[Threat applies],"Applies"))</f>
        <v/>
      </c>
      <c r="S128" s="49" cm="1">
        <f t="array" ref="S128">IF($A128="","",IF(R128=0,"",INDEX(RISK_SCALE_NAMES,_xlfn.MAXIFS(tblThreatControls[Threat risk score],tblThreatControls[Control ID],$A128))))</f>
        <v/>
      </c>
      <c r="T128" s="49" cm="1">
        <f t="array" ref="T128">IF($A128="","",IF(AND(H128="Applicable",OR(L128="Not assessed",L128=""),R128&gt;0),"Yes","No"))</f>
        <v/>
      </c>
      <c r="U128" s="49" cm="1">
        <f t="array" ref="U128">IF($A128="","",IF(AND(H128="Applicable",OR(L128="Gap",L128="Partial coverage")),INDEX(RISK_SCALE_NAMES,MAX(IFERROR(MATCH(P128,RISK_SCALE_NAMES,0),1),IFERROR(MATCH(S128,RISK_SCALE_NAMES,0),0))),""))</f>
        <v/>
      </c>
      <c r="V128" s="49" cm="1">
        <f t="array" ref="V128">IF($A128="","",_xlfn.TEXTJOIN("; ",TRUE,_xlfn._xlws.FILTER(tblThreatControls[Threat ID],(tblThreatControls[Control ID]=$A128)*(tblThreatControls[Threat applies]="Applies"),"")))</f>
        <v/>
      </c>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c r="R129" s="49" cm="1">
        <f t="array" ref="R129">IF($A129="","",COUNTIFS(tblThreatControls[Control ID],$A129,tblThreatControls[Threat applies],"Applies"))</f>
        <v/>
      </c>
      <c r="S129" s="49" cm="1">
        <f t="array" ref="S129">IF($A129="","",IF(R129=0,"",INDEX(RISK_SCALE_NAMES,_xlfn.MAXIFS(tblThreatControls[Threat risk score],tblThreatControls[Control ID],$A129))))</f>
        <v/>
      </c>
      <c r="T129" s="49" cm="1">
        <f t="array" ref="T129">IF($A129="","",IF(AND(H129="Applicable",OR(L129="Not assessed",L129=""),R129&gt;0),"Yes","No"))</f>
        <v/>
      </c>
      <c r="U129" s="49" cm="1">
        <f t="array" ref="U129">IF($A129="","",IF(AND(H129="Applicable",OR(L129="Gap",L129="Partial coverage")),INDEX(RISK_SCALE_NAMES,MAX(IFERROR(MATCH(P129,RISK_SCALE_NAMES,0),1),IFERROR(MATCH(S129,RISK_SCALE_NAMES,0),0))),""))</f>
        <v/>
      </c>
      <c r="V129" s="49" cm="1">
        <f t="array" ref="V129">IF($A129="","",_xlfn.TEXTJOIN("; ",TRUE,_xlfn._xlws.FILTER(tblThreatControls[Threat ID],(tblThreatControls[Control ID]=$A129)*(tblThreatControls[Threat applies]="Applies"),"")))</f>
        <v/>
      </c>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c r="R130" s="49" cm="1">
        <f t="array" ref="R130">IF($A130="","",COUNTIFS(tblThreatControls[Control ID],$A130,tblThreatControls[Threat applies],"Applies"))</f>
        <v/>
      </c>
      <c r="S130" s="49" cm="1">
        <f t="array" ref="S130">IF($A130="","",IF(R130=0,"",INDEX(RISK_SCALE_NAMES,_xlfn.MAXIFS(tblThreatControls[Threat risk score],tblThreatControls[Control ID],$A130))))</f>
        <v/>
      </c>
      <c r="T130" s="49" cm="1">
        <f t="array" ref="T130">IF($A130="","",IF(AND(H130="Applicable",OR(L130="Not assessed",L130=""),R130&gt;0),"Yes","No"))</f>
        <v/>
      </c>
      <c r="U130" s="49" cm="1">
        <f t="array" ref="U130">IF($A130="","",IF(AND(H130="Applicable",OR(L130="Gap",L130="Partial coverage")),INDEX(RISK_SCALE_NAMES,MAX(IFERROR(MATCH(P130,RISK_SCALE_NAMES,0),1),IFERROR(MATCH(S130,RISK_SCALE_NAMES,0),0))),""))</f>
        <v/>
      </c>
      <c r="V130" s="49" cm="1">
        <f t="array" ref="V130">IF($A130="","",_xlfn.TEXTJOIN("; ",TRUE,_xlfn._xlws.FILTER(tblThreatControls[Threat ID],(tblThreatControls[Control ID]=$A130)*(tblThreatControls[Threat applies]="Applies"),"")))</f>
        <v/>
      </c>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c r="R131" s="49" cm="1">
        <f t="array" ref="R131">IF($A131="","",COUNTIFS(tblThreatControls[Control ID],$A131,tblThreatControls[Threat applies],"Applies"))</f>
        <v/>
      </c>
      <c r="S131" s="49" cm="1">
        <f t="array" ref="S131">IF($A131="","",IF(R131=0,"",INDEX(RISK_SCALE_NAMES,_xlfn.MAXIFS(tblThreatControls[Threat risk score],tblThreatControls[Control ID],$A131))))</f>
        <v/>
      </c>
      <c r="T131" s="49" cm="1">
        <f t="array" ref="T131">IF($A131="","",IF(AND(H131="Applicable",OR(L131="Not assessed",L131=""),R131&gt;0),"Yes","No"))</f>
        <v/>
      </c>
      <c r="U131" s="49" cm="1">
        <f t="array" ref="U131">IF($A131="","",IF(AND(H131="Applicable",OR(L131="Gap",L131="Partial coverage")),INDEX(RISK_SCALE_NAMES,MAX(IFERROR(MATCH(P131,RISK_SCALE_NAMES,0),1),IFERROR(MATCH(S131,RISK_SCALE_NAMES,0),0))),""))</f>
        <v/>
      </c>
      <c r="V131" s="49" cm="1">
        <f t="array" ref="V131">IF($A131="","",_xlfn.TEXTJOIN("; ",TRUE,_xlfn._xlws.FILTER(tblThreatControls[Threat ID],(tblThreatControls[Control ID]=$A131)*(tblThreatControls[Threat applies]="Applies"),"")))</f>
        <v/>
      </c>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c r="R132" s="49" cm="1">
        <f t="array" ref="R132">IF($A132="","",COUNTIFS(tblThreatControls[Control ID],$A132,tblThreatControls[Threat applies],"Applies"))</f>
        <v/>
      </c>
      <c r="S132" s="49" cm="1">
        <f t="array" ref="S132">IF($A132="","",IF(R132=0,"",INDEX(RISK_SCALE_NAMES,_xlfn.MAXIFS(tblThreatControls[Threat risk score],tblThreatControls[Control ID],$A132))))</f>
        <v/>
      </c>
      <c r="T132" s="49" cm="1">
        <f t="array" ref="T132">IF($A132="","",IF(AND(H132="Applicable",OR(L132="Not assessed",L132=""),R132&gt;0),"Yes","No"))</f>
        <v/>
      </c>
      <c r="U132" s="49" cm="1">
        <f t="array" ref="U132">IF($A132="","",IF(AND(H132="Applicable",OR(L132="Gap",L132="Partial coverage")),INDEX(RISK_SCALE_NAMES,MAX(IFERROR(MATCH(P132,RISK_SCALE_NAMES,0),1),IFERROR(MATCH(S132,RISK_SCALE_NAMES,0),0))),""))</f>
        <v/>
      </c>
      <c r="V132" s="49" cm="1">
        <f t="array" ref="V132">IF($A132="","",_xlfn.TEXTJOIN("; ",TRUE,_xlfn._xlws.FILTER(tblThreatControls[Threat ID],(tblThreatControls[Control ID]=$A132)*(tblThreatControls[Threat applies]="Applies"),"")))</f>
        <v/>
      </c>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c r="R133" s="49" cm="1">
        <f t="array" ref="R133">IF($A133="","",COUNTIFS(tblThreatControls[Control ID],$A133,tblThreatControls[Threat applies],"Applies"))</f>
        <v/>
      </c>
      <c r="S133" s="49" cm="1">
        <f t="array" ref="S133">IF($A133="","",IF(R133=0,"",INDEX(RISK_SCALE_NAMES,_xlfn.MAXIFS(tblThreatControls[Threat risk score],tblThreatControls[Control ID],$A133))))</f>
        <v/>
      </c>
      <c r="T133" s="49" cm="1">
        <f t="array" ref="T133">IF($A133="","",IF(AND(H133="Applicable",OR(L133="Not assessed",L133=""),R133&gt;0),"Yes","No"))</f>
        <v/>
      </c>
      <c r="U133" s="49" cm="1">
        <f t="array" ref="U133">IF($A133="","",IF(AND(H133="Applicable",OR(L133="Gap",L133="Partial coverage")),INDEX(RISK_SCALE_NAMES,MAX(IFERROR(MATCH(P133,RISK_SCALE_NAMES,0),1),IFERROR(MATCH(S133,RISK_SCALE_NAMES,0),0))),""))</f>
        <v/>
      </c>
      <c r="V133" s="49" cm="1">
        <f t="array" ref="V133">IF($A133="","",_xlfn.TEXTJOIN("; ",TRUE,_xlfn._xlws.FILTER(tblThreatControls[Threat ID],(tblThreatControls[Control ID]=$A133)*(tblThreatControls[Threat applies]="Applies"),"")))</f>
        <v/>
      </c>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c r="R134" s="49" cm="1">
        <f t="array" ref="R134">IF($A134="","",COUNTIFS(tblThreatControls[Control ID],$A134,tblThreatControls[Threat applies],"Applies"))</f>
        <v/>
      </c>
      <c r="S134" s="49" cm="1">
        <f t="array" ref="S134">IF($A134="","",IF(R134=0,"",INDEX(RISK_SCALE_NAMES,_xlfn.MAXIFS(tblThreatControls[Threat risk score],tblThreatControls[Control ID],$A134))))</f>
        <v/>
      </c>
      <c r="T134" s="49" cm="1">
        <f t="array" ref="T134">IF($A134="","",IF(AND(H134="Applicable",OR(L134="Not assessed",L134=""),R134&gt;0),"Yes","No"))</f>
        <v/>
      </c>
      <c r="U134" s="49" cm="1">
        <f t="array" ref="U134">IF($A134="","",IF(AND(H134="Applicable",OR(L134="Gap",L134="Partial coverage")),INDEX(RISK_SCALE_NAMES,MAX(IFERROR(MATCH(P134,RISK_SCALE_NAMES,0),1),IFERROR(MATCH(S134,RISK_SCALE_NAMES,0),0))),""))</f>
        <v/>
      </c>
      <c r="V134" s="49" cm="1">
        <f t="array" ref="V134">IF($A134="","",_xlfn.TEXTJOIN("; ",TRUE,_xlfn._xlws.FILTER(tblThreatControls[Threat ID],(tblThreatControls[Control ID]=$A134)*(tblThreatControls[Threat applies]="Applies"),"")))</f>
        <v/>
      </c>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c r="R135" s="49" cm="1">
        <f t="array" ref="R135">IF($A135="","",COUNTIFS(tblThreatControls[Control ID],$A135,tblThreatControls[Threat applies],"Applies"))</f>
        <v/>
      </c>
      <c r="S135" s="49" cm="1">
        <f t="array" ref="S135">IF($A135="","",IF(R135=0,"",INDEX(RISK_SCALE_NAMES,_xlfn.MAXIFS(tblThreatControls[Threat risk score],tblThreatControls[Control ID],$A135))))</f>
        <v/>
      </c>
      <c r="T135" s="49" cm="1">
        <f t="array" ref="T135">IF($A135="","",IF(AND(H135="Applicable",OR(L135="Not assessed",L135=""),R135&gt;0),"Yes","No"))</f>
        <v/>
      </c>
      <c r="U135" s="49" cm="1">
        <f t="array" ref="U135">IF($A135="","",IF(AND(H135="Applicable",OR(L135="Gap",L135="Partial coverage")),INDEX(RISK_SCALE_NAMES,MAX(IFERROR(MATCH(P135,RISK_SCALE_NAMES,0),1),IFERROR(MATCH(S135,RISK_SCALE_NAMES,0),0))),""))</f>
        <v/>
      </c>
      <c r="V135" s="49" cm="1">
        <f t="array" ref="V135">IF($A135="","",_xlfn.TEXTJOIN("; ",TRUE,_xlfn._xlws.FILTER(tblThreatControls[Threat ID],(tblThreatControls[Control ID]=$A135)*(tblThreatControls[Threat applies]="Applies"),"")))</f>
        <v/>
      </c>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c r="R136" s="49" cm="1">
        <f t="array" ref="R136">IF($A136="","",COUNTIFS(tblThreatControls[Control ID],$A136,tblThreatControls[Threat applies],"Applies"))</f>
        <v/>
      </c>
      <c r="S136" s="49" cm="1">
        <f t="array" ref="S136">IF($A136="","",IF(R136=0,"",INDEX(RISK_SCALE_NAMES,_xlfn.MAXIFS(tblThreatControls[Threat risk score],tblThreatControls[Control ID],$A136))))</f>
        <v/>
      </c>
      <c r="T136" s="49" cm="1">
        <f t="array" ref="T136">IF($A136="","",IF(AND(H136="Applicable",OR(L136="Not assessed",L136=""),R136&gt;0),"Yes","No"))</f>
        <v/>
      </c>
      <c r="U136" s="49" cm="1">
        <f t="array" ref="U136">IF($A136="","",IF(AND(H136="Applicable",OR(L136="Gap",L136="Partial coverage")),INDEX(RISK_SCALE_NAMES,MAX(IFERROR(MATCH(P136,RISK_SCALE_NAMES,0),1),IFERROR(MATCH(S136,RISK_SCALE_NAMES,0),0))),""))</f>
        <v/>
      </c>
      <c r="V136" s="49" cm="1">
        <f t="array" ref="V136">IF($A136="","",_xlfn.TEXTJOIN("; ",TRUE,_xlfn._xlws.FILTER(tblThreatControls[Threat ID],(tblThreatControls[Control ID]=$A136)*(tblThreatControls[Threat applies]="Applies"),"")))</f>
        <v/>
      </c>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c r="R137" s="49" cm="1">
        <f t="array" ref="R137">IF($A137="","",COUNTIFS(tblThreatControls[Control ID],$A137,tblThreatControls[Threat applies],"Applies"))</f>
        <v/>
      </c>
      <c r="S137" s="49" cm="1">
        <f t="array" ref="S137">IF($A137="","",IF(R137=0,"",INDEX(RISK_SCALE_NAMES,_xlfn.MAXIFS(tblThreatControls[Threat risk score],tblThreatControls[Control ID],$A137))))</f>
        <v/>
      </c>
      <c r="T137" s="49" cm="1">
        <f t="array" ref="T137">IF($A137="","",IF(AND(H137="Applicable",OR(L137="Not assessed",L137=""),R137&gt;0),"Yes","No"))</f>
        <v/>
      </c>
      <c r="U137" s="49" cm="1">
        <f t="array" ref="U137">IF($A137="","",IF(AND(H137="Applicable",OR(L137="Gap",L137="Partial coverage")),INDEX(RISK_SCALE_NAMES,MAX(IFERROR(MATCH(P137,RISK_SCALE_NAMES,0),1),IFERROR(MATCH(S137,RISK_SCALE_NAMES,0),0))),""))</f>
        <v/>
      </c>
      <c r="V137" s="49" cm="1">
        <f t="array" ref="V137">IF($A137="","",_xlfn.TEXTJOIN("; ",TRUE,_xlfn._xlws.FILTER(tblThreatControls[Threat ID],(tblThreatControls[Control ID]=$A137)*(tblThreatControls[Threat applies]="Applies"),"")))</f>
        <v/>
      </c>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c r="R138" s="49" cm="1">
        <f t="array" ref="R138">IF($A138="","",COUNTIFS(tblThreatControls[Control ID],$A138,tblThreatControls[Threat applies],"Applies"))</f>
        <v/>
      </c>
      <c r="S138" s="49" cm="1">
        <f t="array" ref="S138">IF($A138="","",IF(R138=0,"",INDEX(RISK_SCALE_NAMES,_xlfn.MAXIFS(tblThreatControls[Threat risk score],tblThreatControls[Control ID],$A138))))</f>
        <v/>
      </c>
      <c r="T138" s="49" cm="1">
        <f t="array" ref="T138">IF($A138="","",IF(AND(H138="Applicable",OR(L138="Not assessed",L138=""),R138&gt;0),"Yes","No"))</f>
        <v/>
      </c>
      <c r="U138" s="49" cm="1">
        <f t="array" ref="U138">IF($A138="","",IF(AND(H138="Applicable",OR(L138="Gap",L138="Partial coverage")),INDEX(RISK_SCALE_NAMES,MAX(IFERROR(MATCH(P138,RISK_SCALE_NAMES,0),1),IFERROR(MATCH(S138,RISK_SCALE_NAMES,0),0))),""))</f>
        <v/>
      </c>
      <c r="V138" s="49" cm="1">
        <f t="array" ref="V138">IF($A138="","",_xlfn.TEXTJOIN("; ",TRUE,_xlfn._xlws.FILTER(tblThreatControls[Threat ID],(tblThreatControls[Control ID]=$A138)*(tblThreatControls[Threat applies]="Applies"),"")))</f>
        <v/>
      </c>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c r="R139" s="49" cm="1">
        <f t="array" ref="R139">IF($A139="","",COUNTIFS(tblThreatControls[Control ID],$A139,tblThreatControls[Threat applies],"Applies"))</f>
        <v/>
      </c>
      <c r="S139" s="49" cm="1">
        <f t="array" ref="S139">IF($A139="","",IF(R139=0,"",INDEX(RISK_SCALE_NAMES,_xlfn.MAXIFS(tblThreatControls[Threat risk score],tblThreatControls[Control ID],$A139))))</f>
        <v/>
      </c>
      <c r="T139" s="49" cm="1">
        <f t="array" ref="T139">IF($A139="","",IF(AND(H139="Applicable",OR(L139="Not assessed",L139=""),R139&gt;0),"Yes","No"))</f>
        <v/>
      </c>
      <c r="U139" s="49" cm="1">
        <f t="array" ref="U139">IF($A139="","",IF(AND(H139="Applicable",OR(L139="Gap",L139="Partial coverage")),INDEX(RISK_SCALE_NAMES,MAX(IFERROR(MATCH(P139,RISK_SCALE_NAMES,0),1),IFERROR(MATCH(S139,RISK_SCALE_NAMES,0),0))),""))</f>
        <v/>
      </c>
      <c r="V139" s="49" cm="1">
        <f t="array" ref="V139">IF($A139="","",_xlfn.TEXTJOIN("; ",TRUE,_xlfn._xlws.FILTER(tblThreatControls[Threat ID],(tblThreatControls[Control ID]=$A139)*(tblThreatControls[Threat applies]="Applies"),"")))</f>
        <v/>
      </c>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c r="R140" s="49" cm="1">
        <f t="array" ref="R140">IF($A140="","",COUNTIFS(tblThreatControls[Control ID],$A140,tblThreatControls[Threat applies],"Applies"))</f>
        <v/>
      </c>
      <c r="S140" s="49" cm="1">
        <f t="array" ref="S140">IF($A140="","",IF(R140=0,"",INDEX(RISK_SCALE_NAMES,_xlfn.MAXIFS(tblThreatControls[Threat risk score],tblThreatControls[Control ID],$A140))))</f>
        <v/>
      </c>
      <c r="T140" s="49" cm="1">
        <f t="array" ref="T140">IF($A140="","",IF(AND(H140="Applicable",OR(L140="Not assessed",L140=""),R140&gt;0),"Yes","No"))</f>
        <v/>
      </c>
      <c r="U140" s="49" cm="1">
        <f t="array" ref="U140">IF($A140="","",IF(AND(H140="Applicable",OR(L140="Gap",L140="Partial coverage")),INDEX(RISK_SCALE_NAMES,MAX(IFERROR(MATCH(P140,RISK_SCALE_NAMES,0),1),IFERROR(MATCH(S140,RISK_SCALE_NAMES,0),0))),""))</f>
        <v/>
      </c>
      <c r="V140" s="49" cm="1">
        <f t="array" ref="V140">IF($A140="","",_xlfn.TEXTJOIN("; ",TRUE,_xlfn._xlws.FILTER(tblThreatControls[Threat ID],(tblThreatControls[Control ID]=$A140)*(tblThreatControls[Threat applies]="Applies"),"")))</f>
        <v/>
      </c>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c r="R141" s="49" cm="1">
        <f t="array" ref="R141">IF($A141="","",COUNTIFS(tblThreatControls[Control ID],$A141,tblThreatControls[Threat applies],"Applies"))</f>
        <v/>
      </c>
      <c r="S141" s="49" cm="1">
        <f t="array" ref="S141">IF($A141="","",IF(R141=0,"",INDEX(RISK_SCALE_NAMES,_xlfn.MAXIFS(tblThreatControls[Threat risk score],tblThreatControls[Control ID],$A141))))</f>
        <v/>
      </c>
      <c r="T141" s="49" cm="1">
        <f t="array" ref="T141">IF($A141="","",IF(AND(H141="Applicable",OR(L141="Not assessed",L141=""),R141&gt;0),"Yes","No"))</f>
        <v/>
      </c>
      <c r="U141" s="49" cm="1">
        <f t="array" ref="U141">IF($A141="","",IF(AND(H141="Applicable",OR(L141="Gap",L141="Partial coverage")),INDEX(RISK_SCALE_NAMES,MAX(IFERROR(MATCH(P141,RISK_SCALE_NAMES,0),1),IFERROR(MATCH(S141,RISK_SCALE_NAMES,0),0))),""))</f>
        <v/>
      </c>
      <c r="V141" s="49" cm="1">
        <f t="array" ref="V141">IF($A141="","",_xlfn.TEXTJOIN("; ",TRUE,_xlfn._xlws.FILTER(tblThreatControls[Threat ID],(tblThreatControls[Control ID]=$A141)*(tblThreatControls[Threat applies]="Applies"),"")))</f>
        <v/>
      </c>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c r="R142" s="49" cm="1">
        <f t="array" ref="R142">IF($A142="","",COUNTIFS(tblThreatControls[Control ID],$A142,tblThreatControls[Threat applies],"Applies"))</f>
        <v/>
      </c>
      <c r="S142" s="49" cm="1">
        <f t="array" ref="S142">IF($A142="","",IF(R142=0,"",INDEX(RISK_SCALE_NAMES,_xlfn.MAXIFS(tblThreatControls[Threat risk score],tblThreatControls[Control ID],$A142))))</f>
        <v/>
      </c>
      <c r="T142" s="49" cm="1">
        <f t="array" ref="T142">IF($A142="","",IF(AND(H142="Applicable",OR(L142="Not assessed",L142=""),R142&gt;0),"Yes","No"))</f>
        <v/>
      </c>
      <c r="U142" s="49" cm="1">
        <f t="array" ref="U142">IF($A142="","",IF(AND(H142="Applicable",OR(L142="Gap",L142="Partial coverage")),INDEX(RISK_SCALE_NAMES,MAX(IFERROR(MATCH(P142,RISK_SCALE_NAMES,0),1),IFERROR(MATCH(S142,RISK_SCALE_NAMES,0),0))),""))</f>
        <v/>
      </c>
      <c r="V142" s="49" cm="1">
        <f t="array" ref="V142">IF($A142="","",_xlfn.TEXTJOIN("; ",TRUE,_xlfn._xlws.FILTER(tblThreatControls[Threat ID],(tblThreatControls[Control ID]=$A142)*(tblThreatControls[Threat applies]="Applies"),"")))</f>
        <v/>
      </c>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c r="R143" s="49" cm="1">
        <f t="array" ref="R143">IF($A143="","",COUNTIFS(tblThreatControls[Control ID],$A143,tblThreatControls[Threat applies],"Applies"))</f>
        <v/>
      </c>
      <c r="S143" s="49" cm="1">
        <f t="array" ref="S143">IF($A143="","",IF(R143=0,"",INDEX(RISK_SCALE_NAMES,_xlfn.MAXIFS(tblThreatControls[Threat risk score],tblThreatControls[Control ID],$A143))))</f>
        <v/>
      </c>
      <c r="T143" s="49" cm="1">
        <f t="array" ref="T143">IF($A143="","",IF(AND(H143="Applicable",OR(L143="Not assessed",L143=""),R143&gt;0),"Yes","No"))</f>
        <v/>
      </c>
      <c r="U143" s="49" cm="1">
        <f t="array" ref="U143">IF($A143="","",IF(AND(H143="Applicable",OR(L143="Gap",L143="Partial coverage")),INDEX(RISK_SCALE_NAMES,MAX(IFERROR(MATCH(P143,RISK_SCALE_NAMES,0),1),IFERROR(MATCH(S143,RISK_SCALE_NAMES,0),0))),""))</f>
        <v/>
      </c>
      <c r="V143" s="49" cm="1">
        <f t="array" ref="V143">IF($A143="","",_xlfn.TEXTJOIN("; ",TRUE,_xlfn._xlws.FILTER(tblThreatControls[Threat ID],(tblThreatControls[Control ID]=$A143)*(tblThreatControls[Threat applies]="Applies"),"")))</f>
        <v/>
      </c>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c r="R144" s="49" cm="1">
        <f t="array" ref="R144">IF($A144="","",COUNTIFS(tblThreatControls[Control ID],$A144,tblThreatControls[Threat applies],"Applies"))</f>
        <v/>
      </c>
      <c r="S144" s="49" cm="1">
        <f t="array" ref="S144">IF($A144="","",IF(R144=0,"",INDEX(RISK_SCALE_NAMES,_xlfn.MAXIFS(tblThreatControls[Threat risk score],tblThreatControls[Control ID],$A144))))</f>
        <v/>
      </c>
      <c r="T144" s="49" cm="1">
        <f t="array" ref="T144">IF($A144="","",IF(AND(H144="Applicable",OR(L144="Not assessed",L144=""),R144&gt;0),"Yes","No"))</f>
        <v/>
      </c>
      <c r="U144" s="49" cm="1">
        <f t="array" ref="U144">IF($A144="","",IF(AND(H144="Applicable",OR(L144="Gap",L144="Partial coverage")),INDEX(RISK_SCALE_NAMES,MAX(IFERROR(MATCH(P144,RISK_SCALE_NAMES,0),1),IFERROR(MATCH(S144,RISK_SCALE_NAMES,0),0))),""))</f>
        <v/>
      </c>
      <c r="V144" s="49" cm="1">
        <f t="array" ref="V144">IF($A144="","",_xlfn.TEXTJOIN("; ",TRUE,_xlfn._xlws.FILTER(tblThreatControls[Threat ID],(tblThreatControls[Control ID]=$A144)*(tblThreatControls[Threat applies]="Applies"),"")))</f>
        <v/>
      </c>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c r="R145" s="49" cm="1">
        <f t="array" ref="R145">IF($A145="","",COUNTIFS(tblThreatControls[Control ID],$A145,tblThreatControls[Threat applies],"Applies"))</f>
        <v/>
      </c>
      <c r="S145" s="49" cm="1">
        <f t="array" ref="S145">IF($A145="","",IF(R145=0,"",INDEX(RISK_SCALE_NAMES,_xlfn.MAXIFS(tblThreatControls[Threat risk score],tblThreatControls[Control ID],$A145))))</f>
        <v/>
      </c>
      <c r="T145" s="49" cm="1">
        <f t="array" ref="T145">IF($A145="","",IF(AND(H145="Applicable",OR(L145="Not assessed",L145=""),R145&gt;0),"Yes","No"))</f>
        <v/>
      </c>
      <c r="U145" s="49" cm="1">
        <f t="array" ref="U145">IF($A145="","",IF(AND(H145="Applicable",OR(L145="Gap",L145="Partial coverage")),INDEX(RISK_SCALE_NAMES,MAX(IFERROR(MATCH(P145,RISK_SCALE_NAMES,0),1),IFERROR(MATCH(S145,RISK_SCALE_NAMES,0),0))),""))</f>
        <v/>
      </c>
      <c r="V145" s="49" cm="1">
        <f t="array" ref="V145">IF($A145="","",_xlfn.TEXTJOIN("; ",TRUE,_xlfn._xlws.FILTER(tblThreatControls[Threat ID],(tblThreatControls[Control ID]=$A145)*(tblThreatControls[Threat applies]="Applies"),"")))</f>
        <v/>
      </c>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c r="R146" s="49" cm="1">
        <f t="array" ref="R146">IF($A146="","",COUNTIFS(tblThreatControls[Control ID],$A146,tblThreatControls[Threat applies],"Applies"))</f>
        <v/>
      </c>
      <c r="S146" s="49" cm="1">
        <f t="array" ref="S146">IF($A146="","",IF(R146=0,"",INDEX(RISK_SCALE_NAMES,_xlfn.MAXIFS(tblThreatControls[Threat risk score],tblThreatControls[Control ID],$A146))))</f>
        <v/>
      </c>
      <c r="T146" s="49" cm="1">
        <f t="array" ref="T146">IF($A146="","",IF(AND(H146="Applicable",OR(L146="Not assessed",L146=""),R146&gt;0),"Yes","No"))</f>
        <v/>
      </c>
      <c r="U146" s="49" cm="1">
        <f t="array" ref="U146">IF($A146="","",IF(AND(H146="Applicable",OR(L146="Gap",L146="Partial coverage")),INDEX(RISK_SCALE_NAMES,MAX(IFERROR(MATCH(P146,RISK_SCALE_NAMES,0),1),IFERROR(MATCH(S146,RISK_SCALE_NAMES,0),0))),""))</f>
        <v/>
      </c>
      <c r="V146" s="49" cm="1">
        <f t="array" ref="V146">IF($A146="","",_xlfn.TEXTJOIN("; ",TRUE,_xlfn._xlws.FILTER(tblThreatControls[Threat ID],(tblThreatControls[Control ID]=$A146)*(tblThreatControls[Threat applies]="Applies"),"")))</f>
        <v/>
      </c>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c r="R147" s="49" cm="1">
        <f t="array" ref="R147">IF($A147="","",COUNTIFS(tblThreatControls[Control ID],$A147,tblThreatControls[Threat applies],"Applies"))</f>
        <v/>
      </c>
      <c r="S147" s="49" cm="1">
        <f t="array" ref="S147">IF($A147="","",IF(R147=0,"",INDEX(RISK_SCALE_NAMES,_xlfn.MAXIFS(tblThreatControls[Threat risk score],tblThreatControls[Control ID],$A147))))</f>
        <v/>
      </c>
      <c r="T147" s="49" cm="1">
        <f t="array" ref="T147">IF($A147="","",IF(AND(H147="Applicable",OR(L147="Not assessed",L147=""),R147&gt;0),"Yes","No"))</f>
        <v/>
      </c>
      <c r="U147" s="49" cm="1">
        <f t="array" ref="U147">IF($A147="","",IF(AND(H147="Applicable",OR(L147="Gap",L147="Partial coverage")),INDEX(RISK_SCALE_NAMES,MAX(IFERROR(MATCH(P147,RISK_SCALE_NAMES,0),1),IFERROR(MATCH(S147,RISK_SCALE_NAMES,0),0))),""))</f>
        <v/>
      </c>
      <c r="V147" s="49" cm="1">
        <f t="array" ref="V147">IF($A147="","",_xlfn.TEXTJOIN("; ",TRUE,_xlfn._xlws.FILTER(tblThreatControls[Threat ID],(tblThreatControls[Control ID]=$A147)*(tblThreatControls[Threat applies]="Applies"),"")))</f>
        <v/>
      </c>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c r="R148" s="49" cm="1">
        <f t="array" ref="R148">IF($A148="","",COUNTIFS(tblThreatControls[Control ID],$A148,tblThreatControls[Threat applies],"Applies"))</f>
        <v/>
      </c>
      <c r="S148" s="49" cm="1">
        <f t="array" ref="S148">IF($A148="","",IF(R148=0,"",INDEX(RISK_SCALE_NAMES,_xlfn.MAXIFS(tblThreatControls[Threat risk score],tblThreatControls[Control ID],$A148))))</f>
        <v/>
      </c>
      <c r="T148" s="49" cm="1">
        <f t="array" ref="T148">IF($A148="","",IF(AND(H148="Applicable",OR(L148="Not assessed",L148=""),R148&gt;0),"Yes","No"))</f>
        <v/>
      </c>
      <c r="U148" s="49" cm="1">
        <f t="array" ref="U148">IF($A148="","",IF(AND(H148="Applicable",OR(L148="Gap",L148="Partial coverage")),INDEX(RISK_SCALE_NAMES,MAX(IFERROR(MATCH(P148,RISK_SCALE_NAMES,0),1),IFERROR(MATCH(S148,RISK_SCALE_NAMES,0),0))),""))</f>
        <v/>
      </c>
      <c r="V148" s="49" cm="1">
        <f t="array" ref="V148">IF($A148="","",_xlfn.TEXTJOIN("; ",TRUE,_xlfn._xlws.FILTER(tblThreatControls[Threat ID],(tblThreatControls[Control ID]=$A148)*(tblThreatControls[Threat applies]="Applies"),"")))</f>
        <v/>
      </c>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c r="R149" s="49" cm="1">
        <f t="array" ref="R149">IF($A149="","",COUNTIFS(tblThreatControls[Control ID],$A149,tblThreatControls[Threat applies],"Applies"))</f>
        <v/>
      </c>
      <c r="S149" s="49" cm="1">
        <f t="array" ref="S149">IF($A149="","",IF(R149=0,"",INDEX(RISK_SCALE_NAMES,_xlfn.MAXIFS(tblThreatControls[Threat risk score],tblThreatControls[Control ID],$A149))))</f>
        <v/>
      </c>
      <c r="T149" s="49" cm="1">
        <f t="array" ref="T149">IF($A149="","",IF(AND(H149="Applicable",OR(L149="Not assessed",L149=""),R149&gt;0),"Yes","No"))</f>
        <v/>
      </c>
      <c r="U149" s="49" cm="1">
        <f t="array" ref="U149">IF($A149="","",IF(AND(H149="Applicable",OR(L149="Gap",L149="Partial coverage")),INDEX(RISK_SCALE_NAMES,MAX(IFERROR(MATCH(P149,RISK_SCALE_NAMES,0),1),IFERROR(MATCH(S149,RISK_SCALE_NAMES,0),0))),""))</f>
        <v/>
      </c>
      <c r="V149" s="49" cm="1">
        <f t="array" ref="V149">IF($A149="","",_xlfn.TEXTJOIN("; ",TRUE,_xlfn._xlws.FILTER(tblThreatControls[Threat ID],(tblThreatControls[Control ID]=$A149)*(tblThreatControls[Threat applies]="Applies"),"")))</f>
        <v/>
      </c>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c r="R150" s="49" cm="1">
        <f t="array" ref="R150">IF($A150="","",COUNTIFS(tblThreatControls[Control ID],$A150,tblThreatControls[Threat applies],"Applies"))</f>
        <v/>
      </c>
      <c r="S150" s="49" cm="1">
        <f t="array" ref="S150">IF($A150="","",IF(R150=0,"",INDEX(RISK_SCALE_NAMES,_xlfn.MAXIFS(tblThreatControls[Threat risk score],tblThreatControls[Control ID],$A150))))</f>
        <v/>
      </c>
      <c r="T150" s="49" cm="1">
        <f t="array" ref="T150">IF($A150="","",IF(AND(H150="Applicable",OR(L150="Not assessed",L150=""),R150&gt;0),"Yes","No"))</f>
        <v/>
      </c>
      <c r="U150" s="49" cm="1">
        <f t="array" ref="U150">IF($A150="","",IF(AND(H150="Applicable",OR(L150="Gap",L150="Partial coverage")),INDEX(RISK_SCALE_NAMES,MAX(IFERROR(MATCH(P150,RISK_SCALE_NAMES,0),1),IFERROR(MATCH(S150,RISK_SCALE_NAMES,0),0))),""))</f>
        <v/>
      </c>
      <c r="V150" s="49" cm="1">
        <f t="array" ref="V150">IF($A150="","",_xlfn.TEXTJOIN("; ",TRUE,_xlfn._xlws.FILTER(tblThreatControls[Threat ID],(tblThreatControls[Control ID]=$A150)*(tblThreatControls[Threat applies]="Applies"),"")))</f>
        <v/>
      </c>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c r="R151" s="49" cm="1">
        <f t="array" ref="R151">IF($A151="","",COUNTIFS(tblThreatControls[Control ID],$A151,tblThreatControls[Threat applies],"Applies"))</f>
        <v/>
      </c>
      <c r="S151" s="49" cm="1">
        <f t="array" ref="S151">IF($A151="","",IF(R151=0,"",INDEX(RISK_SCALE_NAMES,_xlfn.MAXIFS(tblThreatControls[Threat risk score],tblThreatControls[Control ID],$A151))))</f>
        <v/>
      </c>
      <c r="T151" s="49" cm="1">
        <f t="array" ref="T151">IF($A151="","",IF(AND(H151="Applicable",OR(L151="Not assessed",L151=""),R151&gt;0),"Yes","No"))</f>
        <v/>
      </c>
      <c r="U151" s="49" cm="1">
        <f t="array" ref="U151">IF($A151="","",IF(AND(H151="Applicable",OR(L151="Gap",L151="Partial coverage")),INDEX(RISK_SCALE_NAMES,MAX(IFERROR(MATCH(P151,RISK_SCALE_NAMES,0),1),IFERROR(MATCH(S151,RISK_SCALE_NAMES,0),0))),""))</f>
        <v/>
      </c>
      <c r="V151" s="49" cm="1">
        <f t="array" ref="V151">IF($A151="","",_xlfn.TEXTJOIN("; ",TRUE,_xlfn._xlws.FILTER(tblThreatControls[Threat ID],(tblThreatControls[Control ID]=$A151)*(tblThreatControls[Threat applies]="Applies"),"")))</f>
        <v/>
      </c>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c r="R152" s="49" cm="1">
        <f t="array" ref="R152">IF($A152="","",COUNTIFS(tblThreatControls[Control ID],$A152,tblThreatControls[Threat applies],"Applies"))</f>
        <v/>
      </c>
      <c r="S152" s="49" cm="1">
        <f t="array" ref="S152">IF($A152="","",IF(R152=0,"",INDEX(RISK_SCALE_NAMES,_xlfn.MAXIFS(tblThreatControls[Threat risk score],tblThreatControls[Control ID],$A152))))</f>
        <v/>
      </c>
      <c r="T152" s="49" cm="1">
        <f t="array" ref="T152">IF($A152="","",IF(AND(H152="Applicable",OR(L152="Not assessed",L152=""),R152&gt;0),"Yes","No"))</f>
        <v/>
      </c>
      <c r="U152" s="49" cm="1">
        <f t="array" ref="U152">IF($A152="","",IF(AND(H152="Applicable",OR(L152="Gap",L152="Partial coverage")),INDEX(RISK_SCALE_NAMES,MAX(IFERROR(MATCH(P152,RISK_SCALE_NAMES,0),1),IFERROR(MATCH(S152,RISK_SCALE_NAMES,0),0))),""))</f>
        <v/>
      </c>
      <c r="V152" s="49" cm="1">
        <f t="array" ref="V152">IF($A152="","",_xlfn.TEXTJOIN("; ",TRUE,_xlfn._xlws.FILTER(tblThreatControls[Threat ID],(tblThreatControls[Control ID]=$A152)*(tblThreatControls[Threat applies]="Applies"),"")))</f>
        <v/>
      </c>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c r="R153" s="49" cm="1">
        <f t="array" ref="R153">IF($A153="","",COUNTIFS(tblThreatControls[Control ID],$A153,tblThreatControls[Threat applies],"Applies"))</f>
        <v/>
      </c>
      <c r="S153" s="49" cm="1">
        <f t="array" ref="S153">IF($A153="","",IF(R153=0,"",INDEX(RISK_SCALE_NAMES,_xlfn.MAXIFS(tblThreatControls[Threat risk score],tblThreatControls[Control ID],$A153))))</f>
        <v/>
      </c>
      <c r="T153" s="49" cm="1">
        <f t="array" ref="T153">IF($A153="","",IF(AND(H153="Applicable",OR(L153="Not assessed",L153=""),R153&gt;0),"Yes","No"))</f>
        <v/>
      </c>
      <c r="U153" s="49" cm="1">
        <f t="array" ref="U153">IF($A153="","",IF(AND(H153="Applicable",OR(L153="Gap",L153="Partial coverage")),INDEX(RISK_SCALE_NAMES,MAX(IFERROR(MATCH(P153,RISK_SCALE_NAMES,0),1),IFERROR(MATCH(S153,RISK_SCALE_NAMES,0),0))),""))</f>
        <v/>
      </c>
      <c r="V153" s="49" cm="1">
        <f t="array" ref="V153">IF($A153="","",_xlfn.TEXTJOIN("; ",TRUE,_xlfn._xlws.FILTER(tblThreatControls[Threat ID],(tblThreatControls[Control ID]=$A153)*(tblThreatControls[Threat applies]="Applies"),"")))</f>
        <v/>
      </c>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c r="R154" s="49" cm="1">
        <f t="array" ref="R154">IF($A154="","",COUNTIFS(tblThreatControls[Control ID],$A154,tblThreatControls[Threat applies],"Applies"))</f>
        <v/>
      </c>
      <c r="S154" s="49" cm="1">
        <f t="array" ref="S154">IF($A154="","",IF(R154=0,"",INDEX(RISK_SCALE_NAMES,_xlfn.MAXIFS(tblThreatControls[Threat risk score],tblThreatControls[Control ID],$A154))))</f>
        <v/>
      </c>
      <c r="T154" s="49" cm="1">
        <f t="array" ref="T154">IF($A154="","",IF(AND(H154="Applicable",OR(L154="Not assessed",L154=""),R154&gt;0),"Yes","No"))</f>
        <v/>
      </c>
      <c r="U154" s="49" cm="1">
        <f t="array" ref="U154">IF($A154="","",IF(AND(H154="Applicable",OR(L154="Gap",L154="Partial coverage")),INDEX(RISK_SCALE_NAMES,MAX(IFERROR(MATCH(P154,RISK_SCALE_NAMES,0),1),IFERROR(MATCH(S154,RISK_SCALE_NAMES,0),0))),""))</f>
        <v/>
      </c>
      <c r="V154" s="49" cm="1">
        <f t="array" ref="V154">IF($A154="","",_xlfn.TEXTJOIN("; ",TRUE,_xlfn._xlws.FILTER(tblThreatControls[Threat ID],(tblThreatControls[Control ID]=$A154)*(tblThreatControls[Threat applies]="Applies"),"")))</f>
        <v/>
      </c>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c r="R155" s="49" cm="1">
        <f t="array" ref="R155">IF($A155="","",COUNTIFS(tblThreatControls[Control ID],$A155,tblThreatControls[Threat applies],"Applies"))</f>
        <v/>
      </c>
      <c r="S155" s="49" cm="1">
        <f t="array" ref="S155">IF($A155="","",IF(R155=0,"",INDEX(RISK_SCALE_NAMES,_xlfn.MAXIFS(tblThreatControls[Threat risk score],tblThreatControls[Control ID],$A155))))</f>
        <v/>
      </c>
      <c r="T155" s="49" cm="1">
        <f t="array" ref="T155">IF($A155="","",IF(AND(H155="Applicable",OR(L155="Not assessed",L155=""),R155&gt;0),"Yes","No"))</f>
        <v/>
      </c>
      <c r="U155" s="49" cm="1">
        <f t="array" ref="U155">IF($A155="","",IF(AND(H155="Applicable",OR(L155="Gap",L155="Partial coverage")),INDEX(RISK_SCALE_NAMES,MAX(IFERROR(MATCH(P155,RISK_SCALE_NAMES,0),1),IFERROR(MATCH(S155,RISK_SCALE_NAMES,0),0))),""))</f>
        <v/>
      </c>
      <c r="V155" s="49" cm="1">
        <f t="array" ref="V155">IF($A155="","",_xlfn.TEXTJOIN("; ",TRUE,_xlfn._xlws.FILTER(tblThreatControls[Threat ID],(tblThreatControls[Control ID]=$A155)*(tblThreatControls[Threat applies]="Applies"),"")))</f>
        <v/>
      </c>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c r="R156" s="49" cm="1">
        <f t="array" ref="R156">IF($A156="","",COUNTIFS(tblThreatControls[Control ID],$A156,tblThreatControls[Threat applies],"Applies"))</f>
        <v/>
      </c>
      <c r="S156" s="49" cm="1">
        <f t="array" ref="S156">IF($A156="","",IF(R156=0,"",INDEX(RISK_SCALE_NAMES,_xlfn.MAXIFS(tblThreatControls[Threat risk score],tblThreatControls[Control ID],$A156))))</f>
        <v/>
      </c>
      <c r="T156" s="49" cm="1">
        <f t="array" ref="T156">IF($A156="","",IF(AND(H156="Applicable",OR(L156="Not assessed",L156=""),R156&gt;0),"Yes","No"))</f>
        <v/>
      </c>
      <c r="U156" s="49" cm="1">
        <f t="array" ref="U156">IF($A156="","",IF(AND(H156="Applicable",OR(L156="Gap",L156="Partial coverage")),INDEX(RISK_SCALE_NAMES,MAX(IFERROR(MATCH(P156,RISK_SCALE_NAMES,0),1),IFERROR(MATCH(S156,RISK_SCALE_NAMES,0),0))),""))</f>
        <v/>
      </c>
      <c r="V156" s="49" cm="1">
        <f t="array" ref="V156">IF($A156="","",_xlfn.TEXTJOIN("; ",TRUE,_xlfn._xlws.FILTER(tblThreatControls[Threat ID],(tblThreatControls[Control ID]=$A156)*(tblThreatControls[Threat applies]="Applies"),"")))</f>
        <v/>
      </c>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c r="R157" s="49" cm="1">
        <f t="array" ref="R157">IF($A157="","",COUNTIFS(tblThreatControls[Control ID],$A157,tblThreatControls[Threat applies],"Applies"))</f>
        <v/>
      </c>
      <c r="S157" s="49" cm="1">
        <f t="array" ref="S157">IF($A157="","",IF(R157=0,"",INDEX(RISK_SCALE_NAMES,_xlfn.MAXIFS(tblThreatControls[Threat risk score],tblThreatControls[Control ID],$A157))))</f>
        <v/>
      </c>
      <c r="T157" s="49" cm="1">
        <f t="array" ref="T157">IF($A157="","",IF(AND(H157="Applicable",OR(L157="Not assessed",L157=""),R157&gt;0),"Yes","No"))</f>
        <v/>
      </c>
      <c r="U157" s="49" cm="1">
        <f t="array" ref="U157">IF($A157="","",IF(AND(H157="Applicable",OR(L157="Gap",L157="Partial coverage")),INDEX(RISK_SCALE_NAMES,MAX(IFERROR(MATCH(P157,RISK_SCALE_NAMES,0),1),IFERROR(MATCH(S157,RISK_SCALE_NAMES,0),0))),""))</f>
        <v/>
      </c>
      <c r="V157" s="49" cm="1">
        <f t="array" ref="V157">IF($A157="","",_xlfn.TEXTJOIN("; ",TRUE,_xlfn._xlws.FILTER(tblThreatControls[Threat ID],(tblThreatControls[Control ID]=$A157)*(tblThreatControls[Threat applies]="Applies"),"")))</f>
        <v/>
      </c>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c r="R158" s="49" cm="1">
        <f t="array" ref="R158">IF($A158="","",COUNTIFS(tblThreatControls[Control ID],$A158,tblThreatControls[Threat applies],"Applies"))</f>
        <v/>
      </c>
      <c r="S158" s="49" cm="1">
        <f t="array" ref="S158">IF($A158="","",IF(R158=0,"",INDEX(RISK_SCALE_NAMES,_xlfn.MAXIFS(tblThreatControls[Threat risk score],tblThreatControls[Control ID],$A158))))</f>
        <v/>
      </c>
      <c r="T158" s="49" cm="1">
        <f t="array" ref="T158">IF($A158="","",IF(AND(H158="Applicable",OR(L158="Not assessed",L158=""),R158&gt;0),"Yes","No"))</f>
        <v/>
      </c>
      <c r="U158" s="49" cm="1">
        <f t="array" ref="U158">IF($A158="","",IF(AND(H158="Applicable",OR(L158="Gap",L158="Partial coverage")),INDEX(RISK_SCALE_NAMES,MAX(IFERROR(MATCH(P158,RISK_SCALE_NAMES,0),1),IFERROR(MATCH(S158,RISK_SCALE_NAMES,0),0))),""))</f>
        <v/>
      </c>
      <c r="V158" s="49" cm="1">
        <f t="array" ref="V158">IF($A158="","",_xlfn.TEXTJOIN("; ",TRUE,_xlfn._xlws.FILTER(tblThreatControls[Threat ID],(tblThreatControls[Control ID]=$A158)*(tblThreatControls[Threat applies]="Applies"),"")))</f>
        <v/>
      </c>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c r="R159" s="49" cm="1">
        <f t="array" ref="R159">IF($A159="","",COUNTIFS(tblThreatControls[Control ID],$A159,tblThreatControls[Threat applies],"Applies"))</f>
        <v/>
      </c>
      <c r="S159" s="49" cm="1">
        <f t="array" ref="S159">IF($A159="","",IF(R159=0,"",INDEX(RISK_SCALE_NAMES,_xlfn.MAXIFS(tblThreatControls[Threat risk score],tblThreatControls[Control ID],$A159))))</f>
        <v/>
      </c>
      <c r="T159" s="49" cm="1">
        <f t="array" ref="T159">IF($A159="","",IF(AND(H159="Applicable",OR(L159="Not assessed",L159=""),R159&gt;0),"Yes","No"))</f>
        <v/>
      </c>
      <c r="U159" s="49" cm="1">
        <f t="array" ref="U159">IF($A159="","",IF(AND(H159="Applicable",OR(L159="Gap",L159="Partial coverage")),INDEX(RISK_SCALE_NAMES,MAX(IFERROR(MATCH(P159,RISK_SCALE_NAMES,0),1),IFERROR(MATCH(S159,RISK_SCALE_NAMES,0),0))),""))</f>
        <v/>
      </c>
      <c r="V159" s="49" cm="1">
        <f t="array" ref="V159">IF($A159="","",_xlfn.TEXTJOIN("; ",TRUE,_xlfn._xlws.FILTER(tblThreatControls[Threat ID],(tblThreatControls[Control ID]=$A159)*(tblThreatControls[Threat applies]="Applies"),"")))</f>
        <v/>
      </c>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c r="R160" s="49" cm="1">
        <f t="array" ref="R160">IF($A160="","",COUNTIFS(tblThreatControls[Control ID],$A160,tblThreatControls[Threat applies],"Applies"))</f>
        <v/>
      </c>
      <c r="S160" s="49" cm="1">
        <f t="array" ref="S160">IF($A160="","",IF(R160=0,"",INDEX(RISK_SCALE_NAMES,_xlfn.MAXIFS(tblThreatControls[Threat risk score],tblThreatControls[Control ID],$A160))))</f>
        <v/>
      </c>
      <c r="T160" s="49" cm="1">
        <f t="array" ref="T160">IF($A160="","",IF(AND(H160="Applicable",OR(L160="Not assessed",L160=""),R160&gt;0),"Yes","No"))</f>
        <v/>
      </c>
      <c r="U160" s="49" cm="1">
        <f t="array" ref="U160">IF($A160="","",IF(AND(H160="Applicable",OR(L160="Gap",L160="Partial coverage")),INDEX(RISK_SCALE_NAMES,MAX(IFERROR(MATCH(P160,RISK_SCALE_NAMES,0),1),IFERROR(MATCH(S160,RISK_SCALE_NAMES,0),0))),""))</f>
        <v/>
      </c>
      <c r="V160" s="49" cm="1">
        <f t="array" ref="V160">IF($A160="","",_xlfn.TEXTJOIN("; ",TRUE,_xlfn._xlws.FILTER(tblThreatControls[Threat ID],(tblThreatControls[Control ID]=$A160)*(tblThreatControls[Threat applies]="Applies"),"")))</f>
        <v/>
      </c>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c r="R161" s="49" cm="1">
        <f t="array" ref="R161">IF($A161="","",COUNTIFS(tblThreatControls[Control ID],$A161,tblThreatControls[Threat applies],"Applies"))</f>
        <v/>
      </c>
      <c r="S161" s="49" cm="1">
        <f t="array" ref="S161">IF($A161="","",IF(R161=0,"",INDEX(RISK_SCALE_NAMES,_xlfn.MAXIFS(tblThreatControls[Threat risk score],tblThreatControls[Control ID],$A161))))</f>
        <v/>
      </c>
      <c r="T161" s="49" cm="1">
        <f t="array" ref="T161">IF($A161="","",IF(AND(H161="Applicable",OR(L161="Not assessed",L161=""),R161&gt;0),"Yes","No"))</f>
        <v/>
      </c>
      <c r="U161" s="49" cm="1">
        <f t="array" ref="U161">IF($A161="","",IF(AND(H161="Applicable",OR(L161="Gap",L161="Partial coverage")),INDEX(RISK_SCALE_NAMES,MAX(IFERROR(MATCH(P161,RISK_SCALE_NAMES,0),1),IFERROR(MATCH(S161,RISK_SCALE_NAMES,0),0))),""))</f>
        <v/>
      </c>
      <c r="V161" s="49" cm="1">
        <f t="array" ref="V161">IF($A161="","",_xlfn.TEXTJOIN("; ",TRUE,_xlfn._xlws.FILTER(tblThreatControls[Threat ID],(tblThreatControls[Control ID]=$A161)*(tblThreatControls[Threat applies]="Applies"),"")))</f>
        <v/>
      </c>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c r="R162" s="49" cm="1">
        <f t="array" ref="R162">IF($A162="","",COUNTIFS(tblThreatControls[Control ID],$A162,tblThreatControls[Threat applies],"Applies"))</f>
        <v/>
      </c>
      <c r="S162" s="49" cm="1">
        <f t="array" ref="S162">IF($A162="","",IF(R162=0,"",INDEX(RISK_SCALE_NAMES,_xlfn.MAXIFS(tblThreatControls[Threat risk score],tblThreatControls[Control ID],$A162))))</f>
        <v/>
      </c>
      <c r="T162" s="49" cm="1">
        <f t="array" ref="T162">IF($A162="","",IF(AND(H162="Applicable",OR(L162="Not assessed",L162=""),R162&gt;0),"Yes","No"))</f>
        <v/>
      </c>
      <c r="U162" s="49" cm="1">
        <f t="array" ref="U162">IF($A162="","",IF(AND(H162="Applicable",OR(L162="Gap",L162="Partial coverage")),INDEX(RISK_SCALE_NAMES,MAX(IFERROR(MATCH(P162,RISK_SCALE_NAMES,0),1),IFERROR(MATCH(S162,RISK_SCALE_NAMES,0),0))),""))</f>
        <v/>
      </c>
      <c r="V162" s="49" cm="1">
        <f t="array" ref="V162">IF($A162="","",_xlfn.TEXTJOIN("; ",TRUE,_xlfn._xlws.FILTER(tblThreatControls[Threat ID],(tblThreatControls[Control ID]=$A162)*(tblThreatControls[Threat applies]="Applies"),"")))</f>
        <v/>
      </c>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c r="R163" s="49" cm="1">
        <f t="array" ref="R163">IF($A163="","",COUNTIFS(tblThreatControls[Control ID],$A163,tblThreatControls[Threat applies],"Applies"))</f>
        <v/>
      </c>
      <c r="S163" s="49" cm="1">
        <f t="array" ref="S163">IF($A163="","",IF(R163=0,"",INDEX(RISK_SCALE_NAMES,_xlfn.MAXIFS(tblThreatControls[Threat risk score],tblThreatControls[Control ID],$A163))))</f>
        <v/>
      </c>
      <c r="T163" s="49" cm="1">
        <f t="array" ref="T163">IF($A163="","",IF(AND(H163="Applicable",OR(L163="Not assessed",L163=""),R163&gt;0),"Yes","No"))</f>
        <v/>
      </c>
      <c r="U163" s="49" cm="1">
        <f t="array" ref="U163">IF($A163="","",IF(AND(H163="Applicable",OR(L163="Gap",L163="Partial coverage")),INDEX(RISK_SCALE_NAMES,MAX(IFERROR(MATCH(P163,RISK_SCALE_NAMES,0),1),IFERROR(MATCH(S163,RISK_SCALE_NAMES,0),0))),""))</f>
        <v/>
      </c>
      <c r="V163" s="49" cm="1">
        <f t="array" ref="V163">IF($A163="","",_xlfn.TEXTJOIN("; ",TRUE,_xlfn._xlws.FILTER(tblThreatControls[Threat ID],(tblThreatControls[Control ID]=$A163)*(tblThreatControls[Threat applies]="Applies"),"")))</f>
        <v/>
      </c>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c r="R164" s="49" cm="1">
        <f t="array" ref="R164">IF($A164="","",COUNTIFS(tblThreatControls[Control ID],$A164,tblThreatControls[Threat applies],"Applies"))</f>
        <v/>
      </c>
      <c r="S164" s="49" cm="1">
        <f t="array" ref="S164">IF($A164="","",IF(R164=0,"",INDEX(RISK_SCALE_NAMES,_xlfn.MAXIFS(tblThreatControls[Threat risk score],tblThreatControls[Control ID],$A164))))</f>
        <v/>
      </c>
      <c r="T164" s="49" cm="1">
        <f t="array" ref="T164">IF($A164="","",IF(AND(H164="Applicable",OR(L164="Not assessed",L164=""),R164&gt;0),"Yes","No"))</f>
        <v/>
      </c>
      <c r="U164" s="49" cm="1">
        <f t="array" ref="U164">IF($A164="","",IF(AND(H164="Applicable",OR(L164="Gap",L164="Partial coverage")),INDEX(RISK_SCALE_NAMES,MAX(IFERROR(MATCH(P164,RISK_SCALE_NAMES,0),1),IFERROR(MATCH(S164,RISK_SCALE_NAMES,0),0))),""))</f>
        <v/>
      </c>
      <c r="V164" s="49" cm="1">
        <f t="array" ref="V164">IF($A164="","",_xlfn.TEXTJOIN("; ",TRUE,_xlfn._xlws.FILTER(tblThreatControls[Threat ID],(tblThreatControls[Control ID]=$A164)*(tblThreatControls[Threat applies]="Applies"),"")))</f>
        <v/>
      </c>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c r="R165" s="49" cm="1">
        <f t="array" ref="R165">IF($A165="","",COUNTIFS(tblThreatControls[Control ID],$A165,tblThreatControls[Threat applies],"Applies"))</f>
        <v/>
      </c>
      <c r="S165" s="49" cm="1">
        <f t="array" ref="S165">IF($A165="","",IF(R165=0,"",INDEX(RISK_SCALE_NAMES,_xlfn.MAXIFS(tblThreatControls[Threat risk score],tblThreatControls[Control ID],$A165))))</f>
        <v/>
      </c>
      <c r="T165" s="49" cm="1">
        <f t="array" ref="T165">IF($A165="","",IF(AND(H165="Applicable",OR(L165="Not assessed",L165=""),R165&gt;0),"Yes","No"))</f>
        <v/>
      </c>
      <c r="U165" s="49" cm="1">
        <f t="array" ref="U165">IF($A165="","",IF(AND(H165="Applicable",OR(L165="Gap",L165="Partial coverage")),INDEX(RISK_SCALE_NAMES,MAX(IFERROR(MATCH(P165,RISK_SCALE_NAMES,0),1),IFERROR(MATCH(S165,RISK_SCALE_NAMES,0),0))),""))</f>
        <v/>
      </c>
      <c r="V165" s="49" cm="1">
        <f t="array" ref="V165">IF($A165="","",_xlfn.TEXTJOIN("; ",TRUE,_xlfn._xlws.FILTER(tblThreatControls[Threat ID],(tblThreatControls[Control ID]=$A165)*(tblThreatControls[Threat applies]="Applies"),"")))</f>
        <v/>
      </c>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c r="R166" s="49" cm="1">
        <f t="array" ref="R166">IF($A166="","",COUNTIFS(tblThreatControls[Control ID],$A166,tblThreatControls[Threat applies],"Applies"))</f>
        <v/>
      </c>
      <c r="S166" s="49" cm="1">
        <f t="array" ref="S166">IF($A166="","",IF(R166=0,"",INDEX(RISK_SCALE_NAMES,_xlfn.MAXIFS(tblThreatControls[Threat risk score],tblThreatControls[Control ID],$A166))))</f>
        <v/>
      </c>
      <c r="T166" s="49" cm="1">
        <f t="array" ref="T166">IF($A166="","",IF(AND(H166="Applicable",OR(L166="Not assessed",L166=""),R166&gt;0),"Yes","No"))</f>
        <v/>
      </c>
      <c r="U166" s="49" cm="1">
        <f t="array" ref="U166">IF($A166="","",IF(AND(H166="Applicable",OR(L166="Gap",L166="Partial coverage")),INDEX(RISK_SCALE_NAMES,MAX(IFERROR(MATCH(P166,RISK_SCALE_NAMES,0),1),IFERROR(MATCH(S166,RISK_SCALE_NAMES,0),0))),""))</f>
        <v/>
      </c>
      <c r="V166" s="49" cm="1">
        <f t="array" ref="V166">IF($A166="","",_xlfn.TEXTJOIN("; ",TRUE,_xlfn._xlws.FILTER(tblThreatControls[Threat ID],(tblThreatControls[Control ID]=$A166)*(tblThreatControls[Threat applies]="Applies"),"")))</f>
        <v/>
      </c>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c r="R167" s="49" cm="1">
        <f t="array" ref="R167">IF($A167="","",COUNTIFS(tblThreatControls[Control ID],$A167,tblThreatControls[Threat applies],"Applies"))</f>
        <v/>
      </c>
      <c r="S167" s="49" cm="1">
        <f t="array" ref="S167">IF($A167="","",IF(R167=0,"",INDEX(RISK_SCALE_NAMES,_xlfn.MAXIFS(tblThreatControls[Threat risk score],tblThreatControls[Control ID],$A167))))</f>
        <v/>
      </c>
      <c r="T167" s="49" cm="1">
        <f t="array" ref="T167">IF($A167="","",IF(AND(H167="Applicable",OR(L167="Not assessed",L167=""),R167&gt;0),"Yes","No"))</f>
        <v/>
      </c>
      <c r="U167" s="49" cm="1">
        <f t="array" ref="U167">IF($A167="","",IF(AND(H167="Applicable",OR(L167="Gap",L167="Partial coverage")),INDEX(RISK_SCALE_NAMES,MAX(IFERROR(MATCH(P167,RISK_SCALE_NAMES,0),1),IFERROR(MATCH(S167,RISK_SCALE_NAMES,0),0))),""))</f>
        <v/>
      </c>
      <c r="V167" s="49" cm="1">
        <f t="array" ref="V167">IF($A167="","",_xlfn.TEXTJOIN("; ",TRUE,_xlfn._xlws.FILTER(tblThreatControls[Threat ID],(tblThreatControls[Control ID]=$A167)*(tblThreatControls[Threat applies]="Applies"),"")))</f>
        <v/>
      </c>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c r="R168" s="49" cm="1">
        <f t="array" ref="R168">IF($A168="","",COUNTIFS(tblThreatControls[Control ID],$A168,tblThreatControls[Threat applies],"Applies"))</f>
        <v/>
      </c>
      <c r="S168" s="49" cm="1">
        <f t="array" ref="S168">IF($A168="","",IF(R168=0,"",INDEX(RISK_SCALE_NAMES,_xlfn.MAXIFS(tblThreatControls[Threat risk score],tblThreatControls[Control ID],$A168))))</f>
        <v/>
      </c>
      <c r="T168" s="49" cm="1">
        <f t="array" ref="T168">IF($A168="","",IF(AND(H168="Applicable",OR(L168="Not assessed",L168=""),R168&gt;0),"Yes","No"))</f>
        <v/>
      </c>
      <c r="U168" s="49" cm="1">
        <f t="array" ref="U168">IF($A168="","",IF(AND(H168="Applicable",OR(L168="Gap",L168="Partial coverage")),INDEX(RISK_SCALE_NAMES,MAX(IFERROR(MATCH(P168,RISK_SCALE_NAMES,0),1),IFERROR(MATCH(S168,RISK_SCALE_NAMES,0),0))),""))</f>
        <v/>
      </c>
      <c r="V168" s="49" cm="1">
        <f t="array" ref="V168">IF($A168="","",_xlfn.TEXTJOIN("; ",TRUE,_xlfn._xlws.FILTER(tblThreatControls[Threat ID],(tblThreatControls[Control ID]=$A168)*(tblThreatControls[Threat applies]="Applies"),"")))</f>
        <v/>
      </c>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c r="R169" s="49" cm="1">
        <f t="array" ref="R169">IF($A169="","",COUNTIFS(tblThreatControls[Control ID],$A169,tblThreatControls[Threat applies],"Applies"))</f>
        <v/>
      </c>
      <c r="S169" s="49" cm="1">
        <f t="array" ref="S169">IF($A169="","",IF(R169=0,"",INDEX(RISK_SCALE_NAMES,_xlfn.MAXIFS(tblThreatControls[Threat risk score],tblThreatControls[Control ID],$A169))))</f>
        <v/>
      </c>
      <c r="T169" s="49" cm="1">
        <f t="array" ref="T169">IF($A169="","",IF(AND(H169="Applicable",OR(L169="Not assessed",L169=""),R169&gt;0),"Yes","No"))</f>
        <v/>
      </c>
      <c r="U169" s="49" cm="1">
        <f t="array" ref="U169">IF($A169="","",IF(AND(H169="Applicable",OR(L169="Gap",L169="Partial coverage")),INDEX(RISK_SCALE_NAMES,MAX(IFERROR(MATCH(P169,RISK_SCALE_NAMES,0),1),IFERROR(MATCH(S169,RISK_SCALE_NAMES,0),0))),""))</f>
        <v/>
      </c>
      <c r="V169" s="49" cm="1">
        <f t="array" ref="V169">IF($A169="","",_xlfn.TEXTJOIN("; ",TRUE,_xlfn._xlws.FILTER(tblThreatControls[Threat ID],(tblThreatControls[Control ID]=$A169)*(tblThreatControls[Threat applies]="Applies"),"")))</f>
        <v/>
      </c>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c r="R170" s="49" cm="1">
        <f t="array" ref="R170">IF($A170="","",COUNTIFS(tblThreatControls[Control ID],$A170,tblThreatControls[Threat applies],"Applies"))</f>
        <v/>
      </c>
      <c r="S170" s="49" cm="1">
        <f t="array" ref="S170">IF($A170="","",IF(R170=0,"",INDEX(RISK_SCALE_NAMES,_xlfn.MAXIFS(tblThreatControls[Threat risk score],tblThreatControls[Control ID],$A170))))</f>
        <v/>
      </c>
      <c r="T170" s="49" cm="1">
        <f t="array" ref="T170">IF($A170="","",IF(AND(H170="Applicable",OR(L170="Not assessed",L170=""),R170&gt;0),"Yes","No"))</f>
        <v/>
      </c>
      <c r="U170" s="49" cm="1">
        <f t="array" ref="U170">IF($A170="","",IF(AND(H170="Applicable",OR(L170="Gap",L170="Partial coverage")),INDEX(RISK_SCALE_NAMES,MAX(IFERROR(MATCH(P170,RISK_SCALE_NAMES,0),1),IFERROR(MATCH(S170,RISK_SCALE_NAMES,0),0))),""))</f>
        <v/>
      </c>
      <c r="V170" s="49" cm="1">
        <f t="array" ref="V170">IF($A170="","",_xlfn.TEXTJOIN("; ",TRUE,_xlfn._xlws.FILTER(tblThreatControls[Threat ID],(tblThreatControls[Control ID]=$A170)*(tblThreatControls[Threat applies]="Applies"),"")))</f>
        <v/>
      </c>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c r="R171" s="49" cm="1">
        <f t="array" ref="R171">IF($A171="","",COUNTIFS(tblThreatControls[Control ID],$A171,tblThreatControls[Threat applies],"Applies"))</f>
        <v/>
      </c>
      <c r="S171" s="49" cm="1">
        <f t="array" ref="S171">IF($A171="","",IF(R171=0,"",INDEX(RISK_SCALE_NAMES,_xlfn.MAXIFS(tblThreatControls[Threat risk score],tblThreatControls[Control ID],$A171))))</f>
        <v/>
      </c>
      <c r="T171" s="49" cm="1">
        <f t="array" ref="T171">IF($A171="","",IF(AND(H171="Applicable",OR(L171="Not assessed",L171=""),R171&gt;0),"Yes","No"))</f>
        <v/>
      </c>
      <c r="U171" s="49" cm="1">
        <f t="array" ref="U171">IF($A171="","",IF(AND(H171="Applicable",OR(L171="Gap",L171="Partial coverage")),INDEX(RISK_SCALE_NAMES,MAX(IFERROR(MATCH(P171,RISK_SCALE_NAMES,0),1),IFERROR(MATCH(S171,RISK_SCALE_NAMES,0),0))),""))</f>
        <v/>
      </c>
      <c r="V171" s="49" cm="1">
        <f t="array" ref="V171">IF($A171="","",_xlfn.TEXTJOIN("; ",TRUE,_xlfn._xlws.FILTER(tblThreatControls[Threat ID],(tblThreatControls[Control ID]=$A171)*(tblThreatControls[Threat applies]="Applies"),"")))</f>
        <v/>
      </c>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c r="R172" s="49" cm="1">
        <f t="array" ref="R172">IF($A172="","",COUNTIFS(tblThreatControls[Control ID],$A172,tblThreatControls[Threat applies],"Applies"))</f>
        <v/>
      </c>
      <c r="S172" s="49" cm="1">
        <f t="array" ref="S172">IF($A172="","",IF(R172=0,"",INDEX(RISK_SCALE_NAMES,_xlfn.MAXIFS(tblThreatControls[Threat risk score],tblThreatControls[Control ID],$A172))))</f>
        <v/>
      </c>
      <c r="T172" s="49" cm="1">
        <f t="array" ref="T172">IF($A172="","",IF(AND(H172="Applicable",OR(L172="Not assessed",L172=""),R172&gt;0),"Yes","No"))</f>
        <v/>
      </c>
      <c r="U172" s="49" cm="1">
        <f t="array" ref="U172">IF($A172="","",IF(AND(H172="Applicable",OR(L172="Gap",L172="Partial coverage")),INDEX(RISK_SCALE_NAMES,MAX(IFERROR(MATCH(P172,RISK_SCALE_NAMES,0),1),IFERROR(MATCH(S172,RISK_SCALE_NAMES,0),0))),""))</f>
        <v/>
      </c>
      <c r="V172" s="49" cm="1">
        <f t="array" ref="V172">IF($A172="","",_xlfn.TEXTJOIN("; ",TRUE,_xlfn._xlws.FILTER(tblThreatControls[Threat ID],(tblThreatControls[Control ID]=$A172)*(tblThreatControls[Threat applies]="Applies"),"")))</f>
        <v/>
      </c>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c r="R173" s="49" cm="1">
        <f t="array" ref="R173">IF($A173="","",COUNTIFS(tblThreatControls[Control ID],$A173,tblThreatControls[Threat applies],"Applies"))</f>
        <v/>
      </c>
      <c r="S173" s="49" cm="1">
        <f t="array" ref="S173">IF($A173="","",IF(R173=0,"",INDEX(RISK_SCALE_NAMES,_xlfn.MAXIFS(tblThreatControls[Threat risk score],tblThreatControls[Control ID],$A173))))</f>
        <v/>
      </c>
      <c r="T173" s="49" cm="1">
        <f t="array" ref="T173">IF($A173="","",IF(AND(H173="Applicable",OR(L173="Not assessed",L173=""),R173&gt;0),"Yes","No"))</f>
        <v/>
      </c>
      <c r="U173" s="49" cm="1">
        <f t="array" ref="U173">IF($A173="","",IF(AND(H173="Applicable",OR(L173="Gap",L173="Partial coverage")),INDEX(RISK_SCALE_NAMES,MAX(IFERROR(MATCH(P173,RISK_SCALE_NAMES,0),1),IFERROR(MATCH(S173,RISK_SCALE_NAMES,0),0))),""))</f>
        <v/>
      </c>
      <c r="V173" s="49" cm="1">
        <f t="array" ref="V173">IF($A173="","",_xlfn.TEXTJOIN("; ",TRUE,_xlfn._xlws.FILTER(tblThreatControls[Threat ID],(tblThreatControls[Control ID]=$A173)*(tblThreatControls[Threat applies]="Applies"),"")))</f>
        <v/>
      </c>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c r="R174" s="49" cm="1">
        <f t="array" ref="R174">IF($A174="","",COUNTIFS(tblThreatControls[Control ID],$A174,tblThreatControls[Threat applies],"Applies"))</f>
        <v/>
      </c>
      <c r="S174" s="49" cm="1">
        <f t="array" ref="S174">IF($A174="","",IF(R174=0,"",INDEX(RISK_SCALE_NAMES,_xlfn.MAXIFS(tblThreatControls[Threat risk score],tblThreatControls[Control ID],$A174))))</f>
        <v/>
      </c>
      <c r="T174" s="49" cm="1">
        <f t="array" ref="T174">IF($A174="","",IF(AND(H174="Applicable",OR(L174="Not assessed",L174=""),R174&gt;0),"Yes","No"))</f>
        <v/>
      </c>
      <c r="U174" s="49" cm="1">
        <f t="array" ref="U174">IF($A174="","",IF(AND(H174="Applicable",OR(L174="Gap",L174="Partial coverage")),INDEX(RISK_SCALE_NAMES,MAX(IFERROR(MATCH(P174,RISK_SCALE_NAMES,0),1),IFERROR(MATCH(S174,RISK_SCALE_NAMES,0),0))),""))</f>
        <v/>
      </c>
      <c r="V174" s="49" cm="1">
        <f t="array" ref="V174">IF($A174="","",_xlfn.TEXTJOIN("; ",TRUE,_xlfn._xlws.FILTER(tblThreatControls[Threat ID],(tblThreatControls[Control ID]=$A174)*(tblThreatControls[Threat applies]="Applies"),"")))</f>
        <v/>
      </c>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c r="R175" s="49" cm="1">
        <f t="array" ref="R175">IF($A175="","",COUNTIFS(tblThreatControls[Control ID],$A175,tblThreatControls[Threat applies],"Applies"))</f>
        <v/>
      </c>
      <c r="S175" s="49" cm="1">
        <f t="array" ref="S175">IF($A175="","",IF(R175=0,"",INDEX(RISK_SCALE_NAMES,_xlfn.MAXIFS(tblThreatControls[Threat risk score],tblThreatControls[Control ID],$A175))))</f>
        <v/>
      </c>
      <c r="T175" s="49" cm="1">
        <f t="array" ref="T175">IF($A175="","",IF(AND(H175="Applicable",OR(L175="Not assessed",L175=""),R175&gt;0),"Yes","No"))</f>
        <v/>
      </c>
      <c r="U175" s="49" cm="1">
        <f t="array" ref="U175">IF($A175="","",IF(AND(H175="Applicable",OR(L175="Gap",L175="Partial coverage")),INDEX(RISK_SCALE_NAMES,MAX(IFERROR(MATCH(P175,RISK_SCALE_NAMES,0),1),IFERROR(MATCH(S175,RISK_SCALE_NAMES,0),0))),""))</f>
        <v/>
      </c>
      <c r="V175" s="49" cm="1">
        <f t="array" ref="V175">IF($A175="","",_xlfn.TEXTJOIN("; ",TRUE,_xlfn._xlws.FILTER(tblThreatControls[Threat ID],(tblThreatControls[Control ID]=$A175)*(tblThreatControls[Threat applies]="Applies"),"")))</f>
        <v/>
      </c>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c r="R176" s="49" cm="1">
        <f t="array" ref="R176">IF($A176="","",COUNTIFS(tblThreatControls[Control ID],$A176,tblThreatControls[Threat applies],"Applies"))</f>
        <v/>
      </c>
      <c r="S176" s="49" cm="1">
        <f t="array" ref="S176">IF($A176="","",IF(R176=0,"",INDEX(RISK_SCALE_NAMES,_xlfn.MAXIFS(tblThreatControls[Threat risk score],tblThreatControls[Control ID],$A176))))</f>
        <v/>
      </c>
      <c r="T176" s="49" cm="1">
        <f t="array" ref="T176">IF($A176="","",IF(AND(H176="Applicable",OR(L176="Not assessed",L176=""),R176&gt;0),"Yes","No"))</f>
        <v/>
      </c>
      <c r="U176" s="49" cm="1">
        <f t="array" ref="U176">IF($A176="","",IF(AND(H176="Applicable",OR(L176="Gap",L176="Partial coverage")),INDEX(RISK_SCALE_NAMES,MAX(IFERROR(MATCH(P176,RISK_SCALE_NAMES,0),1),IFERROR(MATCH(S176,RISK_SCALE_NAMES,0),0))),""))</f>
        <v/>
      </c>
      <c r="V176" s="49" cm="1">
        <f t="array" ref="V176">IF($A176="","",_xlfn.TEXTJOIN("; ",TRUE,_xlfn._xlws.FILTER(tblThreatControls[Threat ID],(tblThreatControls[Control ID]=$A176)*(tblThreatControls[Threat applies]="Applies"),"")))</f>
        <v/>
      </c>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c r="R177" s="49" cm="1">
        <f t="array" ref="R177">IF($A177="","",COUNTIFS(tblThreatControls[Control ID],$A177,tblThreatControls[Threat applies],"Applies"))</f>
        <v/>
      </c>
      <c r="S177" s="49" cm="1">
        <f t="array" ref="S177">IF($A177="","",IF(R177=0,"",INDEX(RISK_SCALE_NAMES,_xlfn.MAXIFS(tblThreatControls[Threat risk score],tblThreatControls[Control ID],$A177))))</f>
        <v/>
      </c>
      <c r="T177" s="49" cm="1">
        <f t="array" ref="T177">IF($A177="","",IF(AND(H177="Applicable",OR(L177="Not assessed",L177=""),R177&gt;0),"Yes","No"))</f>
        <v/>
      </c>
      <c r="U177" s="49" cm="1">
        <f t="array" ref="U177">IF($A177="","",IF(AND(H177="Applicable",OR(L177="Gap",L177="Partial coverage")),INDEX(RISK_SCALE_NAMES,MAX(IFERROR(MATCH(P177,RISK_SCALE_NAMES,0),1),IFERROR(MATCH(S177,RISK_SCALE_NAMES,0),0))),""))</f>
        <v/>
      </c>
      <c r="V177" s="49" cm="1">
        <f t="array" ref="V177">IF($A177="","",_xlfn.TEXTJOIN("; ",TRUE,_xlfn._xlws.FILTER(tblThreatControls[Threat ID],(tblThreatControls[Control ID]=$A177)*(tblThreatControls[Threat applies]="Applies"),"")))</f>
        <v/>
      </c>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c r="R178" s="49" cm="1">
        <f t="array" ref="R178">IF($A178="","",COUNTIFS(tblThreatControls[Control ID],$A178,tblThreatControls[Threat applies],"Applies"))</f>
        <v/>
      </c>
      <c r="S178" s="49" cm="1">
        <f t="array" ref="S178">IF($A178="","",IF(R178=0,"",INDEX(RISK_SCALE_NAMES,_xlfn.MAXIFS(tblThreatControls[Threat risk score],tblThreatControls[Control ID],$A178))))</f>
        <v/>
      </c>
      <c r="T178" s="49" cm="1">
        <f t="array" ref="T178">IF($A178="","",IF(AND(H178="Applicable",OR(L178="Not assessed",L178=""),R178&gt;0),"Yes","No"))</f>
        <v/>
      </c>
      <c r="U178" s="49" cm="1">
        <f t="array" ref="U178">IF($A178="","",IF(AND(H178="Applicable",OR(L178="Gap",L178="Partial coverage")),INDEX(RISK_SCALE_NAMES,MAX(IFERROR(MATCH(P178,RISK_SCALE_NAMES,0),1),IFERROR(MATCH(S178,RISK_SCALE_NAMES,0),0))),""))</f>
        <v/>
      </c>
      <c r="V178" s="49" cm="1">
        <f t="array" ref="V178">IF($A178="","",_xlfn.TEXTJOIN("; ",TRUE,_xlfn._xlws.FILTER(tblThreatControls[Threat ID],(tblThreatControls[Control ID]=$A178)*(tblThreatControls[Threat applies]="Applies"),"")))</f>
        <v/>
      </c>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c r="R179" s="49" cm="1">
        <f t="array" ref="R179">IF($A179="","",COUNTIFS(tblThreatControls[Control ID],$A179,tblThreatControls[Threat applies],"Applies"))</f>
        <v/>
      </c>
      <c r="S179" s="49" cm="1">
        <f t="array" ref="S179">IF($A179="","",IF(R179=0,"",INDEX(RISK_SCALE_NAMES,_xlfn.MAXIFS(tblThreatControls[Threat risk score],tblThreatControls[Control ID],$A179))))</f>
        <v/>
      </c>
      <c r="T179" s="49" cm="1">
        <f t="array" ref="T179">IF($A179="","",IF(AND(H179="Applicable",OR(L179="Not assessed",L179=""),R179&gt;0),"Yes","No"))</f>
        <v/>
      </c>
      <c r="U179" s="49" cm="1">
        <f t="array" ref="U179">IF($A179="","",IF(AND(H179="Applicable",OR(L179="Gap",L179="Partial coverage")),INDEX(RISK_SCALE_NAMES,MAX(IFERROR(MATCH(P179,RISK_SCALE_NAMES,0),1),IFERROR(MATCH(S179,RISK_SCALE_NAMES,0),0))),""))</f>
        <v/>
      </c>
      <c r="V179" s="49" cm="1">
        <f t="array" ref="V179">IF($A179="","",_xlfn.TEXTJOIN("; ",TRUE,_xlfn._xlws.FILTER(tblThreatControls[Threat ID],(tblThreatControls[Control ID]=$A179)*(tblThreatControls[Threat applies]="Applies"),"")))</f>
        <v/>
      </c>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c r="R180" s="49" cm="1">
        <f t="array" ref="R180">IF($A180="","",COUNTIFS(tblThreatControls[Control ID],$A180,tblThreatControls[Threat applies],"Applies"))</f>
        <v/>
      </c>
      <c r="S180" s="49" cm="1">
        <f t="array" ref="S180">IF($A180="","",IF(R180=0,"",INDEX(RISK_SCALE_NAMES,_xlfn.MAXIFS(tblThreatControls[Threat risk score],tblThreatControls[Control ID],$A180))))</f>
        <v/>
      </c>
      <c r="T180" s="49" cm="1">
        <f t="array" ref="T180">IF($A180="","",IF(AND(H180="Applicable",OR(L180="Not assessed",L180=""),R180&gt;0),"Yes","No"))</f>
        <v/>
      </c>
      <c r="U180" s="49" cm="1">
        <f t="array" ref="U180">IF($A180="","",IF(AND(H180="Applicable",OR(L180="Gap",L180="Partial coverage")),INDEX(RISK_SCALE_NAMES,MAX(IFERROR(MATCH(P180,RISK_SCALE_NAMES,0),1),IFERROR(MATCH(S180,RISK_SCALE_NAMES,0),0))),""))</f>
        <v/>
      </c>
      <c r="V180" s="49" cm="1">
        <f t="array" ref="V180">IF($A180="","",_xlfn.TEXTJOIN("; ",TRUE,_xlfn._xlws.FILTER(tblThreatControls[Threat ID],(tblThreatControls[Control ID]=$A180)*(tblThreatControls[Threat applies]="Applies"),"")))</f>
        <v/>
      </c>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c r="R181" s="49" cm="1">
        <f t="array" ref="R181">IF($A181="","",COUNTIFS(tblThreatControls[Control ID],$A181,tblThreatControls[Threat applies],"Applies"))</f>
        <v/>
      </c>
      <c r="S181" s="49" cm="1">
        <f t="array" ref="S181">IF($A181="","",IF(R181=0,"",INDEX(RISK_SCALE_NAMES,_xlfn.MAXIFS(tblThreatControls[Threat risk score],tblThreatControls[Control ID],$A181))))</f>
        <v/>
      </c>
      <c r="T181" s="49" cm="1">
        <f t="array" ref="T181">IF($A181="","",IF(AND(H181="Applicable",OR(L181="Not assessed",L181=""),R181&gt;0),"Yes","No"))</f>
        <v/>
      </c>
      <c r="U181" s="49" cm="1">
        <f t="array" ref="U181">IF($A181="","",IF(AND(H181="Applicable",OR(L181="Gap",L181="Partial coverage")),INDEX(RISK_SCALE_NAMES,MAX(IFERROR(MATCH(P181,RISK_SCALE_NAMES,0),1),IFERROR(MATCH(S181,RISK_SCALE_NAMES,0),0))),""))</f>
        <v/>
      </c>
      <c r="V181" s="49" cm="1">
        <f t="array" ref="V181">IF($A181="","",_xlfn.TEXTJOIN("; ",TRUE,_xlfn._xlws.FILTER(tblThreatControls[Threat ID],(tblThreatControls[Control ID]=$A181)*(tblThreatControls[Threat applies]="Applies"),"")))</f>
        <v/>
      </c>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c r="R182" s="49" cm="1">
        <f t="array" ref="R182">IF($A182="","",COUNTIFS(tblThreatControls[Control ID],$A182,tblThreatControls[Threat applies],"Applies"))</f>
        <v/>
      </c>
      <c r="S182" s="49" cm="1">
        <f t="array" ref="S182">IF($A182="","",IF(R182=0,"",INDEX(RISK_SCALE_NAMES,_xlfn.MAXIFS(tblThreatControls[Threat risk score],tblThreatControls[Control ID],$A182))))</f>
        <v/>
      </c>
      <c r="T182" s="49" cm="1">
        <f t="array" ref="T182">IF($A182="","",IF(AND(H182="Applicable",OR(L182="Not assessed",L182=""),R182&gt;0),"Yes","No"))</f>
        <v/>
      </c>
      <c r="U182" s="49" cm="1">
        <f t="array" ref="U182">IF($A182="","",IF(AND(H182="Applicable",OR(L182="Gap",L182="Partial coverage")),INDEX(RISK_SCALE_NAMES,MAX(IFERROR(MATCH(P182,RISK_SCALE_NAMES,0),1),IFERROR(MATCH(S182,RISK_SCALE_NAMES,0),0))),""))</f>
        <v/>
      </c>
      <c r="V182" s="49" cm="1">
        <f t="array" ref="V182">IF($A182="","",_xlfn.TEXTJOIN("; ",TRUE,_xlfn._xlws.FILTER(tblThreatControls[Threat ID],(tblThreatControls[Control ID]=$A182)*(tblThreatControls[Threat applies]="Applies"),"")))</f>
        <v/>
      </c>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c r="R183" s="49" cm="1">
        <f t="array" ref="R183">IF($A183="","",COUNTIFS(tblThreatControls[Control ID],$A183,tblThreatControls[Threat applies],"Applies"))</f>
        <v/>
      </c>
      <c r="S183" s="49" cm="1">
        <f t="array" ref="S183">IF($A183="","",IF(R183=0,"",INDEX(RISK_SCALE_NAMES,_xlfn.MAXIFS(tblThreatControls[Threat risk score],tblThreatControls[Control ID],$A183))))</f>
        <v/>
      </c>
      <c r="T183" s="49" cm="1">
        <f t="array" ref="T183">IF($A183="","",IF(AND(H183="Applicable",OR(L183="Not assessed",L183=""),R183&gt;0),"Yes","No"))</f>
        <v/>
      </c>
      <c r="U183" s="49" cm="1">
        <f t="array" ref="U183">IF($A183="","",IF(AND(H183="Applicable",OR(L183="Gap",L183="Partial coverage")),INDEX(RISK_SCALE_NAMES,MAX(IFERROR(MATCH(P183,RISK_SCALE_NAMES,0),1),IFERROR(MATCH(S183,RISK_SCALE_NAMES,0),0))),""))</f>
        <v/>
      </c>
      <c r="V183" s="49" cm="1">
        <f t="array" ref="V183">IF($A183="","",_xlfn.TEXTJOIN("; ",TRUE,_xlfn._xlws.FILTER(tblThreatControls[Threat ID],(tblThreatControls[Control ID]=$A183)*(tblThreatControls[Threat applies]="Applies"),"")))</f>
        <v/>
      </c>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c r="R184" s="49" cm="1">
        <f t="array" ref="R184">IF($A184="","",COUNTIFS(tblThreatControls[Control ID],$A184,tblThreatControls[Threat applies],"Applies"))</f>
        <v/>
      </c>
      <c r="S184" s="49" cm="1">
        <f t="array" ref="S184">IF($A184="","",IF(R184=0,"",INDEX(RISK_SCALE_NAMES,_xlfn.MAXIFS(tblThreatControls[Threat risk score],tblThreatControls[Control ID],$A184))))</f>
        <v/>
      </c>
      <c r="T184" s="49" cm="1">
        <f t="array" ref="T184">IF($A184="","",IF(AND(H184="Applicable",OR(L184="Not assessed",L184=""),R184&gt;0),"Yes","No"))</f>
        <v/>
      </c>
      <c r="U184" s="49" cm="1">
        <f t="array" ref="U184">IF($A184="","",IF(AND(H184="Applicable",OR(L184="Gap",L184="Partial coverage")),INDEX(RISK_SCALE_NAMES,MAX(IFERROR(MATCH(P184,RISK_SCALE_NAMES,0),1),IFERROR(MATCH(S184,RISK_SCALE_NAMES,0),0))),""))</f>
        <v/>
      </c>
      <c r="V184" s="49" cm="1">
        <f t="array" ref="V184">IF($A184="","",_xlfn.TEXTJOIN("; ",TRUE,_xlfn._xlws.FILTER(tblThreatControls[Threat ID],(tblThreatControls[Control ID]=$A184)*(tblThreatControls[Threat applies]="Applies"),"")))</f>
        <v/>
      </c>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c r="R185" s="49" cm="1">
        <f t="array" ref="R185">IF($A185="","",COUNTIFS(tblThreatControls[Control ID],$A185,tblThreatControls[Threat applies],"Applies"))</f>
        <v/>
      </c>
      <c r="S185" s="49" cm="1">
        <f t="array" ref="S185">IF($A185="","",IF(R185=0,"",INDEX(RISK_SCALE_NAMES,_xlfn.MAXIFS(tblThreatControls[Threat risk score],tblThreatControls[Control ID],$A185))))</f>
        <v/>
      </c>
      <c r="T185" s="49" cm="1">
        <f t="array" ref="T185">IF($A185="","",IF(AND(H185="Applicable",OR(L185="Not assessed",L185=""),R185&gt;0),"Yes","No"))</f>
        <v/>
      </c>
      <c r="U185" s="49" cm="1">
        <f t="array" ref="U185">IF($A185="","",IF(AND(H185="Applicable",OR(L185="Gap",L185="Partial coverage")),INDEX(RISK_SCALE_NAMES,MAX(IFERROR(MATCH(P185,RISK_SCALE_NAMES,0),1),IFERROR(MATCH(S185,RISK_SCALE_NAMES,0),0))),""))</f>
        <v/>
      </c>
      <c r="V185" s="49" cm="1">
        <f t="array" ref="V185">IF($A185="","",_xlfn.TEXTJOIN("; ",TRUE,_xlfn._xlws.FILTER(tblThreatControls[Threat ID],(tblThreatControls[Control ID]=$A185)*(tblThreatControls[Threat applies]="Applies"),"")))</f>
        <v/>
      </c>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c r="R186" s="49" cm="1">
        <f t="array" ref="R186">IF($A186="","",COUNTIFS(tblThreatControls[Control ID],$A186,tblThreatControls[Threat applies],"Applies"))</f>
        <v/>
      </c>
      <c r="S186" s="49" cm="1">
        <f t="array" ref="S186">IF($A186="","",IF(R186=0,"",INDEX(RISK_SCALE_NAMES,_xlfn.MAXIFS(tblThreatControls[Threat risk score],tblThreatControls[Control ID],$A186))))</f>
        <v/>
      </c>
      <c r="T186" s="49" cm="1">
        <f t="array" ref="T186">IF($A186="","",IF(AND(H186="Applicable",OR(L186="Not assessed",L186=""),R186&gt;0),"Yes","No"))</f>
        <v/>
      </c>
      <c r="U186" s="49" cm="1">
        <f t="array" ref="U186">IF($A186="","",IF(AND(H186="Applicable",OR(L186="Gap",L186="Partial coverage")),INDEX(RISK_SCALE_NAMES,MAX(IFERROR(MATCH(P186,RISK_SCALE_NAMES,0),1),IFERROR(MATCH(S186,RISK_SCALE_NAMES,0),0))),""))</f>
        <v/>
      </c>
      <c r="V186" s="49" cm="1">
        <f t="array" ref="V186">IF($A186="","",_xlfn.TEXTJOIN("; ",TRUE,_xlfn._xlws.FILTER(tblThreatControls[Threat ID],(tblThreatControls[Control ID]=$A186)*(tblThreatControls[Threat applies]="Applies"),"")))</f>
        <v/>
      </c>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c r="R187" s="49" cm="1">
        <f t="array" ref="R187">IF($A187="","",COUNTIFS(tblThreatControls[Control ID],$A187,tblThreatControls[Threat applies],"Applies"))</f>
        <v/>
      </c>
      <c r="S187" s="49" cm="1">
        <f t="array" ref="S187">IF($A187="","",IF(R187=0,"",INDEX(RISK_SCALE_NAMES,_xlfn.MAXIFS(tblThreatControls[Threat risk score],tblThreatControls[Control ID],$A187))))</f>
        <v/>
      </c>
      <c r="T187" s="49" cm="1">
        <f t="array" ref="T187">IF($A187="","",IF(AND(H187="Applicable",OR(L187="Not assessed",L187=""),R187&gt;0),"Yes","No"))</f>
        <v/>
      </c>
      <c r="U187" s="49" cm="1">
        <f t="array" ref="U187">IF($A187="","",IF(AND(H187="Applicable",OR(L187="Gap",L187="Partial coverage")),INDEX(RISK_SCALE_NAMES,MAX(IFERROR(MATCH(P187,RISK_SCALE_NAMES,0),1),IFERROR(MATCH(S187,RISK_SCALE_NAMES,0),0))),""))</f>
        <v/>
      </c>
      <c r="V187" s="49" cm="1">
        <f t="array" ref="V187">IF($A187="","",_xlfn.TEXTJOIN("; ",TRUE,_xlfn._xlws.FILTER(tblThreatControls[Threat ID],(tblThreatControls[Control ID]=$A187)*(tblThreatControls[Threat applies]="Applies"),"")))</f>
        <v/>
      </c>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c r="R188" s="49" cm="1">
        <f t="array" ref="R188">IF($A188="","",COUNTIFS(tblThreatControls[Control ID],$A188,tblThreatControls[Threat applies],"Applies"))</f>
        <v/>
      </c>
      <c r="S188" s="49" cm="1">
        <f t="array" ref="S188">IF($A188="","",IF(R188=0,"",INDEX(RISK_SCALE_NAMES,_xlfn.MAXIFS(tblThreatControls[Threat risk score],tblThreatControls[Control ID],$A188))))</f>
        <v/>
      </c>
      <c r="T188" s="49" cm="1">
        <f t="array" ref="T188">IF($A188="","",IF(AND(H188="Applicable",OR(L188="Not assessed",L188=""),R188&gt;0),"Yes","No"))</f>
        <v/>
      </c>
      <c r="U188" s="49" cm="1">
        <f t="array" ref="U188">IF($A188="","",IF(AND(H188="Applicable",OR(L188="Gap",L188="Partial coverage")),INDEX(RISK_SCALE_NAMES,MAX(IFERROR(MATCH(P188,RISK_SCALE_NAMES,0),1),IFERROR(MATCH(S188,RISK_SCALE_NAMES,0),0))),""))</f>
        <v/>
      </c>
      <c r="V188" s="49" cm="1">
        <f t="array" ref="V188">IF($A188="","",_xlfn.TEXTJOIN("; ",TRUE,_xlfn._xlws.FILTER(tblThreatControls[Threat ID],(tblThreatControls[Control ID]=$A188)*(tblThreatControls[Threat applies]="Applies"),"")))</f>
        <v/>
      </c>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c r="R189" s="49" cm="1">
        <f t="array" ref="R189">IF($A189="","",COUNTIFS(tblThreatControls[Control ID],$A189,tblThreatControls[Threat applies],"Applies"))</f>
        <v/>
      </c>
      <c r="S189" s="49" cm="1">
        <f t="array" ref="S189">IF($A189="","",IF(R189=0,"",INDEX(RISK_SCALE_NAMES,_xlfn.MAXIFS(tblThreatControls[Threat risk score],tblThreatControls[Control ID],$A189))))</f>
        <v/>
      </c>
      <c r="T189" s="49" cm="1">
        <f t="array" ref="T189">IF($A189="","",IF(AND(H189="Applicable",OR(L189="Not assessed",L189=""),R189&gt;0),"Yes","No"))</f>
        <v/>
      </c>
      <c r="U189" s="49" cm="1">
        <f t="array" ref="U189">IF($A189="","",IF(AND(H189="Applicable",OR(L189="Gap",L189="Partial coverage")),INDEX(RISK_SCALE_NAMES,MAX(IFERROR(MATCH(P189,RISK_SCALE_NAMES,0),1),IFERROR(MATCH(S189,RISK_SCALE_NAMES,0),0))),""))</f>
        <v/>
      </c>
      <c r="V189" s="49" cm="1">
        <f t="array" ref="V189">IF($A189="","",_xlfn.TEXTJOIN("; ",TRUE,_xlfn._xlws.FILTER(tblThreatControls[Threat ID],(tblThreatControls[Control ID]=$A189)*(tblThreatControls[Threat applies]="Applies"),"")))</f>
        <v/>
      </c>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c r="R190" s="49" cm="1">
        <f t="array" ref="R190">IF($A190="","",COUNTIFS(tblThreatControls[Control ID],$A190,tblThreatControls[Threat applies],"Applies"))</f>
        <v/>
      </c>
      <c r="S190" s="49" cm="1">
        <f t="array" ref="S190">IF($A190="","",IF(R190=0,"",INDEX(RISK_SCALE_NAMES,_xlfn.MAXIFS(tblThreatControls[Threat risk score],tblThreatControls[Control ID],$A190))))</f>
        <v/>
      </c>
      <c r="T190" s="49" cm="1">
        <f t="array" ref="T190">IF($A190="","",IF(AND(H190="Applicable",OR(L190="Not assessed",L190=""),R190&gt;0),"Yes","No"))</f>
        <v/>
      </c>
      <c r="U190" s="49" cm="1">
        <f t="array" ref="U190">IF($A190="","",IF(AND(H190="Applicable",OR(L190="Gap",L190="Partial coverage")),INDEX(RISK_SCALE_NAMES,MAX(IFERROR(MATCH(P190,RISK_SCALE_NAMES,0),1),IFERROR(MATCH(S190,RISK_SCALE_NAMES,0),0))),""))</f>
        <v/>
      </c>
      <c r="V190" s="49" cm="1">
        <f t="array" ref="V190">IF($A190="","",_xlfn.TEXTJOIN("; ",TRUE,_xlfn._xlws.FILTER(tblThreatControls[Threat ID],(tblThreatControls[Control ID]=$A190)*(tblThreatControls[Threat applies]="Applies"),"")))</f>
        <v/>
      </c>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c r="R191" s="49" cm="1">
        <f t="array" ref="R191">IF($A191="","",COUNTIFS(tblThreatControls[Control ID],$A191,tblThreatControls[Threat applies],"Applies"))</f>
        <v/>
      </c>
      <c r="S191" s="49" cm="1">
        <f t="array" ref="S191">IF($A191="","",IF(R191=0,"",INDEX(RISK_SCALE_NAMES,_xlfn.MAXIFS(tblThreatControls[Threat risk score],tblThreatControls[Control ID],$A191))))</f>
        <v/>
      </c>
      <c r="T191" s="49" cm="1">
        <f t="array" ref="T191">IF($A191="","",IF(AND(H191="Applicable",OR(L191="Not assessed",L191=""),R191&gt;0),"Yes","No"))</f>
        <v/>
      </c>
      <c r="U191" s="49" cm="1">
        <f t="array" ref="U191">IF($A191="","",IF(AND(H191="Applicable",OR(L191="Gap",L191="Partial coverage")),INDEX(RISK_SCALE_NAMES,MAX(IFERROR(MATCH(P191,RISK_SCALE_NAMES,0),1),IFERROR(MATCH(S191,RISK_SCALE_NAMES,0),0))),""))</f>
        <v/>
      </c>
      <c r="V191" s="49" cm="1">
        <f t="array" ref="V191">IF($A191="","",_xlfn.TEXTJOIN("; ",TRUE,_xlfn._xlws.FILTER(tblThreatControls[Threat ID],(tblThreatControls[Control ID]=$A191)*(tblThreatControls[Threat applies]="Applies"),"")))</f>
        <v/>
      </c>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c r="R192" s="49" cm="1">
        <f t="array" ref="R192">IF($A192="","",COUNTIFS(tblThreatControls[Control ID],$A192,tblThreatControls[Threat applies],"Applies"))</f>
        <v/>
      </c>
      <c r="S192" s="49" cm="1">
        <f t="array" ref="S192">IF($A192="","",IF(R192=0,"",INDEX(RISK_SCALE_NAMES,_xlfn.MAXIFS(tblThreatControls[Threat risk score],tblThreatControls[Control ID],$A192))))</f>
        <v/>
      </c>
      <c r="T192" s="49" cm="1">
        <f t="array" ref="T192">IF($A192="","",IF(AND(H192="Applicable",OR(L192="Not assessed",L192=""),R192&gt;0),"Yes","No"))</f>
        <v/>
      </c>
      <c r="U192" s="49" cm="1">
        <f t="array" ref="U192">IF($A192="","",IF(AND(H192="Applicable",OR(L192="Gap",L192="Partial coverage")),INDEX(RISK_SCALE_NAMES,MAX(IFERROR(MATCH(P192,RISK_SCALE_NAMES,0),1),IFERROR(MATCH(S192,RISK_SCALE_NAMES,0),0))),""))</f>
        <v/>
      </c>
      <c r="V192" s="49" cm="1">
        <f t="array" ref="V192">IF($A192="","",_xlfn.TEXTJOIN("; ",TRUE,_xlfn._xlws.FILTER(tblThreatControls[Threat ID],(tblThreatControls[Control ID]=$A192)*(tblThreatControls[Threat applies]="Applies"),"")))</f>
        <v/>
      </c>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c r="R193" s="49" cm="1">
        <f t="array" ref="R193">IF($A193="","",COUNTIFS(tblThreatControls[Control ID],$A193,tblThreatControls[Threat applies],"Applies"))</f>
        <v/>
      </c>
      <c r="S193" s="49" cm="1">
        <f t="array" ref="S193">IF($A193="","",IF(R193=0,"",INDEX(RISK_SCALE_NAMES,_xlfn.MAXIFS(tblThreatControls[Threat risk score],tblThreatControls[Control ID],$A193))))</f>
        <v/>
      </c>
      <c r="T193" s="49" cm="1">
        <f t="array" ref="T193">IF($A193="","",IF(AND(H193="Applicable",OR(L193="Not assessed",L193=""),R193&gt;0),"Yes","No"))</f>
        <v/>
      </c>
      <c r="U193" s="49" cm="1">
        <f t="array" ref="U193">IF($A193="","",IF(AND(H193="Applicable",OR(L193="Gap",L193="Partial coverage")),INDEX(RISK_SCALE_NAMES,MAX(IFERROR(MATCH(P193,RISK_SCALE_NAMES,0),1),IFERROR(MATCH(S193,RISK_SCALE_NAMES,0),0))),""))</f>
        <v/>
      </c>
      <c r="V193" s="49" cm="1">
        <f t="array" ref="V193">IF($A193="","",_xlfn.TEXTJOIN("; ",TRUE,_xlfn._xlws.FILTER(tblThreatControls[Threat ID],(tblThreatControls[Control ID]=$A193)*(tblThreatControls[Threat applies]="Applies"),"")))</f>
        <v/>
      </c>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c r="R194" s="49" cm="1">
        <f t="array" ref="R194">IF($A194="","",COUNTIFS(tblThreatControls[Control ID],$A194,tblThreatControls[Threat applies],"Applies"))</f>
        <v/>
      </c>
      <c r="S194" s="49" cm="1">
        <f t="array" ref="S194">IF($A194="","",IF(R194=0,"",INDEX(RISK_SCALE_NAMES,_xlfn.MAXIFS(tblThreatControls[Threat risk score],tblThreatControls[Control ID],$A194))))</f>
        <v/>
      </c>
      <c r="T194" s="49" cm="1">
        <f t="array" ref="T194">IF($A194="","",IF(AND(H194="Applicable",OR(L194="Not assessed",L194=""),R194&gt;0),"Yes","No"))</f>
        <v/>
      </c>
      <c r="U194" s="49" cm="1">
        <f t="array" ref="U194">IF($A194="","",IF(AND(H194="Applicable",OR(L194="Gap",L194="Partial coverage")),INDEX(RISK_SCALE_NAMES,MAX(IFERROR(MATCH(P194,RISK_SCALE_NAMES,0),1),IFERROR(MATCH(S194,RISK_SCALE_NAMES,0),0))),""))</f>
        <v/>
      </c>
      <c r="V194" s="49" cm="1">
        <f t="array" ref="V194">IF($A194="","",_xlfn.TEXTJOIN("; ",TRUE,_xlfn._xlws.FILTER(tblThreatControls[Threat ID],(tblThreatControls[Control ID]=$A194)*(tblThreatControls[Threat applies]="Applies"),"")))</f>
        <v/>
      </c>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c r="R195" s="49" cm="1">
        <f t="array" ref="R195">IF($A195="","",COUNTIFS(tblThreatControls[Control ID],$A195,tblThreatControls[Threat applies],"Applies"))</f>
        <v/>
      </c>
      <c r="S195" s="49" cm="1">
        <f t="array" ref="S195">IF($A195="","",IF(R195=0,"",INDEX(RISK_SCALE_NAMES,_xlfn.MAXIFS(tblThreatControls[Threat risk score],tblThreatControls[Control ID],$A195))))</f>
        <v/>
      </c>
      <c r="T195" s="49" cm="1">
        <f t="array" ref="T195">IF($A195="","",IF(AND(H195="Applicable",OR(L195="Not assessed",L195=""),R195&gt;0),"Yes","No"))</f>
        <v/>
      </c>
      <c r="U195" s="49" cm="1">
        <f t="array" ref="U195">IF($A195="","",IF(AND(H195="Applicable",OR(L195="Gap",L195="Partial coverage")),INDEX(RISK_SCALE_NAMES,MAX(IFERROR(MATCH(P195,RISK_SCALE_NAMES,0),1),IFERROR(MATCH(S195,RISK_SCALE_NAMES,0),0))),""))</f>
        <v/>
      </c>
      <c r="V195" s="49" cm="1">
        <f t="array" ref="V195">IF($A195="","",_xlfn.TEXTJOIN("; ",TRUE,_xlfn._xlws.FILTER(tblThreatControls[Threat ID],(tblThreatControls[Control ID]=$A195)*(tblThreatControls[Threat applies]="Applies"),"")))</f>
        <v/>
      </c>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c r="R196" s="49" cm="1">
        <f t="array" ref="R196">IF($A196="","",COUNTIFS(tblThreatControls[Control ID],$A196,tblThreatControls[Threat applies],"Applies"))</f>
        <v/>
      </c>
      <c r="S196" s="49" cm="1">
        <f t="array" ref="S196">IF($A196="","",IF(R196=0,"",INDEX(RISK_SCALE_NAMES,_xlfn.MAXIFS(tblThreatControls[Threat risk score],tblThreatControls[Control ID],$A196))))</f>
        <v/>
      </c>
      <c r="T196" s="49" cm="1">
        <f t="array" ref="T196">IF($A196="","",IF(AND(H196="Applicable",OR(L196="Not assessed",L196=""),R196&gt;0),"Yes","No"))</f>
        <v/>
      </c>
      <c r="U196" s="49" cm="1">
        <f t="array" ref="U196">IF($A196="","",IF(AND(H196="Applicable",OR(L196="Gap",L196="Partial coverage")),INDEX(RISK_SCALE_NAMES,MAX(IFERROR(MATCH(P196,RISK_SCALE_NAMES,0),1),IFERROR(MATCH(S196,RISK_SCALE_NAMES,0),0))),""))</f>
        <v/>
      </c>
      <c r="V196" s="49" cm="1">
        <f t="array" ref="V196">IF($A196="","",_xlfn.TEXTJOIN("; ",TRUE,_xlfn._xlws.FILTER(tblThreatControls[Threat ID],(tblThreatControls[Control ID]=$A196)*(tblThreatControls[Threat applies]="Applies"),"")))</f>
        <v/>
      </c>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c r="R197" s="49" cm="1">
        <f t="array" ref="R197">IF($A197="","",COUNTIFS(tblThreatControls[Control ID],$A197,tblThreatControls[Threat applies],"Applies"))</f>
        <v/>
      </c>
      <c r="S197" s="49" cm="1">
        <f t="array" ref="S197">IF($A197="","",IF(R197=0,"",INDEX(RISK_SCALE_NAMES,_xlfn.MAXIFS(tblThreatControls[Threat risk score],tblThreatControls[Control ID],$A197))))</f>
        <v/>
      </c>
      <c r="T197" s="49" cm="1">
        <f t="array" ref="T197">IF($A197="","",IF(AND(H197="Applicable",OR(L197="Not assessed",L197=""),R197&gt;0),"Yes","No"))</f>
        <v/>
      </c>
      <c r="U197" s="49" cm="1">
        <f t="array" ref="U197">IF($A197="","",IF(AND(H197="Applicable",OR(L197="Gap",L197="Partial coverage")),INDEX(RISK_SCALE_NAMES,MAX(IFERROR(MATCH(P197,RISK_SCALE_NAMES,0),1),IFERROR(MATCH(S197,RISK_SCALE_NAMES,0),0))),""))</f>
        <v/>
      </c>
      <c r="V197" s="49" cm="1">
        <f t="array" ref="V197">IF($A197="","",_xlfn.TEXTJOIN("; ",TRUE,_xlfn._xlws.FILTER(tblThreatControls[Threat ID],(tblThreatControls[Control ID]=$A197)*(tblThreatControls[Threat applies]="Applies"),"")))</f>
        <v/>
      </c>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c r="R198" s="49" cm="1">
        <f t="array" ref="R198">IF($A198="","",COUNTIFS(tblThreatControls[Control ID],$A198,tblThreatControls[Threat applies],"Applies"))</f>
        <v/>
      </c>
      <c r="S198" s="49" cm="1">
        <f t="array" ref="S198">IF($A198="","",IF(R198=0,"",INDEX(RISK_SCALE_NAMES,_xlfn.MAXIFS(tblThreatControls[Threat risk score],tblThreatControls[Control ID],$A198))))</f>
        <v/>
      </c>
      <c r="T198" s="49" cm="1">
        <f t="array" ref="T198">IF($A198="","",IF(AND(H198="Applicable",OR(L198="Not assessed",L198=""),R198&gt;0),"Yes","No"))</f>
        <v/>
      </c>
      <c r="U198" s="49" cm="1">
        <f t="array" ref="U198">IF($A198="","",IF(AND(H198="Applicable",OR(L198="Gap",L198="Partial coverage")),INDEX(RISK_SCALE_NAMES,MAX(IFERROR(MATCH(P198,RISK_SCALE_NAMES,0),1),IFERROR(MATCH(S198,RISK_SCALE_NAMES,0),0))),""))</f>
        <v/>
      </c>
      <c r="V198" s="49" cm="1">
        <f t="array" ref="V198">IF($A198="","",_xlfn.TEXTJOIN("; ",TRUE,_xlfn._xlws.FILTER(tblThreatControls[Threat ID],(tblThreatControls[Control ID]=$A198)*(tblThreatControls[Threat applies]="Applies"),"")))</f>
        <v/>
      </c>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c r="R199" s="49" cm="1">
        <f t="array" ref="R199">IF($A199="","",COUNTIFS(tblThreatControls[Control ID],$A199,tblThreatControls[Threat applies],"Applies"))</f>
        <v/>
      </c>
      <c r="S199" s="49" cm="1">
        <f t="array" ref="S199">IF($A199="","",IF(R199=0,"",INDEX(RISK_SCALE_NAMES,_xlfn.MAXIFS(tblThreatControls[Threat risk score],tblThreatControls[Control ID],$A199))))</f>
        <v/>
      </c>
      <c r="T199" s="49" cm="1">
        <f t="array" ref="T199">IF($A199="","",IF(AND(H199="Applicable",OR(L199="Not assessed",L199=""),R199&gt;0),"Yes","No"))</f>
        <v/>
      </c>
      <c r="U199" s="49" cm="1">
        <f t="array" ref="U199">IF($A199="","",IF(AND(H199="Applicable",OR(L199="Gap",L199="Partial coverage")),INDEX(RISK_SCALE_NAMES,MAX(IFERROR(MATCH(P199,RISK_SCALE_NAMES,0),1),IFERROR(MATCH(S199,RISK_SCALE_NAMES,0),0))),""))</f>
        <v/>
      </c>
      <c r="V199" s="49" cm="1">
        <f t="array" ref="V199">IF($A199="","",_xlfn.TEXTJOIN("; ",TRUE,_xlfn._xlws.FILTER(tblThreatControls[Threat ID],(tblThreatControls[Control ID]=$A199)*(tblThreatControls[Threat applies]="Applies"),"")))</f>
        <v/>
      </c>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c r="R200" s="49" cm="1">
        <f t="array" ref="R200">IF($A200="","",COUNTIFS(tblThreatControls[Control ID],$A200,tblThreatControls[Threat applies],"Applies"))</f>
        <v/>
      </c>
      <c r="S200" s="49" cm="1">
        <f t="array" ref="S200">IF($A200="","",IF(R200=0,"",INDEX(RISK_SCALE_NAMES,_xlfn.MAXIFS(tblThreatControls[Threat risk score],tblThreatControls[Control ID],$A200))))</f>
        <v/>
      </c>
      <c r="T200" s="49" cm="1">
        <f t="array" ref="T200">IF($A200="","",IF(AND(H200="Applicable",OR(L200="Not assessed",L200=""),R200&gt;0),"Yes","No"))</f>
        <v/>
      </c>
      <c r="U200" s="49" cm="1">
        <f t="array" ref="U200">IF($A200="","",IF(AND(H200="Applicable",OR(L200="Gap",L200="Partial coverage")),INDEX(RISK_SCALE_NAMES,MAX(IFERROR(MATCH(P200,RISK_SCALE_NAMES,0),1),IFERROR(MATCH(S200,RISK_SCALE_NAMES,0),0))),""))</f>
        <v/>
      </c>
      <c r="V200" s="49" cm="1">
        <f t="array" ref="V200">IF($A200="","",_xlfn.TEXTJOIN("; ",TRUE,_xlfn._xlws.FILTER(tblThreatControls[Threat ID],(tblThreatControls[Control ID]=$A200)*(tblThreatControls[Threat applies]="Applies"),"")))</f>
        <v/>
      </c>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c r="R201" s="49" cm="1">
        <f t="array" ref="R201">IF($A201="","",COUNTIFS(tblThreatControls[Control ID],$A201,tblThreatControls[Threat applies],"Applies"))</f>
        <v/>
      </c>
      <c r="S201" s="49" cm="1">
        <f t="array" ref="S201">IF($A201="","",IF(R201=0,"",INDEX(RISK_SCALE_NAMES,_xlfn.MAXIFS(tblThreatControls[Threat risk score],tblThreatControls[Control ID],$A201))))</f>
        <v/>
      </c>
      <c r="T201" s="49" cm="1">
        <f t="array" ref="T201">IF($A201="","",IF(AND(H201="Applicable",OR(L201="Not assessed",L201=""),R201&gt;0),"Yes","No"))</f>
        <v/>
      </c>
      <c r="U201" s="49" cm="1">
        <f t="array" ref="U201">IF($A201="","",IF(AND(H201="Applicable",OR(L201="Gap",L201="Partial coverage")),INDEX(RISK_SCALE_NAMES,MAX(IFERROR(MATCH(P201,RISK_SCALE_NAMES,0),1),IFERROR(MATCH(S201,RISK_SCALE_NAMES,0),0))),""))</f>
        <v/>
      </c>
      <c r="V201" s="49" cm="1">
        <f t="array" ref="V201">IF($A201="","",_xlfn.TEXTJOIN("; ",TRUE,_xlfn._xlws.FILTER(tblThreatControls[Threat ID],(tblThreatControls[Control ID]=$A201)*(tblThreatControls[Threat applies]="Applies"),"")))</f>
        <v/>
      </c>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c r="R202" s="49" cm="1">
        <f t="array" ref="R202">IF($A202="","",COUNTIFS(tblThreatControls[Control ID],$A202,tblThreatControls[Threat applies],"Applies"))</f>
        <v/>
      </c>
      <c r="S202" s="49" cm="1">
        <f t="array" ref="S202">IF($A202="","",IF(R202=0,"",INDEX(RISK_SCALE_NAMES,_xlfn.MAXIFS(tblThreatControls[Threat risk score],tblThreatControls[Control ID],$A202))))</f>
        <v/>
      </c>
      <c r="T202" s="49" cm="1">
        <f t="array" ref="T202">IF($A202="","",IF(AND(H202="Applicable",OR(L202="Not assessed",L202=""),R202&gt;0),"Yes","No"))</f>
        <v/>
      </c>
      <c r="U202" s="49" cm="1">
        <f t="array" ref="U202">IF($A202="","",IF(AND(H202="Applicable",OR(L202="Gap",L202="Partial coverage")),INDEX(RISK_SCALE_NAMES,MAX(IFERROR(MATCH(P202,RISK_SCALE_NAMES,0),1),IFERROR(MATCH(S202,RISK_SCALE_NAMES,0),0))),""))</f>
        <v/>
      </c>
      <c r="V202" s="49" cm="1">
        <f t="array" ref="V202">IF($A202="","",_xlfn.TEXTJOIN("; ",TRUE,_xlfn._xlws.FILTER(tblThreatControls[Threat ID],(tblThreatControls[Control ID]=$A202)*(tblThreatControls[Threat applies]="Applies"),"")))</f>
        <v/>
      </c>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c r="R203" s="49" cm="1">
        <f t="array" ref="R203">IF($A203="","",COUNTIFS(tblThreatControls[Control ID],$A203,tblThreatControls[Threat applies],"Applies"))</f>
        <v/>
      </c>
      <c r="S203" s="49" cm="1">
        <f t="array" ref="S203">IF($A203="","",IF(R203=0,"",INDEX(RISK_SCALE_NAMES,_xlfn.MAXIFS(tblThreatControls[Threat risk score],tblThreatControls[Control ID],$A203))))</f>
        <v/>
      </c>
      <c r="T203" s="49" cm="1">
        <f t="array" ref="T203">IF($A203="","",IF(AND(H203="Applicable",OR(L203="Not assessed",L203=""),R203&gt;0),"Yes","No"))</f>
        <v/>
      </c>
      <c r="U203" s="49" cm="1">
        <f t="array" ref="U203">IF($A203="","",IF(AND(H203="Applicable",OR(L203="Gap",L203="Partial coverage")),INDEX(RISK_SCALE_NAMES,MAX(IFERROR(MATCH(P203,RISK_SCALE_NAMES,0),1),IFERROR(MATCH(S203,RISK_SCALE_NAMES,0),0))),""))</f>
        <v/>
      </c>
      <c r="V203" s="49" cm="1">
        <f t="array" ref="V203">IF($A203="","",_xlfn.TEXTJOIN("; ",TRUE,_xlfn._xlws.FILTER(tblThreatControls[Threat ID],(tblThreatControls[Control ID]=$A203)*(tblThreatControls[Threat applies]="Applies"),"")))</f>
        <v/>
      </c>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c r="R204" s="49" cm="1">
        <f t="array" ref="R204">IF($A204="","",COUNTIFS(tblThreatControls[Control ID],$A204,tblThreatControls[Threat applies],"Applies"))</f>
        <v/>
      </c>
      <c r="S204" s="49" cm="1">
        <f t="array" ref="S204">IF($A204="","",IF(R204=0,"",INDEX(RISK_SCALE_NAMES,_xlfn.MAXIFS(tblThreatControls[Threat risk score],tblThreatControls[Control ID],$A204))))</f>
        <v/>
      </c>
      <c r="T204" s="49" cm="1">
        <f t="array" ref="T204">IF($A204="","",IF(AND(H204="Applicable",OR(L204="Not assessed",L204=""),R204&gt;0),"Yes","No"))</f>
        <v/>
      </c>
      <c r="U204" s="49" cm="1">
        <f t="array" ref="U204">IF($A204="","",IF(AND(H204="Applicable",OR(L204="Gap",L204="Partial coverage")),INDEX(RISK_SCALE_NAMES,MAX(IFERROR(MATCH(P204,RISK_SCALE_NAMES,0),1),IFERROR(MATCH(S204,RISK_SCALE_NAMES,0),0))),""))</f>
        <v/>
      </c>
      <c r="V204" s="49" cm="1">
        <f t="array" ref="V204">IF($A204="","",_xlfn.TEXTJOIN("; ",TRUE,_xlfn._xlws.FILTER(tblThreatControls[Threat ID],(tblThreatControls[Control ID]=$A204)*(tblThreatControls[Threat applies]="Applies"),"")))</f>
        <v/>
      </c>
    </row>
  </sheetData>
  <autoFilter ref="A4:V204"/>
  <mergeCells count="1">
    <mergeCell ref="A2:V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204">
    <cfRule type="expression" priority="9" dxfId="9">
      <formula>$S5="Critical"</formula>
    </cfRule>
    <cfRule type="expression" priority="10" dxfId="10">
      <formula>$S5="High"</formula>
    </cfRule>
    <cfRule type="expression" priority="11" dxfId="11">
      <formula>$S5="Medium"</formula>
    </cfRule>
  </conditionalFormatting>
  <conditionalFormatting sqref="U5:U204">
    <cfRule type="expression" priority="12" dxfId="9">
      <formula>$U5="Critical"</formula>
    </cfRule>
    <cfRule type="expression" priority="13" dxfId="10">
      <formula>$U5="High"</formula>
    </cfRule>
    <cfRule type="expression" priority="14" dxfId="11">
      <formula>$U5="Medium"</formula>
    </cfRule>
  </conditionalFormatting>
  <conditionalFormatting sqref="T5:T204">
    <cfRule type="cellIs" priority="15" operator="equal" dxfId="18">
      <formula>"Yes"</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FF2E75B6"/>
    <outlinePr summaryBelow="1" summaryRight="1"/>
    <pageSetUpPr/>
  </sheetPr>
  <dimension ref="A1:N205"/>
  <sheetViews>
    <sheetView showGridLines="0" tabSelected="0" workbookViewId="0">
      <pane ySplit="5" topLeftCell="A6" activePane="bottomLeft" state="frozen"/>
      <selection pane="bottomLeft" activeCell="A1" sqref="A1"/>
    </sheetView>
  </sheetViews>
  <sheetFormatPr baseColWidth="8" defaultRowHeight="15"/>
  <cols>
    <col width="13" customWidth="1" style="19" min="1" max="1"/>
    <col width="55" customWidth="1" style="19" min="2" max="2"/>
    <col width="14" customWidth="1" style="19" min="3" max="3"/>
    <col width="11" customWidth="1" style="19" min="4" max="4"/>
    <col width="11" customWidth="1" style="19" min="5" max="5"/>
    <col width="11" customWidth="1" style="19" min="6" max="6"/>
    <col width="16" customWidth="1" style="19" min="7" max="7"/>
    <col width="22" customWidth="1" style="19" min="8" max="8"/>
    <col width="3" customWidth="1" style="19" min="9" max="9"/>
    <col width="18" customWidth="1" style="19" min="10" max="10"/>
    <col width="26" customWidth="1" style="19" min="11" max="11"/>
    <col width="10" customWidth="1" style="19" min="12" max="12"/>
    <col width="26" customWidth="1" style="19" min="13" max="13"/>
    <col width="12" customWidth="1" style="19" min="14" max="14"/>
  </cols>
  <sheetData>
    <row r="1" ht="25.5" customHeight="1" s="19">
      <c r="A1" s="63" t="inlineStr">
        <is>
          <t>Backlog</t>
        </is>
      </c>
      <c r="B1" s="64" t="n"/>
      <c r="C1" s="64" t="n"/>
      <c r="D1" s="64" t="n"/>
      <c r="E1" s="64" t="n"/>
      <c r="F1" s="64" t="n"/>
      <c r="G1" s="64" t="n"/>
      <c r="H1" s="64" t="n"/>
      <c r="I1" s="64" t="n"/>
      <c r="J1" s="64" t="n"/>
      <c r="K1" s="64" t="n"/>
      <c r="L1" s="64" t="n"/>
      <c r="M1" s="64" t="n"/>
      <c r="N1" s="64" t="n"/>
    </row>
    <row r="2" ht="45" customHeight="1" s="19">
      <c r="A2" s="65" t="inlineStr">
        <is>
          <t>What to fix, in order. Left: controls with Coverage Status Gap or Partial coverage, sorted by Backlog priority (the higher of Criticality and Threat priority), then Threat priority. Right: log sources that relevant detections need but are not available yet. Copy both into the Confluence 'Gaps and Action Items' section.</t>
        </is>
      </c>
    </row>
    <row r="4">
      <c r="A4" s="66" t="inlineStr">
        <is>
          <t>Controls to fix</t>
        </is>
      </c>
      <c r="B4" s="67" cm="1">
        <f t="array" ref="B4">COUNTIF(MT_BACKLOG,"?*")+COUNTIF(CC_BACKLOG,"?*")</f>
        <v/>
      </c>
      <c r="J4" s="66" t="inlineStr">
        <is>
          <t>Log sources to enable</t>
        </is>
      </c>
      <c r="K4" s="67" cm="1">
        <f t="array" ref="K4">COUNTIFS(tblLogSources[Available],"&lt;&gt;Yes",tblLogSources[Needed by detections],"?*")</f>
        <v/>
      </c>
    </row>
    <row r="5">
      <c r="A5" s="68" t="inlineStr">
        <is>
          <t>Control ID</t>
        </is>
      </c>
      <c r="B5" s="68" t="inlineStr">
        <is>
          <t>Requirement</t>
        </is>
      </c>
      <c r="C5" s="68" t="inlineStr">
        <is>
          <t>Coverage</t>
        </is>
      </c>
      <c r="D5" s="68" t="inlineStr">
        <is>
          <t>Criticality</t>
        </is>
      </c>
      <c r="E5" s="68" t="inlineStr">
        <is>
          <t>Threat priority</t>
        </is>
      </c>
      <c r="F5" s="68" t="inlineStr">
        <is>
          <t>Backlog priority</t>
        </is>
      </c>
      <c r="G5" s="68" t="inlineStr">
        <is>
          <t>Remediation owner</t>
        </is>
      </c>
      <c r="H5" s="68" t="inlineStr">
        <is>
          <t>Linked threats</t>
        </is>
      </c>
      <c r="J5" s="68" t="inlineStr">
        <is>
          <t>Log source</t>
        </is>
      </c>
      <c r="K5" s="68" t="inlineStr">
        <is>
          <t>Name</t>
        </is>
      </c>
      <c r="L5" s="68" t="inlineStr">
        <is>
          <t>Status</t>
        </is>
      </c>
      <c r="M5" s="68" t="inlineStr">
        <is>
          <t>Needed by detections</t>
        </is>
      </c>
      <c r="N5" s="68" t="inlineStr">
        <is>
          <t>Highest threat risk</t>
        </is>
      </c>
    </row>
    <row r="6">
      <c r="A6" s="69" cm="1">
        <f t="array" ref="A6">IF(B4=0,"No gaps recorded yet",_xlfn.CHOOSECOLS(_xlfn._xlws.SORT(_xlfn._xlws.FILTER(_xlfn.VSTACK(_xlfn.HSTACK(MT_IDS&amp;"",MT_REQ&amp;"",MT_COVERAGE&amp;"",MT_CRIT&amp;"",MT_TPRIO&amp;"",MT_BACKLOG&amp;"",MT_OWNER&amp;"",MT_TIDS&amp;"",IFERROR(MATCH(MT_BACKLOG,RISK_SCALE_NAMES,0),0),IFERROR(MATCH(MT_TPRIO,RISK_SCALE_NAMES,0),0)),_xlfn.HSTACK(CC_IDS&amp;"",CC_REQ&amp;"",CC_COVERAGE&amp;"",CC_CRIT&amp;"",CC_TPRIO&amp;"",CC_BACKLOG&amp;"",CC_OWNER&amp;"",CC_TIDS&amp;"",IFERROR(MATCH(CC_BACKLOG,RISK_SCALE_NAMES,0),0),IFERROR(MATCH(CC_TPRIO,RISK_SCALE_NAMES,0),0))),_xlfn.VSTACK(MT_BACKLOG,CC_BACKLOG)&lt;&gt;""),{9,10},{-1,-1}),1,2,3,4,5,6,7,8))</f>
        <v/>
      </c>
      <c r="B6" s="69" t="n"/>
      <c r="C6" s="69" t="n"/>
      <c r="D6" s="69" t="n"/>
      <c r="E6" s="69" t="n"/>
      <c r="F6" s="69" t="n"/>
      <c r="G6" s="69" t="n"/>
      <c r="H6" s="69" t="n"/>
      <c r="J6" s="69" cm="1">
        <f t="array" ref="J6">IF(K4=0,"No log sources to enable",_xlfn.CHOOSECOLS(_xlfn._xlws.SORT(_xlfn._xlws.FILTER(_xlfn.HSTACK(tblLogSources[Log source ID],tblLogSources[Name],tblLogSources[Available],tblLogSources[Needed by detections],tblLogSources[Highest threat risk],tblLogSources[Risk score]),(tblLogSources[Available]&lt;&gt;"Yes")*(tblLogSources[Needed by detections]&lt;&gt;"")),6,-1),1,2,3,4,5))</f>
        <v/>
      </c>
      <c r="K6" s="69" t="n"/>
      <c r="L6" s="69" t="n"/>
      <c r="M6" s="69" t="n"/>
      <c r="N6" s="69" t="n"/>
    </row>
    <row r="7">
      <c r="A7" s="69" t="n"/>
      <c r="B7" s="69" t="n"/>
      <c r="C7" s="69" t="n"/>
      <c r="D7" s="69" t="n"/>
      <c r="E7" s="69" t="n"/>
      <c r="F7" s="69" t="n"/>
      <c r="G7" s="69" t="n"/>
      <c r="H7" s="69" t="n"/>
      <c r="J7" s="69" t="n"/>
      <c r="K7" s="69" t="n"/>
      <c r="L7" s="69" t="n"/>
      <c r="M7" s="69" t="n"/>
      <c r="N7" s="69" t="n"/>
    </row>
    <row r="8">
      <c r="A8" s="69" t="n"/>
      <c r="B8" s="69" t="n"/>
      <c r="C8" s="69" t="n"/>
      <c r="D8" s="69" t="n"/>
      <c r="E8" s="69" t="n"/>
      <c r="F8" s="69" t="n"/>
      <c r="G8" s="69" t="n"/>
      <c r="H8" s="69" t="n"/>
      <c r="J8" s="69" t="n"/>
      <c r="K8" s="69" t="n"/>
      <c r="L8" s="69" t="n"/>
      <c r="M8" s="69" t="n"/>
      <c r="N8" s="69" t="n"/>
    </row>
    <row r="9">
      <c r="A9" s="69" t="n"/>
      <c r="B9" s="69" t="n"/>
      <c r="C9" s="69" t="n"/>
      <c r="D9" s="69" t="n"/>
      <c r="E9" s="69" t="n"/>
      <c r="F9" s="69" t="n"/>
      <c r="G9" s="69" t="n"/>
      <c r="H9" s="69" t="n"/>
      <c r="J9" s="69" t="n"/>
      <c r="K9" s="69" t="n"/>
      <c r="L9" s="69" t="n"/>
      <c r="M9" s="69" t="n"/>
      <c r="N9" s="69" t="n"/>
    </row>
    <row r="10">
      <c r="A10" s="69" t="n"/>
      <c r="B10" s="69" t="n"/>
      <c r="C10" s="69" t="n"/>
      <c r="D10" s="69" t="n"/>
      <c r="E10" s="69" t="n"/>
      <c r="F10" s="69" t="n"/>
      <c r="G10" s="69" t="n"/>
      <c r="H10" s="69" t="n"/>
      <c r="J10" s="69" t="n"/>
      <c r="K10" s="69" t="n"/>
      <c r="L10" s="69" t="n"/>
      <c r="M10" s="69" t="n"/>
      <c r="N10" s="69" t="n"/>
    </row>
    <row r="11">
      <c r="A11" s="69" t="n"/>
      <c r="B11" s="69" t="n"/>
      <c r="C11" s="69" t="n"/>
      <c r="D11" s="69" t="n"/>
      <c r="E11" s="69" t="n"/>
      <c r="F11" s="69" t="n"/>
      <c r="G11" s="69" t="n"/>
      <c r="H11" s="69" t="n"/>
      <c r="J11" s="69" t="n"/>
      <c r="K11" s="69" t="n"/>
      <c r="L11" s="69" t="n"/>
      <c r="M11" s="69" t="n"/>
      <c r="N11" s="69" t="n"/>
    </row>
    <row r="12">
      <c r="A12" s="69" t="n"/>
      <c r="B12" s="69" t="n"/>
      <c r="C12" s="69" t="n"/>
      <c r="D12" s="69" t="n"/>
      <c r="E12" s="69" t="n"/>
      <c r="F12" s="69" t="n"/>
      <c r="G12" s="69" t="n"/>
      <c r="H12" s="69" t="n"/>
      <c r="J12" s="69" t="n"/>
      <c r="K12" s="69" t="n"/>
      <c r="L12" s="69" t="n"/>
      <c r="M12" s="69" t="n"/>
      <c r="N12" s="69" t="n"/>
    </row>
    <row r="13">
      <c r="A13" s="69" t="n"/>
      <c r="B13" s="69" t="n"/>
      <c r="C13" s="69" t="n"/>
      <c r="D13" s="69" t="n"/>
      <c r="E13" s="69" t="n"/>
      <c r="F13" s="69" t="n"/>
      <c r="G13" s="69" t="n"/>
      <c r="H13" s="69" t="n"/>
      <c r="J13" s="69" t="n"/>
      <c r="K13" s="69" t="n"/>
      <c r="L13" s="69" t="n"/>
      <c r="M13" s="69" t="n"/>
      <c r="N13" s="69" t="n"/>
    </row>
    <row r="14">
      <c r="A14" s="69" t="n"/>
      <c r="B14" s="69" t="n"/>
      <c r="C14" s="69" t="n"/>
      <c r="D14" s="69" t="n"/>
      <c r="E14" s="69" t="n"/>
      <c r="F14" s="69" t="n"/>
      <c r="G14" s="69" t="n"/>
      <c r="H14" s="69" t="n"/>
      <c r="J14" s="69" t="n"/>
      <c r="K14" s="69" t="n"/>
      <c r="L14" s="69" t="n"/>
      <c r="M14" s="69" t="n"/>
      <c r="N14" s="69" t="n"/>
    </row>
    <row r="15">
      <c r="A15" s="69" t="n"/>
      <c r="B15" s="69" t="n"/>
      <c r="C15" s="69" t="n"/>
      <c r="D15" s="69" t="n"/>
      <c r="E15" s="69" t="n"/>
      <c r="F15" s="69" t="n"/>
      <c r="G15" s="69" t="n"/>
      <c r="H15" s="69" t="n"/>
      <c r="J15" s="69" t="n"/>
      <c r="K15" s="69" t="n"/>
      <c r="L15" s="69" t="n"/>
      <c r="M15" s="69" t="n"/>
      <c r="N15" s="69" t="n"/>
    </row>
    <row r="16">
      <c r="A16" s="69" t="n"/>
      <c r="B16" s="69" t="n"/>
      <c r="C16" s="69" t="n"/>
      <c r="D16" s="69" t="n"/>
      <c r="E16" s="69" t="n"/>
      <c r="F16" s="69" t="n"/>
      <c r="G16" s="69" t="n"/>
      <c r="H16" s="69" t="n"/>
      <c r="J16" s="69" t="n"/>
      <c r="K16" s="69" t="n"/>
      <c r="L16" s="69" t="n"/>
      <c r="M16" s="69" t="n"/>
      <c r="N16" s="69" t="n"/>
    </row>
    <row r="17">
      <c r="A17" s="69" t="n"/>
      <c r="B17" s="69" t="n"/>
      <c r="C17" s="69" t="n"/>
      <c r="D17" s="69" t="n"/>
      <c r="E17" s="69" t="n"/>
      <c r="F17" s="69" t="n"/>
      <c r="G17" s="69" t="n"/>
      <c r="H17" s="69" t="n"/>
      <c r="J17" s="69" t="n"/>
      <c r="K17" s="69" t="n"/>
      <c r="L17" s="69" t="n"/>
      <c r="M17" s="69" t="n"/>
      <c r="N17" s="69" t="n"/>
    </row>
    <row r="18">
      <c r="A18" s="69" t="n"/>
      <c r="B18" s="69" t="n"/>
      <c r="C18" s="69" t="n"/>
      <c r="D18" s="69" t="n"/>
      <c r="E18" s="69" t="n"/>
      <c r="F18" s="69" t="n"/>
      <c r="G18" s="69" t="n"/>
      <c r="H18" s="69" t="n"/>
      <c r="J18" s="69" t="n"/>
      <c r="K18" s="69" t="n"/>
      <c r="L18" s="69" t="n"/>
      <c r="M18" s="69" t="n"/>
      <c r="N18" s="69" t="n"/>
    </row>
    <row r="19">
      <c r="A19" s="69" t="n"/>
      <c r="B19" s="69" t="n"/>
      <c r="C19" s="69" t="n"/>
      <c r="D19" s="69" t="n"/>
      <c r="E19" s="69" t="n"/>
      <c r="F19" s="69" t="n"/>
      <c r="G19" s="69" t="n"/>
      <c r="H19" s="69" t="n"/>
      <c r="J19" s="69" t="n"/>
      <c r="K19" s="69" t="n"/>
      <c r="L19" s="69" t="n"/>
      <c r="M19" s="69" t="n"/>
      <c r="N19" s="69" t="n"/>
    </row>
    <row r="20">
      <c r="A20" s="69" t="n"/>
      <c r="B20" s="69" t="n"/>
      <c r="C20" s="69" t="n"/>
      <c r="D20" s="69" t="n"/>
      <c r="E20" s="69" t="n"/>
      <c r="F20" s="69" t="n"/>
      <c r="G20" s="69" t="n"/>
      <c r="H20" s="69" t="n"/>
      <c r="J20" s="69" t="n"/>
      <c r="K20" s="69" t="n"/>
      <c r="L20" s="69" t="n"/>
      <c r="M20" s="69" t="n"/>
      <c r="N20" s="69" t="n"/>
    </row>
    <row r="21">
      <c r="A21" s="69" t="n"/>
      <c r="B21" s="69" t="n"/>
      <c r="C21" s="69" t="n"/>
      <c r="D21" s="69" t="n"/>
      <c r="E21" s="69" t="n"/>
      <c r="F21" s="69" t="n"/>
      <c r="G21" s="69" t="n"/>
      <c r="H21" s="69" t="n"/>
      <c r="J21" s="69" t="n"/>
      <c r="K21" s="69" t="n"/>
      <c r="L21" s="69" t="n"/>
      <c r="M21" s="69" t="n"/>
      <c r="N21" s="69" t="n"/>
    </row>
    <row r="22">
      <c r="A22" s="69" t="n"/>
      <c r="B22" s="69" t="n"/>
      <c r="C22" s="69" t="n"/>
      <c r="D22" s="69" t="n"/>
      <c r="E22" s="69" t="n"/>
      <c r="F22" s="69" t="n"/>
      <c r="G22" s="69" t="n"/>
      <c r="H22" s="69" t="n"/>
      <c r="J22" s="69" t="n"/>
      <c r="K22" s="69" t="n"/>
      <c r="L22" s="69" t="n"/>
      <c r="M22" s="69" t="n"/>
      <c r="N22" s="69" t="n"/>
    </row>
    <row r="23">
      <c r="A23" s="69" t="n"/>
      <c r="B23" s="69" t="n"/>
      <c r="C23" s="69" t="n"/>
      <c r="D23" s="69" t="n"/>
      <c r="E23" s="69" t="n"/>
      <c r="F23" s="69" t="n"/>
      <c r="G23" s="69" t="n"/>
      <c r="H23" s="69" t="n"/>
      <c r="J23" s="69" t="n"/>
      <c r="K23" s="69" t="n"/>
      <c r="L23" s="69" t="n"/>
      <c r="M23" s="69" t="n"/>
      <c r="N23" s="69" t="n"/>
    </row>
    <row r="24">
      <c r="A24" s="69" t="n"/>
      <c r="B24" s="69" t="n"/>
      <c r="C24" s="69" t="n"/>
      <c r="D24" s="69" t="n"/>
      <c r="E24" s="69" t="n"/>
      <c r="F24" s="69" t="n"/>
      <c r="G24" s="69" t="n"/>
      <c r="H24" s="69" t="n"/>
      <c r="J24" s="69" t="n"/>
      <c r="K24" s="69" t="n"/>
      <c r="L24" s="69" t="n"/>
      <c r="M24" s="69" t="n"/>
      <c r="N24" s="69" t="n"/>
    </row>
    <row r="25">
      <c r="A25" s="69" t="n"/>
      <c r="B25" s="69" t="n"/>
      <c r="C25" s="69" t="n"/>
      <c r="D25" s="69" t="n"/>
      <c r="E25" s="69" t="n"/>
      <c r="F25" s="69" t="n"/>
      <c r="G25" s="69" t="n"/>
      <c r="H25" s="69" t="n"/>
      <c r="J25" s="69" t="n"/>
      <c r="K25" s="69" t="n"/>
      <c r="L25" s="69" t="n"/>
      <c r="M25" s="69" t="n"/>
      <c r="N25" s="69" t="n"/>
    </row>
    <row r="26">
      <c r="A26" s="69" t="n"/>
      <c r="B26" s="69" t="n"/>
      <c r="C26" s="69" t="n"/>
      <c r="D26" s="69" t="n"/>
      <c r="E26" s="69" t="n"/>
      <c r="F26" s="69" t="n"/>
      <c r="G26" s="69" t="n"/>
      <c r="H26" s="69" t="n"/>
      <c r="J26" s="69" t="n"/>
      <c r="K26" s="69" t="n"/>
      <c r="L26" s="69" t="n"/>
      <c r="M26" s="69" t="n"/>
      <c r="N26" s="69" t="n"/>
    </row>
    <row r="27">
      <c r="A27" s="69" t="n"/>
      <c r="B27" s="69" t="n"/>
      <c r="C27" s="69" t="n"/>
      <c r="D27" s="69" t="n"/>
      <c r="E27" s="69" t="n"/>
      <c r="F27" s="69" t="n"/>
      <c r="G27" s="69" t="n"/>
      <c r="H27" s="69" t="n"/>
      <c r="J27" s="69" t="n"/>
      <c r="K27" s="69" t="n"/>
      <c r="L27" s="69" t="n"/>
      <c r="M27" s="69" t="n"/>
      <c r="N27" s="69" t="n"/>
    </row>
    <row r="28">
      <c r="A28" s="69" t="n"/>
      <c r="B28" s="69" t="n"/>
      <c r="C28" s="69" t="n"/>
      <c r="D28" s="69" t="n"/>
      <c r="E28" s="69" t="n"/>
      <c r="F28" s="69" t="n"/>
      <c r="G28" s="69" t="n"/>
      <c r="H28" s="69" t="n"/>
      <c r="J28" s="69" t="n"/>
      <c r="K28" s="69" t="n"/>
      <c r="L28" s="69" t="n"/>
      <c r="M28" s="69" t="n"/>
      <c r="N28" s="69" t="n"/>
    </row>
    <row r="29">
      <c r="A29" s="69" t="n"/>
      <c r="B29" s="69" t="n"/>
      <c r="C29" s="69" t="n"/>
      <c r="D29" s="69" t="n"/>
      <c r="E29" s="69" t="n"/>
      <c r="F29" s="69" t="n"/>
      <c r="G29" s="69" t="n"/>
      <c r="H29" s="69" t="n"/>
      <c r="J29" s="69" t="n"/>
      <c r="K29" s="69" t="n"/>
      <c r="L29" s="69" t="n"/>
      <c r="M29" s="69" t="n"/>
      <c r="N29" s="69" t="n"/>
    </row>
    <row r="30">
      <c r="A30" s="69" t="n"/>
      <c r="B30" s="69" t="n"/>
      <c r="C30" s="69" t="n"/>
      <c r="D30" s="69" t="n"/>
      <c r="E30" s="69" t="n"/>
      <c r="F30" s="69" t="n"/>
      <c r="G30" s="69" t="n"/>
      <c r="H30" s="69" t="n"/>
      <c r="J30" s="69" t="n"/>
      <c r="K30" s="69" t="n"/>
      <c r="L30" s="69" t="n"/>
      <c r="M30" s="69" t="n"/>
      <c r="N30" s="69" t="n"/>
    </row>
    <row r="31">
      <c r="A31" s="69" t="n"/>
      <c r="B31" s="69" t="n"/>
      <c r="C31" s="69" t="n"/>
      <c r="D31" s="69" t="n"/>
      <c r="E31" s="69" t="n"/>
      <c r="F31" s="69" t="n"/>
      <c r="G31" s="69" t="n"/>
      <c r="H31" s="69" t="n"/>
      <c r="J31" s="69" t="n"/>
      <c r="K31" s="69" t="n"/>
      <c r="L31" s="69" t="n"/>
      <c r="M31" s="69" t="n"/>
      <c r="N31" s="69" t="n"/>
    </row>
    <row r="32">
      <c r="A32" s="69" t="n"/>
      <c r="B32" s="69" t="n"/>
      <c r="C32" s="69" t="n"/>
      <c r="D32" s="69" t="n"/>
      <c r="E32" s="69" t="n"/>
      <c r="F32" s="69" t="n"/>
      <c r="G32" s="69" t="n"/>
      <c r="H32" s="69" t="n"/>
      <c r="J32" s="69" t="n"/>
      <c r="K32" s="69" t="n"/>
      <c r="L32" s="69" t="n"/>
      <c r="M32" s="69" t="n"/>
      <c r="N32" s="69" t="n"/>
    </row>
    <row r="33">
      <c r="A33" s="69" t="n"/>
      <c r="B33" s="69" t="n"/>
      <c r="C33" s="69" t="n"/>
      <c r="D33" s="69" t="n"/>
      <c r="E33" s="69" t="n"/>
      <c r="F33" s="69" t="n"/>
      <c r="G33" s="69" t="n"/>
      <c r="H33" s="69" t="n"/>
      <c r="J33" s="69" t="n"/>
      <c r="K33" s="69" t="n"/>
      <c r="L33" s="69" t="n"/>
      <c r="M33" s="69" t="n"/>
      <c r="N33" s="69" t="n"/>
    </row>
    <row r="34">
      <c r="A34" s="69" t="n"/>
      <c r="B34" s="69" t="n"/>
      <c r="C34" s="69" t="n"/>
      <c r="D34" s="69" t="n"/>
      <c r="E34" s="69" t="n"/>
      <c r="F34" s="69" t="n"/>
      <c r="G34" s="69" t="n"/>
      <c r="H34" s="69" t="n"/>
      <c r="J34" s="69" t="n"/>
      <c r="K34" s="69" t="n"/>
      <c r="L34" s="69" t="n"/>
      <c r="M34" s="69" t="n"/>
      <c r="N34" s="69" t="n"/>
    </row>
    <row r="35">
      <c r="A35" s="69" t="n"/>
      <c r="B35" s="69" t="n"/>
      <c r="C35" s="69" t="n"/>
      <c r="D35" s="69" t="n"/>
      <c r="E35" s="69" t="n"/>
      <c r="F35" s="69" t="n"/>
      <c r="G35" s="69" t="n"/>
      <c r="H35" s="69" t="n"/>
      <c r="J35" s="69" t="n"/>
      <c r="K35" s="69" t="n"/>
      <c r="L35" s="69" t="n"/>
      <c r="M35" s="69" t="n"/>
      <c r="N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sheetData>
  <mergeCells count="1">
    <mergeCell ref="A2:N2"/>
  </mergeCells>
  <conditionalFormatting sqref="D6:F206">
    <cfRule type="expression" priority="1" dxfId="9">
      <formula>D6="Critical"</formula>
    </cfRule>
    <cfRule type="expression" priority="2" dxfId="10">
      <formula>D6="High"</formula>
    </cfRule>
    <cfRule type="expression" priority="3" dxfId="11">
      <formula>D6="Medium"</formula>
    </cfRule>
  </conditionalFormatting>
  <conditionalFormatting sqref="N6:N36">
    <cfRule type="expression" priority="4" dxfId="9">
      <formula>N6="Critical"</formula>
    </cfRule>
    <cfRule type="expression" priority="5" dxfId="10">
      <formula>N6="High"</formula>
    </cfRule>
    <cfRule type="expression" priority="6" dxfId="11">
      <formula>N6="Medium"</formula>
    </cfRule>
  </conditionalFormatting>
  <pageMargins left="0.75" right="0.75" top="1" bottom="1" header="0.5" footer="0.5"/>
</worksheet>
</file>

<file path=xl/worksheets/sheet9.xml><?xml version="1.0" encoding="utf-8"?>
<worksheet xmlns="http://schemas.openxmlformats.org/spreadsheetml/2006/main">
  <sheetPr>
    <tabColor rgb="FF2E75B6"/>
    <outlinePr summaryBelow="1" summaryRight="1"/>
    <pageSetUpPr/>
  </sheetPr>
  <dimension ref="A1:H65"/>
  <sheetViews>
    <sheetView showGridLines="0" tabSelected="0" workbookViewId="0">
      <pane ySplit="5" topLeftCell="A6" activePane="bottomLeft" state="frozen"/>
      <selection pane="bottomLeft" activeCell="A1" sqref="A1"/>
    </sheetView>
  </sheetViews>
  <sheetFormatPr baseColWidth="8" defaultRowHeight="15"/>
  <cols>
    <col width="15" customWidth="1" style="19" min="1" max="1"/>
    <col width="34" customWidth="1" style="19" min="2" max="2"/>
    <col width="22" customWidth="1" style="19" min="3" max="3"/>
    <col width="12" customWidth="1" style="19" min="4" max="4"/>
    <col width="24" customWidth="1" style="19" min="5" max="5"/>
    <col width="22" customWidth="1" style="19" min="6" max="6"/>
    <col width="16" customWidth="1" style="19" min="7" max="7"/>
    <col width="44" customWidth="1" style="19" min="8" max="8"/>
  </cols>
  <sheetData>
    <row r="1" ht="25.5" customHeight="1" s="19">
      <c r="A1" s="63" t="inlineStr">
        <is>
          <t>Detection Plan</t>
        </is>
      </c>
      <c r="B1" s="64" t="n"/>
      <c r="C1" s="64" t="n"/>
      <c r="D1" s="64" t="n"/>
      <c r="E1" s="64" t="n"/>
      <c r="F1" s="64" t="n"/>
      <c r="G1" s="64" t="n"/>
      <c r="H1" s="64" t="n"/>
    </row>
    <row r="2" ht="55" customHeight="1" s="19">
      <c r="A2" s="65" t="inlineStr">
        <is>
          <t>Detections the SOC should deploy for this application: those linked to applicable threats that are not fully mitigated, sorted by the highest threat risk. Rules are SIEM-agnostic Sigma files. To record the deployment status, edit the 'Deployment status' column on the 'Detections' sheet (it stays on the detection's own row, so it can never get misaligned when this view re-sorts).</t>
        </is>
      </c>
    </row>
    <row r="4">
      <c r="A4" s="66" t="inlineStr">
        <is>
          <t>Relevant detections</t>
        </is>
      </c>
      <c r="B4" s="67" cm="1">
        <f t="array" ref="B4">COUNTIF(tblDetections[Relevant],"Yes")</f>
        <v/>
      </c>
    </row>
    <row r="5">
      <c r="A5" s="68" t="inlineStr">
        <is>
          <t>Detection ID</t>
        </is>
      </c>
      <c r="B5" s="68" t="inlineStr">
        <is>
          <t>Title</t>
        </is>
      </c>
      <c r="C5" s="68" t="inlineStr">
        <is>
          <t>Linked threats</t>
        </is>
      </c>
      <c r="D5" s="68" t="inlineStr">
        <is>
          <t>Highest threat risk</t>
        </is>
      </c>
      <c r="E5" s="68" t="inlineStr">
        <is>
          <t>Required log sources</t>
        </is>
      </c>
      <c r="F5" s="68" t="inlineStr">
        <is>
          <t>Missing log sources</t>
        </is>
      </c>
      <c r="G5" s="68" t="inlineStr">
        <is>
          <t>Deployment status</t>
        </is>
      </c>
      <c r="H5" s="68" t="inlineStr">
        <is>
          <t>Sigma rule (link on the Detections sheet)</t>
        </is>
      </c>
    </row>
    <row r="6">
      <c r="A6" s="69" cm="1">
        <f t="array" ref="A6">IF(B4=0,"No relevant detections",_xlfn.CHOOSECOLS(_xlfn._xlws.SORT(_xlfn._xlws.FILTER(_xlfn.HSTACK(tblDetections[Detection ID],tblDetections[Title],tblDetections[Linked threats],tblDetections[Highest threat risk],tblDetections[Required log sources],tblDetections[Missing log sources],tblDetections[Deployment status]&amp;"",tblDetections[Sigma rule],tblDetections[Risk score]),tblDetections[Relevant]="Yes"),9,-1),1,2,3,4,5,6,7,8))</f>
        <v/>
      </c>
      <c r="B6" s="69" t="n"/>
      <c r="C6" s="69" t="n"/>
      <c r="D6" s="69" t="n"/>
      <c r="E6" s="69" t="n"/>
      <c r="F6" s="69" t="n"/>
      <c r="G6" s="69" t="n"/>
      <c r="H6" s="69" t="n"/>
    </row>
    <row r="7">
      <c r="A7" s="69" t="n"/>
      <c r="B7" s="69" t="n"/>
      <c r="C7" s="69" t="n"/>
      <c r="D7" s="69" t="n"/>
      <c r="E7" s="69" t="n"/>
      <c r="F7" s="69" t="n"/>
      <c r="G7" s="69" t="n"/>
      <c r="H7" s="69" t="n"/>
    </row>
    <row r="8">
      <c r="A8" s="69" t="n"/>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sheetData>
  <mergeCells count="1">
    <mergeCell ref="A2:H2"/>
  </mergeCells>
  <conditionalFormatting sqref="D6:D66">
    <cfRule type="expression" priority="1" dxfId="9">
      <formula>D6="Critical"</formula>
    </cfRule>
    <cfRule type="expression" priority="2" dxfId="10">
      <formula>D6="High"</formula>
    </cfRule>
    <cfRule type="expression" priority="3" dxfId="11">
      <formula>D6="Medium"</formula>
    </cfRule>
  </conditionalFormatting>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A1:Z21"/>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3" customWidth="1" style="19" min="2" max="2"/>
    <col width="28" customWidth="1" style="19" min="3" max="3"/>
    <col width="45" customWidth="1" style="19" min="4" max="4"/>
    <col width="22" customWidth="1" style="19" min="5" max="5"/>
    <col width="28" customWidth="1" style="19" min="6" max="6"/>
    <col width="30" customWidth="1" style="19" min="7" max="7"/>
    <col width="10" customWidth="1" style="19" min="8" max="8"/>
    <col width="9" customWidth="1" style="19" min="9" max="9"/>
    <col width="20" customWidth="1" style="19" min="10" max="10"/>
    <col width="10" customWidth="1" style="19" min="11" max="11"/>
    <col width="10" customWidth="1" style="19" min="12" max="12"/>
    <col width="10" customWidth="1" style="19" min="13" max="13"/>
    <col width="10" customWidth="1" style="19" min="14" max="14"/>
    <col width="8" customWidth="1" style="19" min="15" max="15"/>
    <col width="9" customWidth="1" style="19" min="16" max="16"/>
    <col width="7" customWidth="1" style="19" min="17" max="17"/>
    <col width="7" customWidth="1" style="19" min="18" max="18"/>
    <col width="7" customWidth="1" style="19" min="19" max="19"/>
    <col width="9" customWidth="1" style="19" min="20" max="20"/>
    <col width="8" customWidth="1" style="19" min="21" max="21"/>
    <col width="16" customWidth="1" style="19" min="22" max="22"/>
    <col width="9" customWidth="1" style="19" min="23" max="23"/>
    <col width="9" customWidth="1" style="19" min="24" max="24"/>
    <col width="10" customWidth="1" style="19" min="25" max="25"/>
    <col width="40" customWidth="1" style="19" min="26" max="26"/>
  </cols>
  <sheetData>
    <row r="1" ht="25.5" customHeight="1" s="19">
      <c r="A1" s="63" t="inlineStr">
        <is>
          <t>Threat Library (catalog — maintained centrally)</t>
        </is>
      </c>
      <c r="B1" s="64" t="n"/>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45" customHeight="1" s="19">
      <c r="A2" s="65" t="inlineStr">
        <is>
          <t>One row per threat. Maintained by Security in the master template only (unprotect the sheet first: Review &gt; Unprotect Sheet, no password). Yellow = input; the 'Applicability formula' column is a live formula returning TRUE/FALSE from characterization keys. Grey columns are calculated. Seeded content is Draft — review before use.</t>
        </is>
      </c>
    </row>
    <row r="4">
      <c r="A4" s="68" t="inlineStr">
        <is>
          <t>Threat ID</t>
        </is>
      </c>
      <c r="B4" s="68" t="inlineStr">
        <is>
          <t>STRIDE</t>
        </is>
      </c>
      <c r="C4" s="68" t="inlineStr">
        <is>
          <t>Title</t>
        </is>
      </c>
      <c r="D4" s="68" t="inlineStr">
        <is>
          <t>Description</t>
        </is>
      </c>
      <c r="E4" s="68" t="inlineStr">
        <is>
          <t>Archetypes</t>
        </is>
      </c>
      <c r="F4" s="68" t="inlineStr">
        <is>
          <t>Applicability condition</t>
        </is>
      </c>
      <c r="G4" s="68" t="inlineStr">
        <is>
          <t>Applicability formula</t>
        </is>
      </c>
      <c r="H4" s="68" t="inlineStr">
        <is>
          <t>Archetype match</t>
        </is>
      </c>
      <c r="I4" s="68" t="inlineStr">
        <is>
          <t>Applies</t>
        </is>
      </c>
      <c r="J4" s="68" t="inlineStr">
        <is>
          <t>References</t>
        </is>
      </c>
      <c r="K4" s="68" t="inlineStr">
        <is>
          <t>Likelihood</t>
        </is>
      </c>
      <c r="L4" s="68" t="inlineStr">
        <is>
          <t>Impact</t>
        </is>
      </c>
      <c r="M4" s="68" t="inlineStr">
        <is>
          <t>Base risk</t>
        </is>
      </c>
      <c r="N4" s="68" t="inlineStr">
        <is>
          <t>Risk</t>
        </is>
      </c>
      <c r="O4" s="68" t="inlineStr">
        <is>
          <t>Risk score</t>
        </is>
      </c>
      <c r="P4" s="68" t="inlineStr">
        <is>
          <t>Controls linked</t>
        </is>
      </c>
      <c r="Q4" s="68" t="inlineStr">
        <is>
          <t>Full</t>
        </is>
      </c>
      <c r="R4" s="68" t="inlineStr">
        <is>
          <t>Partial</t>
        </is>
      </c>
      <c r="S4" s="68" t="inlineStr">
        <is>
          <t>Gap</t>
        </is>
      </c>
      <c r="T4" s="68" t="inlineStr">
        <is>
          <t>Not assessed</t>
        </is>
      </c>
      <c r="U4" s="68" t="inlineStr">
        <is>
          <t>NA controls</t>
        </is>
      </c>
      <c r="V4" s="68" t="inlineStr">
        <is>
          <t>Mitigation status</t>
        </is>
      </c>
      <c r="W4" s="68" t="inlineStr">
        <is>
          <t>Detections linked</t>
        </is>
      </c>
      <c r="X4" s="68" t="inlineStr">
        <is>
          <t>Archetypes valid</t>
        </is>
      </c>
      <c r="Y4" s="68" t="inlineStr">
        <is>
          <t>Review status</t>
        </is>
      </c>
      <c r="Z4" s="68" t="inlineStr">
        <is>
          <t>Notes</t>
        </is>
      </c>
    </row>
    <row r="5" ht="36" customHeight="1" s="19">
      <c r="A5" s="70" t="inlineStr">
        <is>
          <t>TM-S-001</t>
        </is>
      </c>
      <c r="B5" s="70" t="inlineStr">
        <is>
          <t>Spoofing</t>
        </is>
      </c>
      <c r="C5" s="70" t="inlineStr">
        <is>
          <t>Credential stuffing on the public login</t>
        </is>
      </c>
      <c r="D5" s="70" t="inlineStr">
        <is>
          <t>An attacker replays leaked username/password pairs or guesses passwords against the internet-facing login and takes over user accounts.</t>
        </is>
      </c>
      <c r="E5" s="70" t="inlineStr">
        <is>
          <t>All</t>
        </is>
      </c>
      <c r="F5" s="70" t="inlineStr">
        <is>
          <t>Internet-facing and keeps its own usernames/passwords</t>
        </is>
      </c>
      <c r="G5" s="70">
        <f>AND(EXPOSURE="Public internet",AUTH_LOCAL_CREDENTIALS="Yes")</f>
        <v/>
      </c>
      <c r="H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5" s="71">
        <f>IF(ISERROR(tblThreats[[#This Row],[Applicability formula]]),"Error",IF(AND(tblThreats[[#This Row],[Archetype match]],tblThreats[[#This Row],[Applicability formula]]=TRUE),"Applies","N/A"))</f>
        <v/>
      </c>
      <c r="J5" s="70" t="inlineStr">
        <is>
          <t>CAPEC-600; ATT&amp;CK T1110.004</t>
        </is>
      </c>
      <c r="K5" s="70" t="inlineStr">
        <is>
          <t>High</t>
        </is>
      </c>
      <c r="L5" s="70" t="inlineStr">
        <is>
          <t>High</t>
        </is>
      </c>
      <c r="M5" s="71">
        <f>IFERROR(INDEX(BASE_RISK_MATRIX,MATCH(tblThreats[[#This Row],[Impact]],BASE_RISK_ROWS,0),MATCH(tblThreats[[#This Row],[Likelihood]],BASE_RISK_COLS,0)),"")</f>
        <v/>
      </c>
      <c r="N5" s="71">
        <f>IF(tblThreats[[#This Row],[Applies]]&lt;&gt;"Applies","N/A",IFERROR(INDEX(FINAL_RISK_MATRIX,MATCH(tblThreats[[#This Row],[Base risk]],FINAL_RISK_ROWS,0),MATCH(APP_RISK_TIER,FINAL_RISK_COLS,0)),""))</f>
        <v/>
      </c>
      <c r="O5" s="71">
        <f>IFERROR(MATCH(tblThreats[[#This Row],[Risk]],RISK_SCALE_NAMES,0),0)</f>
        <v/>
      </c>
      <c r="P5" s="71">
        <f>COUNTIF(tblThreatControls[Threat ID],tblThreats[[#This Row],[Threat ID]])</f>
        <v/>
      </c>
      <c r="Q5" s="71">
        <f>COUNTIFS(tblThreatControls[Threat ID],tblThreats[[#This Row],[Threat ID]],tblThreatControls[Coverage status],"Full coverage")</f>
        <v/>
      </c>
      <c r="R5" s="71">
        <f>COUNTIFS(tblThreatControls[Threat ID],tblThreats[[#This Row],[Threat ID]],tblThreatControls[Coverage status],"Partial coverage")</f>
        <v/>
      </c>
      <c r="S5" s="71">
        <f>COUNTIFS(tblThreatControls[Threat ID],tblThreats[[#This Row],[Threat ID]],tblThreatControls[Coverage status],"Gap")</f>
        <v/>
      </c>
      <c r="T5" s="71">
        <f>COUNTIFS(tblThreatControls[Threat ID],tblThreats[[#This Row],[Threat ID]],tblThreatControls[Coverage status],"Not assessed")</f>
        <v/>
      </c>
      <c r="U5" s="71">
        <f>COUNTIFS(tblThreatControls[Threat ID],tblThreats[[#This Row],[Threat ID]],tblThreatControls[Coverage status],"N/A")</f>
        <v/>
      </c>
      <c r="V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5" s="71">
        <f>COUNTIF(tblThreatDetections[Threat ID],tblThreats[[#This Row],[Threat ID]])</f>
        <v/>
      </c>
      <c r="X5" s="71">
        <f>IF(TRIM(tblThreats[[#This Row],[Archetypes]])="All","Yes",IF(SUMPRODUCT(--(ARCHETYPE_IDS&lt;&gt;""),--ISNUMBER(SEARCH(";"&amp;ARCHETYPE_IDS&amp;";",";"&amp;SUBSTITUTE(tblThreats[[#This Row],[Archetypes]]," ","")&amp;";")))=LEN(SUBSTITUTE(tblThreats[[#This Row],[Archetypes]]," ",""))-LEN(SUBSTITUTE(SUBSTITUTE(tblThreats[[#This Row],[Archetypes]]," ",""),";",""))+1,"Yes","No"))</f>
        <v/>
      </c>
      <c r="Y5" s="70" t="inlineStr">
        <is>
          <t>Draft</t>
        </is>
      </c>
      <c r="Z5" s="70" t="inlineStr"/>
    </row>
    <row r="6" ht="36" customHeight="1" s="19">
      <c r="A6" s="70" t="inlineStr">
        <is>
          <t>TM-S-002</t>
        </is>
      </c>
      <c r="B6" s="70" t="inlineStr">
        <is>
          <t>Spoofing</t>
        </is>
      </c>
      <c r="C6" s="70" t="inlineStr">
        <is>
          <t>Administration console reachable from the internet</t>
        </is>
      </c>
      <c r="D6" s="70" t="inlineStr">
        <is>
          <t>The admin interface is exposed to the internet, so anyone can attack the most privileged login of the application directly.</t>
        </is>
      </c>
      <c r="E6" s="70" t="inlineStr">
        <is>
          <t>All</t>
        </is>
      </c>
      <c r="F6" s="70" t="inlineStr">
        <is>
          <t>Has an admin interface reachable from the internet</t>
        </is>
      </c>
      <c r="G6" s="70">
        <f>AND(ADMIN_INTERFACE="Yes",ADMIN_INTERFACE_REACH="Internet")</f>
        <v/>
      </c>
      <c r="H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6" s="71">
        <f>IF(ISERROR(tblThreats[[#This Row],[Applicability formula]]),"Error",IF(AND(tblThreats[[#This Row],[Archetype match]],tblThreats[[#This Row],[Applicability formula]]=TRUE),"Applies","N/A"))</f>
        <v/>
      </c>
      <c r="J6" s="70" t="inlineStr">
        <is>
          <t>ATT&amp;CK T1133; ATT&amp;CK T1078</t>
        </is>
      </c>
      <c r="K6" s="70" t="inlineStr">
        <is>
          <t>Medium</t>
        </is>
      </c>
      <c r="L6" s="70" t="inlineStr">
        <is>
          <t>High</t>
        </is>
      </c>
      <c r="M6" s="71">
        <f>IFERROR(INDEX(BASE_RISK_MATRIX,MATCH(tblThreats[[#This Row],[Impact]],BASE_RISK_ROWS,0),MATCH(tblThreats[[#This Row],[Likelihood]],BASE_RISK_COLS,0)),"")</f>
        <v/>
      </c>
      <c r="N6" s="71">
        <f>IF(tblThreats[[#This Row],[Applies]]&lt;&gt;"Applies","N/A",IFERROR(INDEX(FINAL_RISK_MATRIX,MATCH(tblThreats[[#This Row],[Base risk]],FINAL_RISK_ROWS,0),MATCH(APP_RISK_TIER,FINAL_RISK_COLS,0)),""))</f>
        <v/>
      </c>
      <c r="O6" s="71">
        <f>IFERROR(MATCH(tblThreats[[#This Row],[Risk]],RISK_SCALE_NAMES,0),0)</f>
        <v/>
      </c>
      <c r="P6" s="71">
        <f>COUNTIF(tblThreatControls[Threat ID],tblThreats[[#This Row],[Threat ID]])</f>
        <v/>
      </c>
      <c r="Q6" s="71">
        <f>COUNTIFS(tblThreatControls[Threat ID],tblThreats[[#This Row],[Threat ID]],tblThreatControls[Coverage status],"Full coverage")</f>
        <v/>
      </c>
      <c r="R6" s="71">
        <f>COUNTIFS(tblThreatControls[Threat ID],tblThreats[[#This Row],[Threat ID]],tblThreatControls[Coverage status],"Partial coverage")</f>
        <v/>
      </c>
      <c r="S6" s="71">
        <f>COUNTIFS(tblThreatControls[Threat ID],tblThreats[[#This Row],[Threat ID]],tblThreatControls[Coverage status],"Gap")</f>
        <v/>
      </c>
      <c r="T6" s="71">
        <f>COUNTIFS(tblThreatControls[Threat ID],tblThreats[[#This Row],[Threat ID]],tblThreatControls[Coverage status],"Not assessed")</f>
        <v/>
      </c>
      <c r="U6" s="71">
        <f>COUNTIFS(tblThreatControls[Threat ID],tblThreats[[#This Row],[Threat ID]],tblThreatControls[Coverage status],"N/A")</f>
        <v/>
      </c>
      <c r="V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6" s="71">
        <f>COUNTIF(tblThreatDetections[Threat ID],tblThreats[[#This Row],[Threat ID]])</f>
        <v/>
      </c>
      <c r="X6" s="71">
        <f>IF(TRIM(tblThreats[[#This Row],[Archetypes]])="All","Yes",IF(SUMPRODUCT(--(ARCHETYPE_IDS&lt;&gt;""),--ISNUMBER(SEARCH(";"&amp;ARCHETYPE_IDS&amp;";",";"&amp;SUBSTITUTE(tblThreats[[#This Row],[Archetypes]]," ","")&amp;";")))=LEN(SUBSTITUTE(tblThreats[[#This Row],[Archetypes]]," ",""))-LEN(SUBSTITUTE(SUBSTITUTE(tblThreats[[#This Row],[Archetypes]]," ",""),";",""))+1,"Yes","No"))</f>
        <v/>
      </c>
      <c r="Y6" s="70" t="inlineStr">
        <is>
          <t>Draft</t>
        </is>
      </c>
      <c r="Z6" s="70" t="inlineStr"/>
    </row>
    <row r="7" ht="36" customHeight="1" s="19">
      <c r="A7" s="70" t="inlineStr">
        <is>
          <t>TM-S-003</t>
        </is>
      </c>
      <c r="B7" s="70" t="inlineStr">
        <is>
          <t>Spoofing</t>
        </is>
      </c>
      <c r="C7" s="70" t="inlineStr">
        <is>
          <t>Default vendor accounts still active</t>
        </is>
      </c>
      <c r="D7" s="70" t="inlineStr">
        <is>
          <t>The product still has vendor default accounts or passwords, which are publicly documented and let an attacker log in without any effort.</t>
        </is>
      </c>
      <c r="E7" s="70" t="inlineStr">
        <is>
          <t>ARCH-COTS-HOSTED-WEB; ARCH-COTS-CUSTOMIZED; ARCH-VENDOR-APPLIANCE</t>
        </is>
      </c>
      <c r="F7" s="70" t="inlineStr">
        <is>
          <t>Vendor product and default accounts not confirmed as changed/disabled</t>
        </is>
      </c>
      <c r="G7" s="70">
        <f>AND(IS_COTS,DEFAULT_CREDENTIALS_CHANGED&lt;&gt;"Yes")</f>
        <v/>
      </c>
      <c r="H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7" s="71">
        <f>IF(ISERROR(tblThreats[[#This Row],[Applicability formula]]),"Error",IF(AND(tblThreats[[#This Row],[Archetype match]],tblThreats[[#This Row],[Applicability formula]]=TRUE),"Applies","N/A"))</f>
        <v/>
      </c>
      <c r="J7" s="70" t="inlineStr">
        <is>
          <t>CAPEC-70; ATT&amp;CK T1078.001</t>
        </is>
      </c>
      <c r="K7" s="70" t="inlineStr">
        <is>
          <t>High</t>
        </is>
      </c>
      <c r="L7" s="70" t="inlineStr">
        <is>
          <t>High</t>
        </is>
      </c>
      <c r="M7" s="71">
        <f>IFERROR(INDEX(BASE_RISK_MATRIX,MATCH(tblThreats[[#This Row],[Impact]],BASE_RISK_ROWS,0),MATCH(tblThreats[[#This Row],[Likelihood]],BASE_RISK_COLS,0)),"")</f>
        <v/>
      </c>
      <c r="N7" s="71">
        <f>IF(tblThreats[[#This Row],[Applies]]&lt;&gt;"Applies","N/A",IFERROR(INDEX(FINAL_RISK_MATRIX,MATCH(tblThreats[[#This Row],[Base risk]],FINAL_RISK_ROWS,0),MATCH(APP_RISK_TIER,FINAL_RISK_COLS,0)),""))</f>
        <v/>
      </c>
      <c r="O7" s="71">
        <f>IFERROR(MATCH(tblThreats[[#This Row],[Risk]],RISK_SCALE_NAMES,0),0)</f>
        <v/>
      </c>
      <c r="P7" s="71">
        <f>COUNTIF(tblThreatControls[Threat ID],tblThreats[[#This Row],[Threat ID]])</f>
        <v/>
      </c>
      <c r="Q7" s="71">
        <f>COUNTIFS(tblThreatControls[Threat ID],tblThreats[[#This Row],[Threat ID]],tblThreatControls[Coverage status],"Full coverage")</f>
        <v/>
      </c>
      <c r="R7" s="71">
        <f>COUNTIFS(tblThreatControls[Threat ID],tblThreats[[#This Row],[Threat ID]],tblThreatControls[Coverage status],"Partial coverage")</f>
        <v/>
      </c>
      <c r="S7" s="71">
        <f>COUNTIFS(tblThreatControls[Threat ID],tblThreats[[#This Row],[Threat ID]],tblThreatControls[Coverage status],"Gap")</f>
        <v/>
      </c>
      <c r="T7" s="71">
        <f>COUNTIFS(tblThreatControls[Threat ID],tblThreats[[#This Row],[Threat ID]],tblThreatControls[Coverage status],"Not assessed")</f>
        <v/>
      </c>
      <c r="U7" s="71">
        <f>COUNTIFS(tblThreatControls[Threat ID],tblThreats[[#This Row],[Threat ID]],tblThreatControls[Coverage status],"N/A")</f>
        <v/>
      </c>
      <c r="V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7" s="71">
        <f>COUNTIF(tblThreatDetections[Threat ID],tblThreats[[#This Row],[Threat ID]])</f>
        <v/>
      </c>
      <c r="X7" s="71">
        <f>IF(TRIM(tblThreats[[#This Row],[Archetypes]])="All","Yes",IF(SUMPRODUCT(--(ARCHETYPE_IDS&lt;&gt;""),--ISNUMBER(SEARCH(";"&amp;ARCHETYPE_IDS&amp;";",";"&amp;SUBSTITUTE(tblThreats[[#This Row],[Archetypes]]," ","")&amp;";")))=LEN(SUBSTITUTE(tblThreats[[#This Row],[Archetypes]]," ",""))-LEN(SUBSTITUTE(SUBSTITUTE(tblThreats[[#This Row],[Archetypes]]," ",""),";",""))+1,"Yes","No"))</f>
        <v/>
      </c>
      <c r="Y7" s="70" t="inlineStr">
        <is>
          <t>Draft</t>
        </is>
      </c>
      <c r="Z7" s="70" t="inlineStr"/>
    </row>
    <row r="8" ht="36" customHeight="1" s="19">
      <c r="A8" s="70" t="inlineStr">
        <is>
          <t>TM-S-004</t>
        </is>
      </c>
      <c r="B8" s="70" t="inlineStr">
        <is>
          <t>Spoofing</t>
        </is>
      </c>
      <c r="C8" s="70" t="inlineStr">
        <is>
          <t>Weak or missing API authentication</t>
        </is>
      </c>
      <c r="D8" s="70" t="inlineStr">
        <is>
          <t>Systems call the API with no authentication, a static API key or Basic auth; a leaked or guessed secret gives full API access.</t>
        </is>
      </c>
      <c r="E8" s="70" t="inlineStr">
        <is>
          <t>All</t>
        </is>
      </c>
      <c r="F8" s="70" t="inlineStr">
        <is>
          <t>Exposes an API authenticated by Basic auth, a static API key or nothing</t>
        </is>
      </c>
      <c r="G8" s="70">
        <f>AND(API_EXPOSED="Yes",OR(API_AUTH="Basic auth",API_AUTH="No authentication",API_AUTH="API key"))</f>
        <v/>
      </c>
      <c r="H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8" s="71">
        <f>IF(ISERROR(tblThreats[[#This Row],[Applicability formula]]),"Error",IF(AND(tblThreats[[#This Row],[Archetype match]],tblThreats[[#This Row],[Applicability formula]]=TRUE),"Applies","N/A"))</f>
        <v/>
      </c>
      <c r="J8" s="70" t="inlineStr">
        <is>
          <t>CAPEC-115; ATT&amp;CK T1078</t>
        </is>
      </c>
      <c r="K8" s="70" t="inlineStr">
        <is>
          <t>Medium</t>
        </is>
      </c>
      <c r="L8" s="70" t="inlineStr">
        <is>
          <t>High</t>
        </is>
      </c>
      <c r="M8" s="71">
        <f>IFERROR(INDEX(BASE_RISK_MATRIX,MATCH(tblThreats[[#This Row],[Impact]],BASE_RISK_ROWS,0),MATCH(tblThreats[[#This Row],[Likelihood]],BASE_RISK_COLS,0)),"")</f>
        <v/>
      </c>
      <c r="N8" s="71">
        <f>IF(tblThreats[[#This Row],[Applies]]&lt;&gt;"Applies","N/A",IFERROR(INDEX(FINAL_RISK_MATRIX,MATCH(tblThreats[[#This Row],[Base risk]],FINAL_RISK_ROWS,0),MATCH(APP_RISK_TIER,FINAL_RISK_COLS,0)),""))</f>
        <v/>
      </c>
      <c r="O8" s="71">
        <f>IFERROR(MATCH(tblThreats[[#This Row],[Risk]],RISK_SCALE_NAMES,0),0)</f>
        <v/>
      </c>
      <c r="P8" s="71">
        <f>COUNTIF(tblThreatControls[Threat ID],tblThreats[[#This Row],[Threat ID]])</f>
        <v/>
      </c>
      <c r="Q8" s="71">
        <f>COUNTIFS(tblThreatControls[Threat ID],tblThreats[[#This Row],[Threat ID]],tblThreatControls[Coverage status],"Full coverage")</f>
        <v/>
      </c>
      <c r="R8" s="71">
        <f>COUNTIFS(tblThreatControls[Threat ID],tblThreats[[#This Row],[Threat ID]],tblThreatControls[Coverage status],"Partial coverage")</f>
        <v/>
      </c>
      <c r="S8" s="71">
        <f>COUNTIFS(tblThreatControls[Threat ID],tblThreats[[#This Row],[Threat ID]],tblThreatControls[Coverage status],"Gap")</f>
        <v/>
      </c>
      <c r="T8" s="71">
        <f>COUNTIFS(tblThreatControls[Threat ID],tblThreats[[#This Row],[Threat ID]],tblThreatControls[Coverage status],"Not assessed")</f>
        <v/>
      </c>
      <c r="U8" s="71">
        <f>COUNTIFS(tblThreatControls[Threat ID],tblThreats[[#This Row],[Threat ID]],tblThreatControls[Coverage status],"N/A")</f>
        <v/>
      </c>
      <c r="V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8" s="71">
        <f>COUNTIF(tblThreatDetections[Threat ID],tblThreats[[#This Row],[Threat ID]])</f>
        <v/>
      </c>
      <c r="X8" s="71">
        <f>IF(TRIM(tblThreats[[#This Row],[Archetypes]])="All","Yes",IF(SUMPRODUCT(--(ARCHETYPE_IDS&lt;&gt;""),--ISNUMBER(SEARCH(";"&amp;ARCHETYPE_IDS&amp;";",";"&amp;SUBSTITUTE(tblThreats[[#This Row],[Archetypes]]," ","")&amp;";")))=LEN(SUBSTITUTE(tblThreats[[#This Row],[Archetypes]]," ",""))-LEN(SUBSTITUTE(SUBSTITUTE(tblThreats[[#This Row],[Archetypes]]," ",""),";",""))+1,"Yes","No"))</f>
        <v/>
      </c>
      <c r="Y8" s="70" t="inlineStr">
        <is>
          <t>Draft</t>
        </is>
      </c>
      <c r="Z8" s="70" t="inlineStr"/>
    </row>
    <row r="9" ht="36" customHeight="1" s="19">
      <c r="A9" s="70" t="inlineStr">
        <is>
          <t>TM-T-001</t>
        </is>
      </c>
      <c r="B9" s="70" t="inlineStr">
        <is>
          <t>Tampering</t>
        </is>
      </c>
      <c r="C9" s="70" t="inlineStr">
        <is>
          <t>Tampering with batch exchange files</t>
        </is>
      </c>
      <c r="D9" s="70" t="inlineStr">
        <is>
          <t>An attacker with access to the SFTP server, shared folder or bucket changes or replaces files before the application processes them.</t>
        </is>
      </c>
      <c r="E9" s="70" t="inlineStr">
        <is>
          <t>All</t>
        </is>
      </c>
      <c r="F9" s="70" t="inlineStr">
        <is>
          <t>Exchanges files in batch</t>
        </is>
      </c>
      <c r="G9" s="70">
        <f>FILE_EXCHANGE="Yes"</f>
        <v/>
      </c>
      <c r="H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9" s="71">
        <f>IF(ISERROR(tblThreats[[#This Row],[Applicability formula]]),"Error",IF(AND(tblThreats[[#This Row],[Archetype match]],tblThreats[[#This Row],[Applicability formula]]=TRUE),"Applies","N/A"))</f>
        <v/>
      </c>
      <c r="J9" s="70" t="inlineStr">
        <is>
          <t>CAPEC-75; ATT&amp;CK T1565.001</t>
        </is>
      </c>
      <c r="K9" s="70" t="inlineStr">
        <is>
          <t>Medium</t>
        </is>
      </c>
      <c r="L9" s="70" t="inlineStr">
        <is>
          <t>High</t>
        </is>
      </c>
      <c r="M9" s="71">
        <f>IFERROR(INDEX(BASE_RISK_MATRIX,MATCH(tblThreats[[#This Row],[Impact]],BASE_RISK_ROWS,0),MATCH(tblThreats[[#This Row],[Likelihood]],BASE_RISK_COLS,0)),"")</f>
        <v/>
      </c>
      <c r="N9" s="71">
        <f>IF(tblThreats[[#This Row],[Applies]]&lt;&gt;"Applies","N/A",IFERROR(INDEX(FINAL_RISK_MATRIX,MATCH(tblThreats[[#This Row],[Base risk]],FINAL_RISK_ROWS,0),MATCH(APP_RISK_TIER,FINAL_RISK_COLS,0)),""))</f>
        <v/>
      </c>
      <c r="O9" s="71">
        <f>IFERROR(MATCH(tblThreats[[#This Row],[Risk]],RISK_SCALE_NAMES,0),0)</f>
        <v/>
      </c>
      <c r="P9" s="71">
        <f>COUNTIF(tblThreatControls[Threat ID],tblThreats[[#This Row],[Threat ID]])</f>
        <v/>
      </c>
      <c r="Q9" s="71">
        <f>COUNTIFS(tblThreatControls[Threat ID],tblThreats[[#This Row],[Threat ID]],tblThreatControls[Coverage status],"Full coverage")</f>
        <v/>
      </c>
      <c r="R9" s="71">
        <f>COUNTIFS(tblThreatControls[Threat ID],tblThreats[[#This Row],[Threat ID]],tblThreatControls[Coverage status],"Partial coverage")</f>
        <v/>
      </c>
      <c r="S9" s="71">
        <f>COUNTIFS(tblThreatControls[Threat ID],tblThreats[[#This Row],[Threat ID]],tblThreatControls[Coverage status],"Gap")</f>
        <v/>
      </c>
      <c r="T9" s="71">
        <f>COUNTIFS(tblThreatControls[Threat ID],tblThreats[[#This Row],[Threat ID]],tblThreatControls[Coverage status],"Not assessed")</f>
        <v/>
      </c>
      <c r="U9" s="71">
        <f>COUNTIFS(tblThreatControls[Threat ID],tblThreats[[#This Row],[Threat ID]],tblThreatControls[Coverage status],"N/A")</f>
        <v/>
      </c>
      <c r="V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9" s="71">
        <f>COUNTIF(tblThreatDetections[Threat ID],tblThreats[[#This Row],[Threat ID]])</f>
        <v/>
      </c>
      <c r="X9" s="71">
        <f>IF(TRIM(tblThreats[[#This Row],[Archetypes]])="All","Yes",IF(SUMPRODUCT(--(ARCHETYPE_IDS&lt;&gt;""),--ISNUMBER(SEARCH(";"&amp;ARCHETYPE_IDS&amp;";",";"&amp;SUBSTITUTE(tblThreats[[#This Row],[Archetypes]]," ","")&amp;";")))=LEN(SUBSTITUTE(tblThreats[[#This Row],[Archetypes]]," ",""))-LEN(SUBSTITUTE(SUBSTITUTE(tblThreats[[#This Row],[Archetypes]]," ",""),";",""))+1,"Yes","No"))</f>
        <v/>
      </c>
      <c r="Y9" s="70" t="inlineStr">
        <is>
          <t>Draft</t>
        </is>
      </c>
      <c r="Z9" s="70" t="inlineStr">
        <is>
          <t>No detection: generic file-exchange tampering needs per-integration checks; covered by preventive controls.</t>
        </is>
      </c>
    </row>
    <row r="10" ht="36" customHeight="1" s="19">
      <c r="A10" s="70" t="inlineStr">
        <is>
          <t>TM-T-002</t>
        </is>
      </c>
      <c r="B10" s="70" t="inlineStr">
        <is>
          <t>Tampering</t>
        </is>
      </c>
      <c r="C10" s="70" t="inlineStr">
        <is>
          <t>Malicious file upload</t>
        </is>
      </c>
      <c r="D10" s="70" t="inlineStr">
        <is>
          <t>A user uploads a file that is executed on the server, exhausts resources or abuses path handling (e.g. zip slip).</t>
        </is>
      </c>
      <c r="E10" s="70" t="inlineStr">
        <is>
          <t>All</t>
        </is>
      </c>
      <c r="F10" s="70" t="inlineStr">
        <is>
          <t>Handles user-provided files</t>
        </is>
      </c>
      <c r="G10" s="70">
        <f>FILE_HANDLING="Yes"</f>
        <v/>
      </c>
      <c r="H1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0" s="71">
        <f>IF(ISERROR(tblThreats[[#This Row],[Applicability formula]]),"Error",IF(AND(tblThreats[[#This Row],[Archetype match]],tblThreats[[#This Row],[Applicability formula]]=TRUE),"Applies","N/A"))</f>
        <v/>
      </c>
      <c r="J10" s="70" t="inlineStr">
        <is>
          <t>CAPEC-17; CAPEC-650</t>
        </is>
      </c>
      <c r="K10" s="70" t="inlineStr">
        <is>
          <t>Medium</t>
        </is>
      </c>
      <c r="L10" s="70" t="inlineStr">
        <is>
          <t>High</t>
        </is>
      </c>
      <c r="M10" s="71">
        <f>IFERROR(INDEX(BASE_RISK_MATRIX,MATCH(tblThreats[[#This Row],[Impact]],BASE_RISK_ROWS,0),MATCH(tblThreats[[#This Row],[Likelihood]],BASE_RISK_COLS,0)),"")</f>
        <v/>
      </c>
      <c r="N10" s="71">
        <f>IF(tblThreats[[#This Row],[Applies]]&lt;&gt;"Applies","N/A",IFERROR(INDEX(FINAL_RISK_MATRIX,MATCH(tblThreats[[#This Row],[Base risk]],FINAL_RISK_ROWS,0),MATCH(APP_RISK_TIER,FINAL_RISK_COLS,0)),""))</f>
        <v/>
      </c>
      <c r="O10" s="71">
        <f>IFERROR(MATCH(tblThreats[[#This Row],[Risk]],RISK_SCALE_NAMES,0),0)</f>
        <v/>
      </c>
      <c r="P10" s="71">
        <f>COUNTIF(tblThreatControls[Threat ID],tblThreats[[#This Row],[Threat ID]])</f>
        <v/>
      </c>
      <c r="Q10" s="71">
        <f>COUNTIFS(tblThreatControls[Threat ID],tblThreats[[#This Row],[Threat ID]],tblThreatControls[Coverage status],"Full coverage")</f>
        <v/>
      </c>
      <c r="R10" s="71">
        <f>COUNTIFS(tblThreatControls[Threat ID],tblThreats[[#This Row],[Threat ID]],tblThreatControls[Coverage status],"Partial coverage")</f>
        <v/>
      </c>
      <c r="S10" s="71">
        <f>COUNTIFS(tblThreatControls[Threat ID],tblThreats[[#This Row],[Threat ID]],tblThreatControls[Coverage status],"Gap")</f>
        <v/>
      </c>
      <c r="T10" s="71">
        <f>COUNTIFS(tblThreatControls[Threat ID],tblThreats[[#This Row],[Threat ID]],tblThreatControls[Coverage status],"Not assessed")</f>
        <v/>
      </c>
      <c r="U10" s="71">
        <f>COUNTIFS(tblThreatControls[Threat ID],tblThreats[[#This Row],[Threat ID]],tblThreatControls[Coverage status],"N/A")</f>
        <v/>
      </c>
      <c r="V1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0" s="71">
        <f>COUNTIF(tblThreatDetections[Threat ID],tblThreats[[#This Row],[Threat ID]])</f>
        <v/>
      </c>
      <c r="X10" s="71">
        <f>IF(TRIM(tblThreats[[#This Row],[Archetypes]])="All","Yes",IF(SUMPRODUCT(--(ARCHETYPE_IDS&lt;&gt;""),--ISNUMBER(SEARCH(";"&amp;ARCHETYPE_IDS&amp;";",";"&amp;SUBSTITUTE(tblThreats[[#This Row],[Archetypes]]," ","")&amp;";")))=LEN(SUBSTITUTE(tblThreats[[#This Row],[Archetypes]]," ",""))-LEN(SUBSTITUTE(SUBSTITUTE(tblThreats[[#This Row],[Archetypes]]," ",""),";",""))+1,"Yes","No"))</f>
        <v/>
      </c>
      <c r="Y10" s="70" t="inlineStr">
        <is>
          <t>Draft</t>
        </is>
      </c>
      <c r="Z10" s="70" t="inlineStr"/>
    </row>
    <row r="11" ht="36" customHeight="1" s="19">
      <c r="A11" s="70" t="inlineStr">
        <is>
          <t>TM-T-003</t>
        </is>
      </c>
      <c r="B11" s="70" t="inlineStr">
        <is>
          <t>Tampering</t>
        </is>
      </c>
      <c r="C11" s="70" t="inlineStr">
        <is>
          <t>Unverified vendor updates</t>
        </is>
      </c>
      <c r="D11" s="70" t="inlineStr">
        <is>
          <t>Updates or patches are installed without verifying their origin and integrity, so a compromised update channel installs attacker code.</t>
        </is>
      </c>
      <c r="E11" s="70" t="inlineStr">
        <is>
          <t>ARCH-COTS-HOSTED-WEB; ARCH-COTS-CUSTOMIZED; ARCH-VENDOR-APPLIANCE</t>
        </is>
      </c>
      <c r="F11" s="70" t="inlineStr">
        <is>
          <t>Vendor product</t>
        </is>
      </c>
      <c r="G11" s="70">
        <f>IS_COTS</f>
        <v/>
      </c>
      <c r="H1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1" s="71">
        <f>IF(ISERROR(tblThreats[[#This Row],[Applicability formula]]),"Error",IF(AND(tblThreats[[#This Row],[Archetype match]],tblThreats[[#This Row],[Applicability formula]]=TRUE),"Applies","N/A"))</f>
        <v/>
      </c>
      <c r="J11" s="70" t="inlineStr">
        <is>
          <t>ATT&amp;CK T1195.002</t>
        </is>
      </c>
      <c r="K11" s="70" t="inlineStr">
        <is>
          <t>Low</t>
        </is>
      </c>
      <c r="L11" s="70" t="inlineStr">
        <is>
          <t>High</t>
        </is>
      </c>
      <c r="M11" s="71">
        <f>IFERROR(INDEX(BASE_RISK_MATRIX,MATCH(tblThreats[[#This Row],[Impact]],BASE_RISK_ROWS,0),MATCH(tblThreats[[#This Row],[Likelihood]],BASE_RISK_COLS,0)),"")</f>
        <v/>
      </c>
      <c r="N11" s="71">
        <f>IF(tblThreats[[#This Row],[Applies]]&lt;&gt;"Applies","N/A",IFERROR(INDEX(FINAL_RISK_MATRIX,MATCH(tblThreats[[#This Row],[Base risk]],FINAL_RISK_ROWS,0),MATCH(APP_RISK_TIER,FINAL_RISK_COLS,0)),""))</f>
        <v/>
      </c>
      <c r="O11" s="71">
        <f>IFERROR(MATCH(tblThreats[[#This Row],[Risk]],RISK_SCALE_NAMES,0),0)</f>
        <v/>
      </c>
      <c r="P11" s="71">
        <f>COUNTIF(tblThreatControls[Threat ID],tblThreats[[#This Row],[Threat ID]])</f>
        <v/>
      </c>
      <c r="Q11" s="71">
        <f>COUNTIFS(tblThreatControls[Threat ID],tblThreats[[#This Row],[Threat ID]],tblThreatControls[Coverage status],"Full coverage")</f>
        <v/>
      </c>
      <c r="R11" s="71">
        <f>COUNTIFS(tblThreatControls[Threat ID],tblThreats[[#This Row],[Threat ID]],tblThreatControls[Coverage status],"Partial coverage")</f>
        <v/>
      </c>
      <c r="S11" s="71">
        <f>COUNTIFS(tblThreatControls[Threat ID],tblThreats[[#This Row],[Threat ID]],tblThreatControls[Coverage status],"Gap")</f>
        <v/>
      </c>
      <c r="T11" s="71">
        <f>COUNTIFS(tblThreatControls[Threat ID],tblThreats[[#This Row],[Threat ID]],tblThreatControls[Coverage status],"Not assessed")</f>
        <v/>
      </c>
      <c r="U11" s="71">
        <f>COUNTIFS(tblThreatControls[Threat ID],tblThreats[[#This Row],[Threat ID]],tblThreatControls[Coverage status],"N/A")</f>
        <v/>
      </c>
      <c r="V1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1" s="71">
        <f>COUNTIF(tblThreatDetections[Threat ID],tblThreats[[#This Row],[Threat ID]])</f>
        <v/>
      </c>
      <c r="X11" s="71">
        <f>IF(TRIM(tblThreats[[#This Row],[Archetypes]])="All","Yes",IF(SUMPRODUCT(--(ARCHETYPE_IDS&lt;&gt;""),--ISNUMBER(SEARCH(";"&amp;ARCHETYPE_IDS&amp;";",";"&amp;SUBSTITUTE(tblThreats[[#This Row],[Archetypes]]," ","")&amp;";")))=LEN(SUBSTITUTE(tblThreats[[#This Row],[Archetypes]]," ",""))-LEN(SUBSTITUTE(SUBSTITUTE(tblThreats[[#This Row],[Archetypes]]," ",""),";",""))+1,"Yes","No"))</f>
        <v/>
      </c>
      <c r="Y11" s="70" t="inlineStr">
        <is>
          <t>Draft</t>
        </is>
      </c>
      <c r="Z11" s="70" t="inlineStr"/>
    </row>
    <row r="12" ht="36" customHeight="1" s="19">
      <c r="A12" s="70" t="inlineStr">
        <is>
          <t>TM-T-004</t>
        </is>
      </c>
      <c r="B12" s="70" t="inlineStr">
        <is>
          <t>Tampering</t>
        </is>
      </c>
      <c r="C12" s="70" t="inlineStr">
        <is>
          <t>Business-logic abuse of financial flows</t>
        </is>
      </c>
      <c r="D12" s="70" t="inlineStr">
        <is>
          <t>A user manipulates the order or limits of payment/approval steps (skipping steps, replaying, splitting amounts) to move money they shouldn't.</t>
        </is>
      </c>
      <c r="E12" s="70" t="inlineStr">
        <is>
          <t>All</t>
        </is>
      </c>
      <c r="F12" s="70" t="inlineStr">
        <is>
          <t>Initiates, approves or changes financial transactions</t>
        </is>
      </c>
      <c r="G12" s="70">
        <f>FINANCIAL_TRANSACTIONS="Yes"</f>
        <v/>
      </c>
      <c r="H12"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2" s="71">
        <f>IF(ISERROR(tblThreats[[#This Row],[Applicability formula]]),"Error",IF(AND(tblThreats[[#This Row],[Archetype match]],tblThreats[[#This Row],[Applicability formula]]=TRUE),"Applies","N/A"))</f>
        <v/>
      </c>
      <c r="J12" s="70" t="inlineStr">
        <is>
          <t>CAPEC-77</t>
        </is>
      </c>
      <c r="K12" s="70" t="inlineStr">
        <is>
          <t>Medium</t>
        </is>
      </c>
      <c r="L12" s="70" t="inlineStr">
        <is>
          <t>High</t>
        </is>
      </c>
      <c r="M12" s="71">
        <f>IFERROR(INDEX(BASE_RISK_MATRIX,MATCH(tblThreats[[#This Row],[Impact]],BASE_RISK_ROWS,0),MATCH(tblThreats[[#This Row],[Likelihood]],BASE_RISK_COLS,0)),"")</f>
        <v/>
      </c>
      <c r="N12" s="71">
        <f>IF(tblThreats[[#This Row],[Applies]]&lt;&gt;"Applies","N/A",IFERROR(INDEX(FINAL_RISK_MATRIX,MATCH(tblThreats[[#This Row],[Base risk]],FINAL_RISK_ROWS,0),MATCH(APP_RISK_TIER,FINAL_RISK_COLS,0)),""))</f>
        <v/>
      </c>
      <c r="O12" s="71">
        <f>IFERROR(MATCH(tblThreats[[#This Row],[Risk]],RISK_SCALE_NAMES,0),0)</f>
        <v/>
      </c>
      <c r="P12" s="71">
        <f>COUNTIF(tblThreatControls[Threat ID],tblThreats[[#This Row],[Threat ID]])</f>
        <v/>
      </c>
      <c r="Q12" s="71">
        <f>COUNTIFS(tblThreatControls[Threat ID],tblThreats[[#This Row],[Threat ID]],tblThreatControls[Coverage status],"Full coverage")</f>
        <v/>
      </c>
      <c r="R12" s="71">
        <f>COUNTIFS(tblThreatControls[Threat ID],tblThreats[[#This Row],[Threat ID]],tblThreatControls[Coverage status],"Partial coverage")</f>
        <v/>
      </c>
      <c r="S12" s="71">
        <f>COUNTIFS(tblThreatControls[Threat ID],tblThreats[[#This Row],[Threat ID]],tblThreatControls[Coverage status],"Gap")</f>
        <v/>
      </c>
      <c r="T12" s="71">
        <f>COUNTIFS(tblThreatControls[Threat ID],tblThreats[[#This Row],[Threat ID]],tblThreatControls[Coverage status],"Not assessed")</f>
        <v/>
      </c>
      <c r="U12" s="71">
        <f>COUNTIFS(tblThreatControls[Threat ID],tblThreats[[#This Row],[Threat ID]],tblThreatControls[Coverage status],"N/A")</f>
        <v/>
      </c>
      <c r="V12"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2" s="71">
        <f>COUNTIF(tblThreatDetections[Threat ID],tblThreats[[#This Row],[Threat ID]])</f>
        <v/>
      </c>
      <c r="X12" s="71">
        <f>IF(TRIM(tblThreats[[#This Row],[Archetypes]])="All","Yes",IF(SUMPRODUCT(--(ARCHETYPE_IDS&lt;&gt;""),--ISNUMBER(SEARCH(";"&amp;ARCHETYPE_IDS&amp;";",";"&amp;SUBSTITUTE(tblThreats[[#This Row],[Archetypes]]," ","")&amp;";")))=LEN(SUBSTITUTE(tblThreats[[#This Row],[Archetypes]]," ",""))-LEN(SUBSTITUTE(SUBSTITUTE(tblThreats[[#This Row],[Archetypes]]," ",""),";",""))+1,"Yes","No"))</f>
        <v/>
      </c>
      <c r="Y12" s="70" t="inlineStr">
        <is>
          <t>Draft</t>
        </is>
      </c>
      <c r="Z12" s="70" t="inlineStr">
        <is>
          <t>No detection: needs business-specific transaction monitoring, defined per application with the fraud team.</t>
        </is>
      </c>
    </row>
    <row r="13" ht="36" customHeight="1" s="19">
      <c r="A13" s="70" t="inlineStr">
        <is>
          <t>TM-R-001</t>
        </is>
      </c>
      <c r="B13" s="70" t="inlineStr">
        <is>
          <t>Repudiation</t>
        </is>
      </c>
      <c r="C13" s="70" t="inlineStr">
        <is>
          <t>Administrative actions cannot be attributed</t>
        </is>
      </c>
      <c r="D13" s="70" t="inlineStr">
        <is>
          <t>Administrators change configuration or data and there is no reliable record of who did what, so misuse cannot be investigated or proven.</t>
        </is>
      </c>
      <c r="E13" s="70" t="inlineStr">
        <is>
          <t>All</t>
        </is>
      </c>
      <c r="F13" s="70" t="inlineStr">
        <is>
          <t>Has an admin interface and admin actions are not confirmed as logged</t>
        </is>
      </c>
      <c r="G13" s="70">
        <f>AND(ADMIN_INTERFACE="Yes",LOG_ADMIN_ACTIONS&lt;&gt;"Yes")</f>
        <v/>
      </c>
      <c r="H13"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3" s="71">
        <f>IF(ISERROR(tblThreats[[#This Row],[Applicability formula]]),"Error",IF(AND(tblThreats[[#This Row],[Archetype match]],tblThreats[[#This Row],[Applicability formula]]=TRUE),"Applies","N/A"))</f>
        <v/>
      </c>
      <c r="J13" s="70" t="inlineStr">
        <is>
          <t>ATT&amp;CK T1070</t>
        </is>
      </c>
      <c r="K13" s="70" t="inlineStr">
        <is>
          <t>Medium</t>
        </is>
      </c>
      <c r="L13" s="70" t="inlineStr">
        <is>
          <t>Medium</t>
        </is>
      </c>
      <c r="M13" s="71">
        <f>IFERROR(INDEX(BASE_RISK_MATRIX,MATCH(tblThreats[[#This Row],[Impact]],BASE_RISK_ROWS,0),MATCH(tblThreats[[#This Row],[Likelihood]],BASE_RISK_COLS,0)),"")</f>
        <v/>
      </c>
      <c r="N13" s="71">
        <f>IF(tblThreats[[#This Row],[Applies]]&lt;&gt;"Applies","N/A",IFERROR(INDEX(FINAL_RISK_MATRIX,MATCH(tblThreats[[#This Row],[Base risk]],FINAL_RISK_ROWS,0),MATCH(APP_RISK_TIER,FINAL_RISK_COLS,0)),""))</f>
        <v/>
      </c>
      <c r="O13" s="71">
        <f>IFERROR(MATCH(tblThreats[[#This Row],[Risk]],RISK_SCALE_NAMES,0),0)</f>
        <v/>
      </c>
      <c r="P13" s="71">
        <f>COUNTIF(tblThreatControls[Threat ID],tblThreats[[#This Row],[Threat ID]])</f>
        <v/>
      </c>
      <c r="Q13" s="71">
        <f>COUNTIFS(tblThreatControls[Threat ID],tblThreats[[#This Row],[Threat ID]],tblThreatControls[Coverage status],"Full coverage")</f>
        <v/>
      </c>
      <c r="R13" s="71">
        <f>COUNTIFS(tblThreatControls[Threat ID],tblThreats[[#This Row],[Threat ID]],tblThreatControls[Coverage status],"Partial coverage")</f>
        <v/>
      </c>
      <c r="S13" s="71">
        <f>COUNTIFS(tblThreatControls[Threat ID],tblThreats[[#This Row],[Threat ID]],tblThreatControls[Coverage status],"Gap")</f>
        <v/>
      </c>
      <c r="T13" s="71">
        <f>COUNTIFS(tblThreatControls[Threat ID],tblThreats[[#This Row],[Threat ID]],tblThreatControls[Coverage status],"Not assessed")</f>
        <v/>
      </c>
      <c r="U13" s="71">
        <f>COUNTIFS(tblThreatControls[Threat ID],tblThreats[[#This Row],[Threat ID]],tblThreatControls[Coverage status],"N/A")</f>
        <v/>
      </c>
      <c r="V13"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3" s="71">
        <f>COUNTIF(tblThreatDetections[Threat ID],tblThreats[[#This Row],[Threat ID]])</f>
        <v/>
      </c>
      <c r="X13" s="71">
        <f>IF(TRIM(tblThreats[[#This Row],[Archetypes]])="All","Yes",IF(SUMPRODUCT(--(ARCHETYPE_IDS&lt;&gt;""),--ISNUMBER(SEARCH(";"&amp;ARCHETYPE_IDS&amp;";",";"&amp;SUBSTITUTE(tblThreats[[#This Row],[Archetypes]]," ","")&amp;";")))=LEN(SUBSTITUTE(tblThreats[[#This Row],[Archetypes]]," ",""))-LEN(SUBSTITUTE(SUBSTITUTE(tblThreats[[#This Row],[Archetypes]]," ",""),";",""))+1,"Yes","No"))</f>
        <v/>
      </c>
      <c r="Y13" s="70" t="inlineStr">
        <is>
          <t>Draft</t>
        </is>
      </c>
      <c r="Z13" s="70" t="inlineStr"/>
    </row>
    <row r="14" ht="36" customHeight="1" s="19">
      <c r="A14" s="70" t="inlineStr">
        <is>
          <t>TM-I-001</t>
        </is>
      </c>
      <c r="B14" s="70" t="inlineStr">
        <is>
          <t>Information disclosure</t>
        </is>
      </c>
      <c r="C14" s="70" t="inlineStr">
        <is>
          <t>Broken object-level authorization / cross-tenant access</t>
        </is>
      </c>
      <c r="D14" s="70" t="inlineStr">
        <is>
          <t>A user changes an identifier in a request and reads or changes records of other users or other tenants.</t>
        </is>
      </c>
      <c r="E14" s="70" t="inlineStr">
        <is>
          <t>All</t>
        </is>
      </c>
      <c r="F14" s="70" t="inlineStr">
        <is>
          <t>Has several roles or serves several tenants</t>
        </is>
      </c>
      <c r="G14" s="70">
        <f>OR(MULTIPLE_ROLES="Yes",MULTI_TENANT="Yes")</f>
        <v/>
      </c>
      <c r="H14"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4" s="71">
        <f>IF(ISERROR(tblThreats[[#This Row],[Applicability formula]]),"Error",IF(AND(tblThreats[[#This Row],[Archetype match]],tblThreats[[#This Row],[Applicability formula]]=TRUE),"Applies","N/A"))</f>
        <v/>
      </c>
      <c r="J14" s="70" t="inlineStr">
        <is>
          <t>CAPEC-122; OWASP API1:2023</t>
        </is>
      </c>
      <c r="K14" s="70" t="inlineStr">
        <is>
          <t>High</t>
        </is>
      </c>
      <c r="L14" s="70" t="inlineStr">
        <is>
          <t>High</t>
        </is>
      </c>
      <c r="M14" s="71">
        <f>IFERROR(INDEX(BASE_RISK_MATRIX,MATCH(tblThreats[[#This Row],[Impact]],BASE_RISK_ROWS,0),MATCH(tblThreats[[#This Row],[Likelihood]],BASE_RISK_COLS,0)),"")</f>
        <v/>
      </c>
      <c r="N14" s="71">
        <f>IF(tblThreats[[#This Row],[Applies]]&lt;&gt;"Applies","N/A",IFERROR(INDEX(FINAL_RISK_MATRIX,MATCH(tblThreats[[#This Row],[Base risk]],FINAL_RISK_ROWS,0),MATCH(APP_RISK_TIER,FINAL_RISK_COLS,0)),""))</f>
        <v/>
      </c>
      <c r="O14" s="71">
        <f>IFERROR(MATCH(tblThreats[[#This Row],[Risk]],RISK_SCALE_NAMES,0),0)</f>
        <v/>
      </c>
      <c r="P14" s="71">
        <f>COUNTIF(tblThreatControls[Threat ID],tblThreats[[#This Row],[Threat ID]])</f>
        <v/>
      </c>
      <c r="Q14" s="71">
        <f>COUNTIFS(tblThreatControls[Threat ID],tblThreats[[#This Row],[Threat ID]],tblThreatControls[Coverage status],"Full coverage")</f>
        <v/>
      </c>
      <c r="R14" s="71">
        <f>COUNTIFS(tblThreatControls[Threat ID],tblThreats[[#This Row],[Threat ID]],tblThreatControls[Coverage status],"Partial coverage")</f>
        <v/>
      </c>
      <c r="S14" s="71">
        <f>COUNTIFS(tblThreatControls[Threat ID],tblThreats[[#This Row],[Threat ID]],tblThreatControls[Coverage status],"Gap")</f>
        <v/>
      </c>
      <c r="T14" s="71">
        <f>COUNTIFS(tblThreatControls[Threat ID],tblThreats[[#This Row],[Threat ID]],tblThreatControls[Coverage status],"Not assessed")</f>
        <v/>
      </c>
      <c r="U14" s="71">
        <f>COUNTIFS(tblThreatControls[Threat ID],tblThreats[[#This Row],[Threat ID]],tblThreatControls[Coverage status],"N/A")</f>
        <v/>
      </c>
      <c r="V14"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4" s="71">
        <f>COUNTIF(tblThreatDetections[Threat ID],tblThreats[[#This Row],[Threat ID]])</f>
        <v/>
      </c>
      <c r="X14" s="71">
        <f>IF(TRIM(tblThreats[[#This Row],[Archetypes]])="All","Yes",IF(SUMPRODUCT(--(ARCHETYPE_IDS&lt;&gt;""),--ISNUMBER(SEARCH(";"&amp;ARCHETYPE_IDS&amp;";",";"&amp;SUBSTITUTE(tblThreats[[#This Row],[Archetypes]]," ","")&amp;";")))=LEN(SUBSTITUTE(tblThreats[[#This Row],[Archetypes]]," ",""))-LEN(SUBSTITUTE(SUBSTITUTE(tblThreats[[#This Row],[Archetypes]]," ",""),";",""))+1,"Yes","No"))</f>
        <v/>
      </c>
      <c r="Y14" s="70" t="inlineStr">
        <is>
          <t>Draft</t>
        </is>
      </c>
      <c r="Z14" s="70" t="inlineStr"/>
    </row>
    <row r="15" ht="36" customHeight="1" s="19">
      <c r="A15" s="70" t="inlineStr">
        <is>
          <t>TM-I-002</t>
        </is>
      </c>
      <c r="B15" s="70" t="inlineStr">
        <is>
          <t>Information disclosure</t>
        </is>
      </c>
      <c r="C15" s="70" t="inlineStr">
        <is>
          <t>Exposure of stored third-party secrets</t>
        </is>
      </c>
      <c r="D15" s="70" t="inlineStr">
        <is>
          <t>Credentials, keys or tokens the application keeps for other systems are stolen from configuration, database or memory and reused against those systems.</t>
        </is>
      </c>
      <c r="E15" s="70" t="inlineStr">
        <is>
          <t>All</t>
        </is>
      </c>
      <c r="F15" s="70" t="inlineStr">
        <is>
          <t>Stores credentials/keys/tokens for other systems</t>
        </is>
      </c>
      <c r="G15" s="70">
        <f>STORES_THIRD_PARTY_SECRETS="Yes"</f>
        <v/>
      </c>
      <c r="H1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5" s="71">
        <f>IF(ISERROR(tblThreats[[#This Row],[Applicability formula]]),"Error",IF(AND(tblThreats[[#This Row],[Archetype match]],tblThreats[[#This Row],[Applicability formula]]=TRUE),"Applies","N/A"))</f>
        <v/>
      </c>
      <c r="J15" s="70" t="inlineStr">
        <is>
          <t>ATT&amp;CK T1552</t>
        </is>
      </c>
      <c r="K15" s="70" t="inlineStr">
        <is>
          <t>Medium</t>
        </is>
      </c>
      <c r="L15" s="70" t="inlineStr">
        <is>
          <t>High</t>
        </is>
      </c>
      <c r="M15" s="71">
        <f>IFERROR(INDEX(BASE_RISK_MATRIX,MATCH(tblThreats[[#This Row],[Impact]],BASE_RISK_ROWS,0),MATCH(tblThreats[[#This Row],[Likelihood]],BASE_RISK_COLS,0)),"")</f>
        <v/>
      </c>
      <c r="N15" s="71">
        <f>IF(tblThreats[[#This Row],[Applies]]&lt;&gt;"Applies","N/A",IFERROR(INDEX(FINAL_RISK_MATRIX,MATCH(tblThreats[[#This Row],[Base risk]],FINAL_RISK_ROWS,0),MATCH(APP_RISK_TIER,FINAL_RISK_COLS,0)),""))</f>
        <v/>
      </c>
      <c r="O15" s="71">
        <f>IFERROR(MATCH(tblThreats[[#This Row],[Risk]],RISK_SCALE_NAMES,0),0)</f>
        <v/>
      </c>
      <c r="P15" s="71">
        <f>COUNTIF(tblThreatControls[Threat ID],tblThreats[[#This Row],[Threat ID]])</f>
        <v/>
      </c>
      <c r="Q15" s="71">
        <f>COUNTIFS(tblThreatControls[Threat ID],tblThreats[[#This Row],[Threat ID]],tblThreatControls[Coverage status],"Full coverage")</f>
        <v/>
      </c>
      <c r="R15" s="71">
        <f>COUNTIFS(tblThreatControls[Threat ID],tblThreats[[#This Row],[Threat ID]],tblThreatControls[Coverage status],"Partial coverage")</f>
        <v/>
      </c>
      <c r="S15" s="71">
        <f>COUNTIFS(tblThreatControls[Threat ID],tblThreats[[#This Row],[Threat ID]],tblThreatControls[Coverage status],"Gap")</f>
        <v/>
      </c>
      <c r="T15" s="71">
        <f>COUNTIFS(tblThreatControls[Threat ID],tblThreats[[#This Row],[Threat ID]],tblThreatControls[Coverage status],"Not assessed")</f>
        <v/>
      </c>
      <c r="U15" s="71">
        <f>COUNTIFS(tblThreatControls[Threat ID],tblThreats[[#This Row],[Threat ID]],tblThreatControls[Coverage status],"N/A")</f>
        <v/>
      </c>
      <c r="V1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5" s="71">
        <f>COUNTIF(tblThreatDetections[Threat ID],tblThreats[[#This Row],[Threat ID]])</f>
        <v/>
      </c>
      <c r="X15" s="71">
        <f>IF(TRIM(tblThreats[[#This Row],[Archetypes]])="All","Yes",IF(SUMPRODUCT(--(ARCHETYPE_IDS&lt;&gt;""),--ISNUMBER(SEARCH(";"&amp;ARCHETYPE_IDS&amp;";",";"&amp;SUBSTITUTE(tblThreats[[#This Row],[Archetypes]]," ","")&amp;";")))=LEN(SUBSTITUTE(tblThreats[[#This Row],[Archetypes]]," ",""))-LEN(SUBSTITUTE(SUBSTITUTE(tblThreats[[#This Row],[Archetypes]]," ",""),";",""))+1,"Yes","No"))</f>
        <v/>
      </c>
      <c r="Y15" s="70" t="inlineStr">
        <is>
          <t>Draft</t>
        </is>
      </c>
      <c r="Z15" s="70" t="inlineStr"/>
    </row>
    <row r="16" ht="36" customHeight="1" s="19">
      <c r="A16" s="70" t="inlineStr">
        <is>
          <t>TM-I-003</t>
        </is>
      </c>
      <c r="B16" s="70" t="inlineStr">
        <is>
          <t>Information disclosure</t>
        </is>
      </c>
      <c r="C16" s="70" t="inlineStr">
        <is>
          <t>Data leakage through vendor telemetry</t>
        </is>
      </c>
      <c r="D16" s="70" t="inlineStr">
        <is>
          <t>The product sends telemetry, license or update traffic to the vendor that includes business or personal data.</t>
        </is>
      </c>
      <c r="E16" s="70" t="inlineStr">
        <is>
          <t>All</t>
        </is>
      </c>
      <c r="F16" s="70" t="inlineStr">
        <is>
          <t>Vendor product that sends data to the vendor</t>
        </is>
      </c>
      <c r="G16" s="70">
        <f>AND(IS_COTS,OUTBOUND_VENDOR_TELEMETRY="Yes")</f>
        <v/>
      </c>
      <c r="H1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6" s="71">
        <f>IF(ISERROR(tblThreats[[#This Row],[Applicability formula]]),"Error",IF(AND(tblThreats[[#This Row],[Archetype match]],tblThreats[[#This Row],[Applicability formula]]=TRUE),"Applies","N/A"))</f>
        <v/>
      </c>
      <c r="J16" s="70" t="inlineStr">
        <is>
          <t>ATT&amp;CK T1041</t>
        </is>
      </c>
      <c r="K16" s="70" t="inlineStr">
        <is>
          <t>Medium</t>
        </is>
      </c>
      <c r="L16" s="70" t="inlineStr">
        <is>
          <t>Medium</t>
        </is>
      </c>
      <c r="M16" s="71">
        <f>IFERROR(INDEX(BASE_RISK_MATRIX,MATCH(tblThreats[[#This Row],[Impact]],BASE_RISK_ROWS,0),MATCH(tblThreats[[#This Row],[Likelihood]],BASE_RISK_COLS,0)),"")</f>
        <v/>
      </c>
      <c r="N16" s="71">
        <f>IF(tblThreats[[#This Row],[Applies]]&lt;&gt;"Applies","N/A",IFERROR(INDEX(FINAL_RISK_MATRIX,MATCH(tblThreats[[#This Row],[Base risk]],FINAL_RISK_ROWS,0),MATCH(APP_RISK_TIER,FINAL_RISK_COLS,0)),""))</f>
        <v/>
      </c>
      <c r="O16" s="71">
        <f>IFERROR(MATCH(tblThreats[[#This Row],[Risk]],RISK_SCALE_NAMES,0),0)</f>
        <v/>
      </c>
      <c r="P16" s="71">
        <f>COUNTIF(tblThreatControls[Threat ID],tblThreats[[#This Row],[Threat ID]])</f>
        <v/>
      </c>
      <c r="Q16" s="71">
        <f>COUNTIFS(tblThreatControls[Threat ID],tblThreats[[#This Row],[Threat ID]],tblThreatControls[Coverage status],"Full coverage")</f>
        <v/>
      </c>
      <c r="R16" s="71">
        <f>COUNTIFS(tblThreatControls[Threat ID],tblThreats[[#This Row],[Threat ID]],tblThreatControls[Coverage status],"Partial coverage")</f>
        <v/>
      </c>
      <c r="S16" s="71">
        <f>COUNTIFS(tblThreatControls[Threat ID],tblThreats[[#This Row],[Threat ID]],tblThreatControls[Coverage status],"Gap")</f>
        <v/>
      </c>
      <c r="T16" s="71">
        <f>COUNTIFS(tblThreatControls[Threat ID],tblThreats[[#This Row],[Threat ID]],tblThreatControls[Coverage status],"Not assessed")</f>
        <v/>
      </c>
      <c r="U16" s="71">
        <f>COUNTIFS(tblThreatControls[Threat ID],tblThreats[[#This Row],[Threat ID]],tblThreatControls[Coverage status],"N/A")</f>
        <v/>
      </c>
      <c r="V1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6" s="71">
        <f>COUNTIF(tblThreatDetections[Threat ID],tblThreats[[#This Row],[Threat ID]])</f>
        <v/>
      </c>
      <c r="X16" s="71">
        <f>IF(TRIM(tblThreats[[#This Row],[Archetypes]])="All","Yes",IF(SUMPRODUCT(--(ARCHETYPE_IDS&lt;&gt;""),--ISNUMBER(SEARCH(";"&amp;ARCHETYPE_IDS&amp;";",";"&amp;SUBSTITUTE(tblThreats[[#This Row],[Archetypes]]," ","")&amp;";")))=LEN(SUBSTITUTE(tblThreats[[#This Row],[Archetypes]]," ",""))-LEN(SUBSTITUTE(SUBSTITUTE(tblThreats[[#This Row],[Archetypes]]," ",""),";",""))+1,"Yes","No"))</f>
        <v/>
      </c>
      <c r="Y16" s="70" t="inlineStr">
        <is>
          <t>Draft</t>
        </is>
      </c>
      <c r="Z16" s="70" t="inlineStr"/>
    </row>
    <row r="17" ht="36" customHeight="1" s="19">
      <c r="A17" s="70" t="inlineStr">
        <is>
          <t>TM-D-001</t>
        </is>
      </c>
      <c r="B17" s="70" t="inlineStr">
        <is>
          <t>Denial of service</t>
        </is>
      </c>
      <c r="C17" s="70" t="inlineStr">
        <is>
          <t>Denial of service on the internet-facing application</t>
        </is>
      </c>
      <c r="D17" s="70" t="inlineStr">
        <is>
          <t>Floods of requests, or a few very expensive ones, make the application unavailable to legitimate users.</t>
        </is>
      </c>
      <c r="E17" s="70" t="inlineStr">
        <is>
          <t>All</t>
        </is>
      </c>
      <c r="F17" s="70" t="inlineStr">
        <is>
          <t>Internet-facing</t>
        </is>
      </c>
      <c r="G17" s="70">
        <f>EXPOSURE="Public internet"</f>
        <v/>
      </c>
      <c r="H1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7" s="71">
        <f>IF(ISERROR(tblThreats[[#This Row],[Applicability formula]]),"Error",IF(AND(tblThreats[[#This Row],[Archetype match]],tblThreats[[#This Row],[Applicability formula]]=TRUE),"Applies","N/A"))</f>
        <v/>
      </c>
      <c r="J17" s="70" t="inlineStr">
        <is>
          <t>CAPEC-125; ATT&amp;CK T1499</t>
        </is>
      </c>
      <c r="K17" s="70" t="inlineStr">
        <is>
          <t>Medium</t>
        </is>
      </c>
      <c r="L17" s="70" t="inlineStr">
        <is>
          <t>Medium</t>
        </is>
      </c>
      <c r="M17" s="71">
        <f>IFERROR(INDEX(BASE_RISK_MATRIX,MATCH(tblThreats[[#This Row],[Impact]],BASE_RISK_ROWS,0),MATCH(tblThreats[[#This Row],[Likelihood]],BASE_RISK_COLS,0)),"")</f>
        <v/>
      </c>
      <c r="N17" s="71">
        <f>IF(tblThreats[[#This Row],[Applies]]&lt;&gt;"Applies","N/A",IFERROR(INDEX(FINAL_RISK_MATRIX,MATCH(tblThreats[[#This Row],[Base risk]],FINAL_RISK_ROWS,0),MATCH(APP_RISK_TIER,FINAL_RISK_COLS,0)),""))</f>
        <v/>
      </c>
      <c r="O17" s="71">
        <f>IFERROR(MATCH(tblThreats[[#This Row],[Risk]],RISK_SCALE_NAMES,0),0)</f>
        <v/>
      </c>
      <c r="P17" s="71">
        <f>COUNTIF(tblThreatControls[Threat ID],tblThreats[[#This Row],[Threat ID]])</f>
        <v/>
      </c>
      <c r="Q17" s="71">
        <f>COUNTIFS(tblThreatControls[Threat ID],tblThreats[[#This Row],[Threat ID]],tblThreatControls[Coverage status],"Full coverage")</f>
        <v/>
      </c>
      <c r="R17" s="71">
        <f>COUNTIFS(tblThreatControls[Threat ID],tblThreats[[#This Row],[Threat ID]],tblThreatControls[Coverage status],"Partial coverage")</f>
        <v/>
      </c>
      <c r="S17" s="71">
        <f>COUNTIFS(tblThreatControls[Threat ID],tblThreats[[#This Row],[Threat ID]],tblThreatControls[Coverage status],"Gap")</f>
        <v/>
      </c>
      <c r="T17" s="71">
        <f>COUNTIFS(tblThreatControls[Threat ID],tblThreats[[#This Row],[Threat ID]],tblThreatControls[Coverage status],"Not assessed")</f>
        <v/>
      </c>
      <c r="U17" s="71">
        <f>COUNTIFS(tblThreatControls[Threat ID],tblThreats[[#This Row],[Threat ID]],tblThreatControls[Coverage status],"N/A")</f>
        <v/>
      </c>
      <c r="V1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7" s="71">
        <f>COUNTIF(tblThreatDetections[Threat ID],tblThreats[[#This Row],[Threat ID]])</f>
        <v/>
      </c>
      <c r="X17" s="71">
        <f>IF(TRIM(tblThreats[[#This Row],[Archetypes]])="All","Yes",IF(SUMPRODUCT(--(ARCHETYPE_IDS&lt;&gt;""),--ISNUMBER(SEARCH(";"&amp;ARCHETYPE_IDS&amp;";",";"&amp;SUBSTITUTE(tblThreats[[#This Row],[Archetypes]]," ","")&amp;";")))=LEN(SUBSTITUTE(tblThreats[[#This Row],[Archetypes]]," ",""))-LEN(SUBSTITUTE(SUBSTITUTE(tblThreats[[#This Row],[Archetypes]]," ",""),";",""))+1,"Yes","No"))</f>
        <v/>
      </c>
      <c r="Y17" s="70" t="inlineStr">
        <is>
          <t>Draft</t>
        </is>
      </c>
      <c r="Z17" s="70" t="inlineStr"/>
    </row>
    <row r="18" ht="36" customHeight="1" s="19">
      <c r="A18" s="70" t="inlineStr">
        <is>
          <t>TM-D-002</t>
        </is>
      </c>
      <c r="B18" s="70" t="inlineStr">
        <is>
          <t>Denial of service</t>
        </is>
      </c>
      <c r="C18" s="70" t="inlineStr">
        <is>
          <t>Message flooding or poison messages</t>
        </is>
      </c>
      <c r="D18" s="70" t="inlineStr">
        <is>
          <t>A producer floods a queue or sends a malformed message that repeatedly crashes the consumer, blocking processing.</t>
        </is>
      </c>
      <c r="E18" s="70" t="inlineStr">
        <is>
          <t>All</t>
        </is>
      </c>
      <c r="F18" s="70" t="inlineStr">
        <is>
          <t>Publishes or consumes messages/events</t>
        </is>
      </c>
      <c r="G18" s="70">
        <f>MESSAGING="Yes"</f>
        <v/>
      </c>
      <c r="H1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8" s="71">
        <f>IF(ISERROR(tblThreats[[#This Row],[Applicability formula]]),"Error",IF(AND(tblThreats[[#This Row],[Archetype match]],tblThreats[[#This Row],[Applicability formula]]=TRUE),"Applies","N/A"))</f>
        <v/>
      </c>
      <c r="J18" s="70" t="inlineStr">
        <is>
          <t>CAPEC-125</t>
        </is>
      </c>
      <c r="K18" s="70" t="inlineStr">
        <is>
          <t>Low</t>
        </is>
      </c>
      <c r="L18" s="70" t="inlineStr">
        <is>
          <t>Medium</t>
        </is>
      </c>
      <c r="M18" s="71">
        <f>IFERROR(INDEX(BASE_RISK_MATRIX,MATCH(tblThreats[[#This Row],[Impact]],BASE_RISK_ROWS,0),MATCH(tblThreats[[#This Row],[Likelihood]],BASE_RISK_COLS,0)),"")</f>
        <v/>
      </c>
      <c r="N18" s="71">
        <f>IF(tblThreats[[#This Row],[Applies]]&lt;&gt;"Applies","N/A",IFERROR(INDEX(FINAL_RISK_MATRIX,MATCH(tblThreats[[#This Row],[Base risk]],FINAL_RISK_ROWS,0),MATCH(APP_RISK_TIER,FINAL_RISK_COLS,0)),""))</f>
        <v/>
      </c>
      <c r="O18" s="71">
        <f>IFERROR(MATCH(tblThreats[[#This Row],[Risk]],RISK_SCALE_NAMES,0),0)</f>
        <v/>
      </c>
      <c r="P18" s="71">
        <f>COUNTIF(tblThreatControls[Threat ID],tblThreats[[#This Row],[Threat ID]])</f>
        <v/>
      </c>
      <c r="Q18" s="71">
        <f>COUNTIFS(tblThreatControls[Threat ID],tblThreats[[#This Row],[Threat ID]],tblThreatControls[Coverage status],"Full coverage")</f>
        <v/>
      </c>
      <c r="R18" s="71">
        <f>COUNTIFS(tblThreatControls[Threat ID],tblThreats[[#This Row],[Threat ID]],tblThreatControls[Coverage status],"Partial coverage")</f>
        <v/>
      </c>
      <c r="S18" s="71">
        <f>COUNTIFS(tblThreatControls[Threat ID],tblThreats[[#This Row],[Threat ID]],tblThreatControls[Coverage status],"Gap")</f>
        <v/>
      </c>
      <c r="T18" s="71">
        <f>COUNTIFS(tblThreatControls[Threat ID],tblThreats[[#This Row],[Threat ID]],tblThreatControls[Coverage status],"Not assessed")</f>
        <v/>
      </c>
      <c r="U18" s="71">
        <f>COUNTIFS(tblThreatControls[Threat ID],tblThreats[[#This Row],[Threat ID]],tblThreatControls[Coverage status],"N/A")</f>
        <v/>
      </c>
      <c r="V1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8" s="71">
        <f>COUNTIF(tblThreatDetections[Threat ID],tblThreats[[#This Row],[Threat ID]])</f>
        <v/>
      </c>
      <c r="X18" s="71">
        <f>IF(TRIM(tblThreats[[#This Row],[Archetypes]])="All","Yes",IF(SUMPRODUCT(--(ARCHETYPE_IDS&lt;&gt;""),--ISNUMBER(SEARCH(";"&amp;ARCHETYPE_IDS&amp;";",";"&amp;SUBSTITUTE(tblThreats[[#This Row],[Archetypes]]," ","")&amp;";")))=LEN(SUBSTITUTE(tblThreats[[#This Row],[Archetypes]]," ",""))-LEN(SUBSTITUTE(SUBSTITUTE(tblThreats[[#This Row],[Archetypes]]," ",""),";",""))+1,"Yes","No"))</f>
        <v/>
      </c>
      <c r="Y18" s="70" t="inlineStr">
        <is>
          <t>Draft</t>
        </is>
      </c>
      <c r="Z18" s="70" t="inlineStr">
        <is>
          <t>No detection: queue depth / dead-letter alerts are platform monitoring, not a SOC detection.</t>
        </is>
      </c>
    </row>
    <row r="19" ht="36" customHeight="1" s="19">
      <c r="A19" s="70" t="inlineStr">
        <is>
          <t>TM-E-001</t>
        </is>
      </c>
      <c r="B19" s="70" t="inlineStr">
        <is>
          <t>Elevation of privilege</t>
        </is>
      </c>
      <c r="C19" s="70" t="inlineStr">
        <is>
          <t>Vertical privilege escalation</t>
        </is>
      </c>
      <c r="D19" s="70" t="inlineStr">
        <is>
          <t>A regular user reaches administrative functions or data because permissions are only enforced in the user interface or are checked inconsistently.</t>
        </is>
      </c>
      <c r="E19" s="70" t="inlineStr">
        <is>
          <t>All</t>
        </is>
      </c>
      <c r="F19" s="70" t="inlineStr">
        <is>
          <t>Has several user roles</t>
        </is>
      </c>
      <c r="G19" s="70">
        <f>MULTIPLE_ROLES="Yes"</f>
        <v/>
      </c>
      <c r="H1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9" s="71">
        <f>IF(ISERROR(tblThreats[[#This Row],[Applicability formula]]),"Error",IF(AND(tblThreats[[#This Row],[Archetype match]],tblThreats[[#This Row],[Applicability formula]]=TRUE),"Applies","N/A"))</f>
        <v/>
      </c>
      <c r="J19" s="70" t="inlineStr">
        <is>
          <t>CAPEC-233; OWASP API5:2023</t>
        </is>
      </c>
      <c r="K19" s="70" t="inlineStr">
        <is>
          <t>Medium</t>
        </is>
      </c>
      <c r="L19" s="70" t="inlineStr">
        <is>
          <t>High</t>
        </is>
      </c>
      <c r="M19" s="71">
        <f>IFERROR(INDEX(BASE_RISK_MATRIX,MATCH(tblThreats[[#This Row],[Impact]],BASE_RISK_ROWS,0),MATCH(tblThreats[[#This Row],[Likelihood]],BASE_RISK_COLS,0)),"")</f>
        <v/>
      </c>
      <c r="N19" s="71">
        <f>IF(tblThreats[[#This Row],[Applies]]&lt;&gt;"Applies","N/A",IFERROR(INDEX(FINAL_RISK_MATRIX,MATCH(tblThreats[[#This Row],[Base risk]],FINAL_RISK_ROWS,0),MATCH(APP_RISK_TIER,FINAL_RISK_COLS,0)),""))</f>
        <v/>
      </c>
      <c r="O19" s="71">
        <f>IFERROR(MATCH(tblThreats[[#This Row],[Risk]],RISK_SCALE_NAMES,0),0)</f>
        <v/>
      </c>
      <c r="P19" s="71">
        <f>COUNTIF(tblThreatControls[Threat ID],tblThreats[[#This Row],[Threat ID]])</f>
        <v/>
      </c>
      <c r="Q19" s="71">
        <f>COUNTIFS(tblThreatControls[Threat ID],tblThreats[[#This Row],[Threat ID]],tblThreatControls[Coverage status],"Full coverage")</f>
        <v/>
      </c>
      <c r="R19" s="71">
        <f>COUNTIFS(tblThreatControls[Threat ID],tblThreats[[#This Row],[Threat ID]],tblThreatControls[Coverage status],"Partial coverage")</f>
        <v/>
      </c>
      <c r="S19" s="71">
        <f>COUNTIFS(tblThreatControls[Threat ID],tblThreats[[#This Row],[Threat ID]],tblThreatControls[Coverage status],"Gap")</f>
        <v/>
      </c>
      <c r="T19" s="71">
        <f>COUNTIFS(tblThreatControls[Threat ID],tblThreats[[#This Row],[Threat ID]],tblThreatControls[Coverage status],"Not assessed")</f>
        <v/>
      </c>
      <c r="U19" s="71">
        <f>COUNTIFS(tblThreatControls[Threat ID],tblThreats[[#This Row],[Threat ID]],tblThreatControls[Coverage status],"N/A")</f>
        <v/>
      </c>
      <c r="V1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9" s="71">
        <f>COUNTIF(tblThreatDetections[Threat ID],tblThreats[[#This Row],[Threat ID]])</f>
        <v/>
      </c>
      <c r="X19" s="71">
        <f>IF(TRIM(tblThreats[[#This Row],[Archetypes]])="All","Yes",IF(SUMPRODUCT(--(ARCHETYPE_IDS&lt;&gt;""),--ISNUMBER(SEARCH(";"&amp;ARCHETYPE_IDS&amp;";",";"&amp;SUBSTITUTE(tblThreats[[#This Row],[Archetypes]]," ","")&amp;";")))=LEN(SUBSTITUTE(tblThreats[[#This Row],[Archetypes]]," ",""))-LEN(SUBSTITUTE(SUBSTITUTE(tblThreats[[#This Row],[Archetypes]]," ",""),";",""))+1,"Yes","No"))</f>
        <v/>
      </c>
      <c r="Y19" s="70" t="inlineStr">
        <is>
          <t>Draft</t>
        </is>
      </c>
      <c r="Z19" s="70" t="inlineStr"/>
    </row>
    <row r="20" ht="36" customHeight="1" s="19">
      <c r="A20" s="70" t="inlineStr">
        <is>
          <t>TM-E-002</t>
        </is>
      </c>
      <c r="B20" s="70" t="inlineStr">
        <is>
          <t>Elevation of privilege</t>
        </is>
      </c>
      <c r="C20" s="70" t="inlineStr">
        <is>
          <t>Abuse of vendor remote access</t>
        </is>
      </c>
      <c r="D20" s="70" t="inlineStr">
        <is>
          <t>Permanent or uncontrolled vendor remote access is used - by the vendor or by an attacker who compromised the vendor - to act with administrative rights.</t>
        </is>
      </c>
      <c r="E20" s="70" t="inlineStr">
        <is>
          <t>All</t>
        </is>
      </c>
      <c r="F20" s="70" t="inlineStr">
        <is>
          <t>Vendor product with permanent or unknown vendor remote access</t>
        </is>
      </c>
      <c r="G20" s="70">
        <f>AND(IS_COTS,OR(VENDOR_REMOTE_ACCESS="Yes, permanent",VENDOR_REMOTE_ACCESS="Don't know"))</f>
        <v/>
      </c>
      <c r="H2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0" s="71">
        <f>IF(ISERROR(tblThreats[[#This Row],[Applicability formula]]),"Error",IF(AND(tblThreats[[#This Row],[Archetype match]],tblThreats[[#This Row],[Applicability formula]]=TRUE),"Applies","N/A"))</f>
        <v/>
      </c>
      <c r="J20" s="70" t="inlineStr">
        <is>
          <t>ATT&amp;CK T1133; ATT&amp;CK T1199</t>
        </is>
      </c>
      <c r="K20" s="70" t="inlineStr">
        <is>
          <t>Medium</t>
        </is>
      </c>
      <c r="L20" s="70" t="inlineStr">
        <is>
          <t>High</t>
        </is>
      </c>
      <c r="M20" s="71">
        <f>IFERROR(INDEX(BASE_RISK_MATRIX,MATCH(tblThreats[[#This Row],[Impact]],BASE_RISK_ROWS,0),MATCH(tblThreats[[#This Row],[Likelihood]],BASE_RISK_COLS,0)),"")</f>
        <v/>
      </c>
      <c r="N20" s="71">
        <f>IF(tblThreats[[#This Row],[Applies]]&lt;&gt;"Applies","N/A",IFERROR(INDEX(FINAL_RISK_MATRIX,MATCH(tblThreats[[#This Row],[Base risk]],FINAL_RISK_ROWS,0),MATCH(APP_RISK_TIER,FINAL_RISK_COLS,0)),""))</f>
        <v/>
      </c>
      <c r="O20" s="71">
        <f>IFERROR(MATCH(tblThreats[[#This Row],[Risk]],RISK_SCALE_NAMES,0),0)</f>
        <v/>
      </c>
      <c r="P20" s="71">
        <f>COUNTIF(tblThreatControls[Threat ID],tblThreats[[#This Row],[Threat ID]])</f>
        <v/>
      </c>
      <c r="Q20" s="71">
        <f>COUNTIFS(tblThreatControls[Threat ID],tblThreats[[#This Row],[Threat ID]],tblThreatControls[Coverage status],"Full coverage")</f>
        <v/>
      </c>
      <c r="R20" s="71">
        <f>COUNTIFS(tblThreatControls[Threat ID],tblThreats[[#This Row],[Threat ID]],tblThreatControls[Coverage status],"Partial coverage")</f>
        <v/>
      </c>
      <c r="S20" s="71">
        <f>COUNTIFS(tblThreatControls[Threat ID],tblThreats[[#This Row],[Threat ID]],tblThreatControls[Coverage status],"Gap")</f>
        <v/>
      </c>
      <c r="T20" s="71">
        <f>COUNTIFS(tblThreatControls[Threat ID],tblThreats[[#This Row],[Threat ID]],tblThreatControls[Coverage status],"Not assessed")</f>
        <v/>
      </c>
      <c r="U20" s="71">
        <f>COUNTIFS(tblThreatControls[Threat ID],tblThreats[[#This Row],[Threat ID]],tblThreatControls[Coverage status],"N/A")</f>
        <v/>
      </c>
      <c r="V2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0" s="71">
        <f>COUNTIF(tblThreatDetections[Threat ID],tblThreats[[#This Row],[Threat ID]])</f>
        <v/>
      </c>
      <c r="X20" s="71">
        <f>IF(TRIM(tblThreats[[#This Row],[Archetypes]])="All","Yes",IF(SUMPRODUCT(--(ARCHETYPE_IDS&lt;&gt;""),--ISNUMBER(SEARCH(";"&amp;ARCHETYPE_IDS&amp;";",";"&amp;SUBSTITUTE(tblThreats[[#This Row],[Archetypes]]," ","")&amp;";")))=LEN(SUBSTITUTE(tblThreats[[#This Row],[Archetypes]]," ",""))-LEN(SUBSTITUTE(SUBSTITUTE(tblThreats[[#This Row],[Archetypes]]," ",""),";",""))+1,"Yes","No"))</f>
        <v/>
      </c>
      <c r="Y20" s="70" t="inlineStr">
        <is>
          <t>Draft</t>
        </is>
      </c>
      <c r="Z20" s="70" t="inlineStr"/>
    </row>
    <row r="21" ht="36" customHeight="1" s="19">
      <c r="A21" s="70" t="inlineStr">
        <is>
          <t>TM-E-003</t>
        </is>
      </c>
      <c r="B21" s="70" t="inlineStr">
        <is>
          <t>Elevation of privilege</t>
        </is>
      </c>
      <c r="C21" s="70" t="inlineStr">
        <is>
          <t>Exploitation of an unsupported product version</t>
        </is>
      </c>
      <c r="D21" s="70" t="inlineStr">
        <is>
          <t>The product version no longer receives security fixes, so publicly known vulnerabilities stay exploitable indefinitely.</t>
        </is>
      </c>
      <c r="E21" s="70" t="inlineStr">
        <is>
          <t>All</t>
        </is>
      </c>
      <c r="F21" s="70" t="inlineStr">
        <is>
          <t>Vendor product whose version is not confirmed as supported</t>
        </is>
      </c>
      <c r="G21" s="70">
        <f>AND(IS_COTS,VENDOR_SUPPORTED&lt;&gt;"Yes")</f>
        <v/>
      </c>
      <c r="H2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1" s="71">
        <f>IF(ISERROR(tblThreats[[#This Row],[Applicability formula]]),"Error",IF(AND(tblThreats[[#This Row],[Archetype match]],tblThreats[[#This Row],[Applicability formula]]=TRUE),"Applies","N/A"))</f>
        <v/>
      </c>
      <c r="J21" s="70" t="inlineStr">
        <is>
          <t>ATT&amp;CK T1190</t>
        </is>
      </c>
      <c r="K21" s="70" t="inlineStr">
        <is>
          <t>High</t>
        </is>
      </c>
      <c r="L21" s="70" t="inlineStr">
        <is>
          <t>High</t>
        </is>
      </c>
      <c r="M21" s="71">
        <f>IFERROR(INDEX(BASE_RISK_MATRIX,MATCH(tblThreats[[#This Row],[Impact]],BASE_RISK_ROWS,0),MATCH(tblThreats[[#This Row],[Likelihood]],BASE_RISK_COLS,0)),"")</f>
        <v/>
      </c>
      <c r="N21" s="71">
        <f>IF(tblThreats[[#This Row],[Applies]]&lt;&gt;"Applies","N/A",IFERROR(INDEX(FINAL_RISK_MATRIX,MATCH(tblThreats[[#This Row],[Base risk]],FINAL_RISK_ROWS,0),MATCH(APP_RISK_TIER,FINAL_RISK_COLS,0)),""))</f>
        <v/>
      </c>
      <c r="O21" s="71">
        <f>IFERROR(MATCH(tblThreats[[#This Row],[Risk]],RISK_SCALE_NAMES,0),0)</f>
        <v/>
      </c>
      <c r="P21" s="71">
        <f>COUNTIF(tblThreatControls[Threat ID],tblThreats[[#This Row],[Threat ID]])</f>
        <v/>
      </c>
      <c r="Q21" s="71">
        <f>COUNTIFS(tblThreatControls[Threat ID],tblThreats[[#This Row],[Threat ID]],tblThreatControls[Coverage status],"Full coverage")</f>
        <v/>
      </c>
      <c r="R21" s="71">
        <f>COUNTIFS(tblThreatControls[Threat ID],tblThreats[[#This Row],[Threat ID]],tblThreatControls[Coverage status],"Partial coverage")</f>
        <v/>
      </c>
      <c r="S21" s="71">
        <f>COUNTIFS(tblThreatControls[Threat ID],tblThreats[[#This Row],[Threat ID]],tblThreatControls[Coverage status],"Gap")</f>
        <v/>
      </c>
      <c r="T21" s="71">
        <f>COUNTIFS(tblThreatControls[Threat ID],tblThreats[[#This Row],[Threat ID]],tblThreatControls[Coverage status],"Not assessed")</f>
        <v/>
      </c>
      <c r="U21" s="71">
        <f>COUNTIFS(tblThreatControls[Threat ID],tblThreats[[#This Row],[Threat ID]],tblThreatControls[Coverage status],"N/A")</f>
        <v/>
      </c>
      <c r="V2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1" s="71">
        <f>COUNTIF(tblThreatDetections[Threat ID],tblThreats[[#This Row],[Threat ID]])</f>
        <v/>
      </c>
      <c r="X21" s="71">
        <f>IF(TRIM(tblThreats[[#This Row],[Archetypes]])="All","Yes",IF(SUMPRODUCT(--(ARCHETYPE_IDS&lt;&gt;""),--ISNUMBER(SEARCH(";"&amp;ARCHETYPE_IDS&amp;";",";"&amp;SUBSTITUTE(tblThreats[[#This Row],[Archetypes]]," ","")&amp;";")))=LEN(SUBSTITUTE(tblThreats[[#This Row],[Archetypes]]," ",""))-LEN(SUBSTITUTE(SUBSTITUTE(tblThreats[[#This Row],[Archetypes]]," ",""),";",""))+1,"Yes","No"))</f>
        <v/>
      </c>
      <c r="Y21" s="70" t="inlineStr">
        <is>
          <t>Draft</t>
        </is>
      </c>
      <c r="Z21" s="70" t="inlineStr"/>
    </row>
  </sheetData>
  <sheetProtection selectLockedCells="0" selectUnlockedCells="0" sheet="1" objects="0" insertRows="1" insertHyperlinks="1" autoFilter="0" scenarios="0" formatColumns="0" deleteColumns="1" insertColumns="1" pivotTables="1" deleteRows="1" formatCells="1" formatRows="0" sort="0"/>
  <mergeCells count="1">
    <mergeCell ref="A2:Z2"/>
  </mergeCells>
  <conditionalFormatting sqref="N5:N500">
    <cfRule type="expression" priority="1" dxfId="9">
      <formula>$N5="Critical"</formula>
    </cfRule>
    <cfRule type="expression" priority="2" dxfId="10">
      <formula>$N5="High"</formula>
    </cfRule>
    <cfRule type="expression" priority="3" dxfId="11">
      <formula>$N5="Medium"</formula>
    </cfRule>
  </conditionalFormatting>
  <conditionalFormatting sqref="V5:V500">
    <cfRule type="expression" priority="4" dxfId="9">
      <formula>$V5="Unmitigated"</formula>
    </cfRule>
    <cfRule type="expression" priority="5" dxfId="11">
      <formula>$V5="Partially mitigated"</formula>
    </cfRule>
    <cfRule type="expression" priority="6" dxfId="13">
      <formula>$V5="Mitigated"</formula>
    </cfRule>
    <cfRule type="expression" priority="7" dxfId="17">
      <formula>$V5="Not verified"</formula>
    </cfRule>
    <cfRule type="expression" priority="8" dxfId="17">
      <formula>$V5="No applicable controls"</formula>
    </cfRule>
    <cfRule type="expression" priority="9" dxfId="9">
      <formula>$V5="No controls mapped"</formula>
    </cfRule>
  </conditionalFormatting>
  <conditionalFormatting sqref="A5:Z500">
    <cfRule type="expression" priority="10" dxfId="19">
      <formula>$I5="N/A"</formula>
    </cfRule>
  </conditionalFormatting>
  <dataValidations count="3">
    <dataValidation sqref="B5:B500" showDropDown="0" showInputMessage="0" showErrorMessage="1" allowBlank="1" error="Choose one of the listed options." type="list">
      <formula1>LIST_STRIDE</formula1>
    </dataValidation>
    <dataValidation sqref="K5:L500" showDropDown="0" showInputMessage="0" showErrorMessage="1" allowBlank="1" error="Choose one of the listed options." type="list">
      <formula1>LIST_LMH</formula1>
    </dataValidation>
    <dataValidation sqref="Y5:Y500" showDropDown="0" showInputMessage="0" showErrorMessage="1" allowBlank="1" error="Choose one of the listed options." type="list">
      <formula1>LIST_REVIEW_STATUS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30A0"/>
    <outlinePr summaryBelow="1" summaryRight="1"/>
    <pageSetUpPr/>
  </sheetPr>
  <dimension ref="A1:P58"/>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4" customWidth="1" style="19" min="2" max="2"/>
    <col width="14" customWidth="1" style="19" min="3" max="3"/>
    <col width="40" customWidth="1" style="19" min="4" max="4"/>
    <col width="11" customWidth="1" style="19" min="5" max="5"/>
    <col width="12" customWidth="1" style="19" min="6" max="6"/>
    <col width="14" customWidth="1" style="19" min="7" max="7"/>
    <col width="14" customWidth="1" style="19" min="8" max="8"/>
    <col width="11" customWidth="1" style="19" min="9" max="9"/>
    <col width="10" customWidth="1" style="19" min="10" max="10"/>
    <col width="9" customWidth="1" style="19" min="11" max="11"/>
    <col width="26" customWidth="1" style="19" min="12" max="12"/>
    <col width="8" customWidth="1" style="19" min="13" max="13"/>
    <col width="12" customWidth="1" style="19" min="14" max="14"/>
    <col width="8" customWidth="1" style="19" min="15" max="15"/>
    <col width="12" customWidth="1" style="19" min="16" max="16"/>
  </cols>
  <sheetData>
    <row r="1" ht="25.5" customHeight="1" s="19">
      <c r="A1" s="63" t="inlineStr">
        <is>
          <t>Threat-Control Map (catalog — maintained centrally)</t>
        </is>
      </c>
      <c r="B1" s="64" t="n"/>
      <c r="C1" s="64" t="n"/>
      <c r="D1" s="64" t="n"/>
      <c r="E1" s="64" t="n"/>
      <c r="F1" s="64" t="n"/>
      <c r="G1" s="64" t="n"/>
      <c r="H1" s="64" t="n"/>
      <c r="I1" s="64" t="n"/>
      <c r="J1" s="64" t="n"/>
      <c r="K1" s="64" t="n"/>
      <c r="L1" s="64" t="n"/>
      <c r="M1" s="64" t="n"/>
      <c r="N1" s="64" t="n"/>
      <c r="O1" s="64" t="n"/>
      <c r="P1" s="64" t="n"/>
    </row>
    <row r="2" ht="45" customHeight="1" s="19">
      <c r="A2" s="65" t="inlineStr">
        <is>
          <t>One row per link between a threat and a control that mitigates it. Control ID is an ASVS ID from 'ASVS Checklist' or an ID from 'Custom Controls'. Default owner is used when the control's own Remediation Owner (column Q) is blank. Grey columns are calculated; 'Warning' flags links that need attention in this application.</t>
        </is>
      </c>
    </row>
    <row r="4">
      <c r="A4" s="68" t="inlineStr">
        <is>
          <t>Threat ID</t>
        </is>
      </c>
      <c r="B4" s="68" t="inlineStr">
        <is>
          <t>Control ID</t>
        </is>
      </c>
      <c r="C4" s="68" t="inlineStr">
        <is>
          <t>Default owner</t>
        </is>
      </c>
      <c r="D4" s="68" t="inlineStr">
        <is>
          <t>How it mitigates</t>
        </is>
      </c>
      <c r="E4" s="68" t="inlineStr">
        <is>
          <t>Control source</t>
        </is>
      </c>
      <c r="F4" s="68" t="inlineStr">
        <is>
          <t>Control applicable</t>
        </is>
      </c>
      <c r="G4" s="68" t="inlineStr">
        <is>
          <t>Coverage status</t>
        </is>
      </c>
      <c r="H4" s="68" t="inlineStr">
        <is>
          <t>Effective owner</t>
        </is>
      </c>
      <c r="I4" s="68" t="inlineStr">
        <is>
          <t>Threat applies</t>
        </is>
      </c>
      <c r="J4" s="68" t="inlineStr">
        <is>
          <t>Threat risk</t>
        </is>
      </c>
      <c r="K4" s="68" t="inlineStr">
        <is>
          <t>Threat risk score</t>
        </is>
      </c>
      <c r="L4" s="68" t="inlineStr">
        <is>
          <t>Warning</t>
        </is>
      </c>
      <c r="M4" s="68" t="inlineStr">
        <is>
          <t>Source row</t>
        </is>
      </c>
      <c r="N4" s="68" t="inlineStr">
        <is>
          <t>Raw coverage</t>
        </is>
      </c>
      <c r="O4" s="68" t="inlineStr">
        <is>
          <t>Raw level</t>
        </is>
      </c>
      <c r="P4" s="68" t="inlineStr">
        <is>
          <t>Raw owner</t>
        </is>
      </c>
    </row>
    <row r="5" ht="36" customHeight="1" s="19">
      <c r="A5" s="70" t="inlineStr">
        <is>
          <t>TM-S-001</t>
        </is>
      </c>
      <c r="B5" s="70" t="inlineStr">
        <is>
          <t>V6.1.1</t>
        </is>
      </c>
      <c r="C5" s="70" t="inlineStr">
        <is>
          <t>Internal dev</t>
        </is>
      </c>
      <c r="D5" s="70" t="inlineStr">
        <is>
          <t>Documents rate limiting / anti-automation against credential stuffing</t>
        </is>
      </c>
      <c r="E5" s="71">
        <f>IF(ISNUMBER(MATCH(tblThreatControls[[#This Row],[Control ID]],MT_IDS,0)),"ASVS",IF(ISNUMBER(MATCH(tblThreatControls[[#This Row],[Control ID]],CC_IDS,0)),"Custom","NOT FOUND"))</f>
        <v/>
      </c>
      <c r="F5" s="71">
        <f>IF(tblThreatControls[[#This Row],[Control source]]="ASVS",INDEX(MT_APPLICABLE,tblThreatControls[[#This Row],[Source row]])&amp;"",IF(tblThreatControls[[#This Row],[Control source]]="Custom",INDEX(CC_APPLICABLE,tblThreatControls[[#This Row],[Source row]])&amp;"","NOT FOUND"))</f>
        <v/>
      </c>
      <c r="G5" s="71">
        <f>IF(tblThreatControls[[#This Row],[Control applicable]]&lt;&gt;"Applicable","N/A",IF(tblThreatControls[[#This Row],[Raw coverage]]="","Not assessed",tblThreatControls[[#This Row],[Raw coverage]]))</f>
        <v/>
      </c>
      <c r="H5" s="71">
        <f>IF(tblThreatControls[[#This Row],[Raw owner]]="",tblThreatControls[[#This Row],[Default owner]],tblThreatControls[[#This Row],[Raw owner]])</f>
        <v/>
      </c>
      <c r="I5" s="71">
        <f>IFERROR(INDEX(tblThreats[Applies],MATCH(tblThreatControls[[#This Row],[Threat ID]],tblThreats[Threat ID],0)),"NOT FOUND")</f>
        <v/>
      </c>
      <c r="J5" s="71">
        <f>IFERROR(INDEX(tblThreats[Risk],MATCH(tblThreatControls[[#This Row],[Threat ID]],tblThreats[Threat ID],0)),"")</f>
        <v/>
      </c>
      <c r="K5" s="71">
        <f>IF(tblThreatControls[[#This Row],[Threat applies]]="Applies",IFERROR(INDEX(tblThreats[Risk score],MATCH(tblThreatControls[[#This Row],[Threat ID]],tblThreats[Threat ID],0)),0),0)</f>
        <v/>
      </c>
      <c r="L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 s="71">
        <f>IF(tblThreatControls[[#This Row],[Control source]]="ASVS",MATCH(tblThreatControls[[#This Row],[Control ID]],MT_IDS,0),IF(tblThreatControls[[#This Row],[Control source]]="Custom",MATCH(tblThreatControls[[#This Row],[Control ID]],CC_IDS,0),0))</f>
        <v/>
      </c>
      <c r="N5" s="71">
        <f>IF(tblThreatControls[[#This Row],[Control source]]="ASVS",INDEX(MT_COVERAGE,tblThreatControls[[#This Row],[Source row]])&amp;"",IF(tblThreatControls[[#This Row],[Control source]]="Custom",INDEX(CC_COVERAGE,tblThreatControls[[#This Row],[Source row]])&amp;"",""))</f>
        <v/>
      </c>
      <c r="O5" s="71">
        <f>IF(tblThreatControls[[#This Row],[Control source]]="ASVS",INDEX(MT_LEVEL,tblThreatControls[[#This Row],[Source row]]),IF(tblThreatControls[[#This Row],[Control source]]="Custom",INDEX(CC_LEVEL,tblThreatControls[[#This Row],[Source row]]),0))</f>
        <v/>
      </c>
      <c r="P5" s="71">
        <f>IF(tblThreatControls[[#This Row],[Control source]]="ASVS",INDEX(MT_OWNER,tblThreatControls[[#This Row],[Source row]])&amp;"",IF(tblThreatControls[[#This Row],[Control source]]="Custom",INDEX(CC_OWNER,tblThreatControls[[#This Row],[Source row]])&amp;"",""))</f>
        <v/>
      </c>
    </row>
    <row r="6" ht="36" customHeight="1" s="19">
      <c r="A6" s="70" t="inlineStr">
        <is>
          <t>TM-S-001</t>
        </is>
      </c>
      <c r="B6" s="70" t="inlineStr">
        <is>
          <t>V6.3.1</t>
        </is>
      </c>
      <c r="C6" s="70" t="inlineStr">
        <is>
          <t>Internal dev</t>
        </is>
      </c>
      <c r="D6" s="70" t="inlineStr">
        <is>
          <t>Implements the anti-credential-stuffing controls</t>
        </is>
      </c>
      <c r="E6" s="71">
        <f>IF(ISNUMBER(MATCH(tblThreatControls[[#This Row],[Control ID]],MT_IDS,0)),"ASVS",IF(ISNUMBER(MATCH(tblThreatControls[[#This Row],[Control ID]],CC_IDS,0)),"Custom","NOT FOUND"))</f>
        <v/>
      </c>
      <c r="F6" s="71">
        <f>IF(tblThreatControls[[#This Row],[Control source]]="ASVS",INDEX(MT_APPLICABLE,tblThreatControls[[#This Row],[Source row]])&amp;"",IF(tblThreatControls[[#This Row],[Control source]]="Custom",INDEX(CC_APPLICABLE,tblThreatControls[[#This Row],[Source row]])&amp;"","NOT FOUND"))</f>
        <v/>
      </c>
      <c r="G6" s="71">
        <f>IF(tblThreatControls[[#This Row],[Control applicable]]&lt;&gt;"Applicable","N/A",IF(tblThreatControls[[#This Row],[Raw coverage]]="","Not assessed",tblThreatControls[[#This Row],[Raw coverage]]))</f>
        <v/>
      </c>
      <c r="H6" s="71">
        <f>IF(tblThreatControls[[#This Row],[Raw owner]]="",tblThreatControls[[#This Row],[Default owner]],tblThreatControls[[#This Row],[Raw owner]])</f>
        <v/>
      </c>
      <c r="I6" s="71">
        <f>IFERROR(INDEX(tblThreats[Applies],MATCH(tblThreatControls[[#This Row],[Threat ID]],tblThreats[Threat ID],0)),"NOT FOUND")</f>
        <v/>
      </c>
      <c r="J6" s="71">
        <f>IFERROR(INDEX(tblThreats[Risk],MATCH(tblThreatControls[[#This Row],[Threat ID]],tblThreats[Threat ID],0)),"")</f>
        <v/>
      </c>
      <c r="K6" s="71">
        <f>IF(tblThreatControls[[#This Row],[Threat applies]]="Applies",IFERROR(INDEX(tblThreats[Risk score],MATCH(tblThreatControls[[#This Row],[Threat ID]],tblThreats[Threat ID],0)),0),0)</f>
        <v/>
      </c>
      <c r="L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6" s="71">
        <f>IF(tblThreatControls[[#This Row],[Control source]]="ASVS",MATCH(tblThreatControls[[#This Row],[Control ID]],MT_IDS,0),IF(tblThreatControls[[#This Row],[Control source]]="Custom",MATCH(tblThreatControls[[#This Row],[Control ID]],CC_IDS,0),0))</f>
        <v/>
      </c>
      <c r="N6" s="71">
        <f>IF(tblThreatControls[[#This Row],[Control source]]="ASVS",INDEX(MT_COVERAGE,tblThreatControls[[#This Row],[Source row]])&amp;"",IF(tblThreatControls[[#This Row],[Control source]]="Custom",INDEX(CC_COVERAGE,tblThreatControls[[#This Row],[Source row]])&amp;"",""))</f>
        <v/>
      </c>
      <c r="O6" s="71">
        <f>IF(tblThreatControls[[#This Row],[Control source]]="ASVS",INDEX(MT_LEVEL,tblThreatControls[[#This Row],[Source row]]),IF(tblThreatControls[[#This Row],[Control source]]="Custom",INDEX(CC_LEVEL,tblThreatControls[[#This Row],[Source row]]),0))</f>
        <v/>
      </c>
      <c r="P6" s="71">
        <f>IF(tblThreatControls[[#This Row],[Control source]]="ASVS",INDEX(MT_OWNER,tblThreatControls[[#This Row],[Source row]])&amp;"",IF(tblThreatControls[[#This Row],[Control source]]="Custom",INDEX(CC_OWNER,tblThreatControls[[#This Row],[Source row]])&amp;"",""))</f>
        <v/>
      </c>
    </row>
    <row r="7" ht="36" customHeight="1" s="19">
      <c r="A7" s="70" t="inlineStr">
        <is>
          <t>TM-S-001</t>
        </is>
      </c>
      <c r="B7" s="70" t="inlineStr">
        <is>
          <t>V6.3.3</t>
        </is>
      </c>
      <c r="C7" s="70" t="inlineStr">
        <is>
          <t>Configuration</t>
        </is>
      </c>
      <c r="D7" s="70" t="inlineStr">
        <is>
          <t>MFA makes stolen passwords insufficient</t>
        </is>
      </c>
      <c r="E7" s="71">
        <f>IF(ISNUMBER(MATCH(tblThreatControls[[#This Row],[Control ID]],MT_IDS,0)),"ASVS",IF(ISNUMBER(MATCH(tblThreatControls[[#This Row],[Control ID]],CC_IDS,0)),"Custom","NOT FOUND"))</f>
        <v/>
      </c>
      <c r="F7" s="71">
        <f>IF(tblThreatControls[[#This Row],[Control source]]="ASVS",INDEX(MT_APPLICABLE,tblThreatControls[[#This Row],[Source row]])&amp;"",IF(tblThreatControls[[#This Row],[Control source]]="Custom",INDEX(CC_APPLICABLE,tblThreatControls[[#This Row],[Source row]])&amp;"","NOT FOUND"))</f>
        <v/>
      </c>
      <c r="G7" s="71">
        <f>IF(tblThreatControls[[#This Row],[Control applicable]]&lt;&gt;"Applicable","N/A",IF(tblThreatControls[[#This Row],[Raw coverage]]="","Not assessed",tblThreatControls[[#This Row],[Raw coverage]]))</f>
        <v/>
      </c>
      <c r="H7" s="71">
        <f>IF(tblThreatControls[[#This Row],[Raw owner]]="",tblThreatControls[[#This Row],[Default owner]],tblThreatControls[[#This Row],[Raw owner]])</f>
        <v/>
      </c>
      <c r="I7" s="71">
        <f>IFERROR(INDEX(tblThreats[Applies],MATCH(tblThreatControls[[#This Row],[Threat ID]],tblThreats[Threat ID],0)),"NOT FOUND")</f>
        <v/>
      </c>
      <c r="J7" s="71">
        <f>IFERROR(INDEX(tblThreats[Risk],MATCH(tblThreatControls[[#This Row],[Threat ID]],tblThreats[Threat ID],0)),"")</f>
        <v/>
      </c>
      <c r="K7" s="71">
        <f>IF(tblThreatControls[[#This Row],[Threat applies]]="Applies",IFERROR(INDEX(tblThreats[Risk score],MATCH(tblThreatControls[[#This Row],[Threat ID]],tblThreats[Threat ID],0)),0),0)</f>
        <v/>
      </c>
      <c r="L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7" s="71">
        <f>IF(tblThreatControls[[#This Row],[Control source]]="ASVS",MATCH(tblThreatControls[[#This Row],[Control ID]],MT_IDS,0),IF(tblThreatControls[[#This Row],[Control source]]="Custom",MATCH(tblThreatControls[[#This Row],[Control ID]],CC_IDS,0),0))</f>
        <v/>
      </c>
      <c r="N7" s="71">
        <f>IF(tblThreatControls[[#This Row],[Control source]]="ASVS",INDEX(MT_COVERAGE,tblThreatControls[[#This Row],[Source row]])&amp;"",IF(tblThreatControls[[#This Row],[Control source]]="Custom",INDEX(CC_COVERAGE,tblThreatControls[[#This Row],[Source row]])&amp;"",""))</f>
        <v/>
      </c>
      <c r="O7" s="71">
        <f>IF(tblThreatControls[[#This Row],[Control source]]="ASVS",INDEX(MT_LEVEL,tblThreatControls[[#This Row],[Source row]]),IF(tblThreatControls[[#This Row],[Control source]]="Custom",INDEX(CC_LEVEL,tblThreatControls[[#This Row],[Source row]]),0))</f>
        <v/>
      </c>
      <c r="P7" s="71">
        <f>IF(tblThreatControls[[#This Row],[Control source]]="ASVS",INDEX(MT_OWNER,tblThreatControls[[#This Row],[Source row]])&amp;"",IF(tblThreatControls[[#This Row],[Control source]]="Custom",INDEX(CC_OWNER,tblThreatControls[[#This Row],[Source row]])&amp;"",""))</f>
        <v/>
      </c>
    </row>
    <row r="8" ht="36" customHeight="1" s="19">
      <c r="A8" s="70" t="inlineStr">
        <is>
          <t>TM-S-001</t>
        </is>
      </c>
      <c r="B8" s="70" t="inlineStr">
        <is>
          <t>V6.3.8</t>
        </is>
      </c>
      <c r="C8" s="70" t="inlineStr">
        <is>
          <t>Internal dev</t>
        </is>
      </c>
      <c r="D8" s="70" t="inlineStr">
        <is>
          <t>Prevents account enumeration during guessing</t>
        </is>
      </c>
      <c r="E8" s="71">
        <f>IF(ISNUMBER(MATCH(tblThreatControls[[#This Row],[Control ID]],MT_IDS,0)),"ASVS",IF(ISNUMBER(MATCH(tblThreatControls[[#This Row],[Control ID]],CC_IDS,0)),"Custom","NOT FOUND"))</f>
        <v/>
      </c>
      <c r="F8" s="71">
        <f>IF(tblThreatControls[[#This Row],[Control source]]="ASVS",INDEX(MT_APPLICABLE,tblThreatControls[[#This Row],[Source row]])&amp;"",IF(tblThreatControls[[#This Row],[Control source]]="Custom",INDEX(CC_APPLICABLE,tblThreatControls[[#This Row],[Source row]])&amp;"","NOT FOUND"))</f>
        <v/>
      </c>
      <c r="G8" s="71">
        <f>IF(tblThreatControls[[#This Row],[Control applicable]]&lt;&gt;"Applicable","N/A",IF(tblThreatControls[[#This Row],[Raw coverage]]="","Not assessed",tblThreatControls[[#This Row],[Raw coverage]]))</f>
        <v/>
      </c>
      <c r="H8" s="71">
        <f>IF(tblThreatControls[[#This Row],[Raw owner]]="",tblThreatControls[[#This Row],[Default owner]],tblThreatControls[[#This Row],[Raw owner]])</f>
        <v/>
      </c>
      <c r="I8" s="71">
        <f>IFERROR(INDEX(tblThreats[Applies],MATCH(tblThreatControls[[#This Row],[Threat ID]],tblThreats[Threat ID],0)),"NOT FOUND")</f>
        <v/>
      </c>
      <c r="J8" s="71">
        <f>IFERROR(INDEX(tblThreats[Risk],MATCH(tblThreatControls[[#This Row],[Threat ID]],tblThreats[Threat ID],0)),"")</f>
        <v/>
      </c>
      <c r="K8" s="71">
        <f>IF(tblThreatControls[[#This Row],[Threat applies]]="Applies",IFERROR(INDEX(tblThreats[Risk score],MATCH(tblThreatControls[[#This Row],[Threat ID]],tblThreats[Threat ID],0)),0),0)</f>
        <v/>
      </c>
      <c r="L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8" s="71">
        <f>IF(tblThreatControls[[#This Row],[Control source]]="ASVS",MATCH(tblThreatControls[[#This Row],[Control ID]],MT_IDS,0),IF(tblThreatControls[[#This Row],[Control source]]="Custom",MATCH(tblThreatControls[[#This Row],[Control ID]],CC_IDS,0),0))</f>
        <v/>
      </c>
      <c r="N8" s="71">
        <f>IF(tblThreatControls[[#This Row],[Control source]]="ASVS",INDEX(MT_COVERAGE,tblThreatControls[[#This Row],[Source row]])&amp;"",IF(tblThreatControls[[#This Row],[Control source]]="Custom",INDEX(CC_COVERAGE,tblThreatControls[[#This Row],[Source row]])&amp;"",""))</f>
        <v/>
      </c>
      <c r="O8" s="71">
        <f>IF(tblThreatControls[[#This Row],[Control source]]="ASVS",INDEX(MT_LEVEL,tblThreatControls[[#This Row],[Source row]]),IF(tblThreatControls[[#This Row],[Control source]]="Custom",INDEX(CC_LEVEL,tblThreatControls[[#This Row],[Source row]]),0))</f>
        <v/>
      </c>
      <c r="P8" s="71">
        <f>IF(tblThreatControls[[#This Row],[Control source]]="ASVS",INDEX(MT_OWNER,tblThreatControls[[#This Row],[Source row]])&amp;"",IF(tblThreatControls[[#This Row],[Control source]]="Custom",INDEX(CC_OWNER,tblThreatControls[[#This Row],[Source row]])&amp;"",""))</f>
        <v/>
      </c>
    </row>
    <row r="9" ht="36" customHeight="1" s="19">
      <c r="A9" s="70" t="inlineStr">
        <is>
          <t>TM-S-001</t>
        </is>
      </c>
      <c r="B9" s="70" t="inlineStr">
        <is>
          <t>TMX-WAF-001</t>
        </is>
      </c>
      <c r="C9" s="70" t="inlineStr">
        <is>
          <t>Compensating</t>
        </is>
      </c>
      <c r="D9" s="70" t="inlineStr">
        <is>
          <t>Bot and rate protection in front of the login</t>
        </is>
      </c>
      <c r="E9" s="71">
        <f>IF(ISNUMBER(MATCH(tblThreatControls[[#This Row],[Control ID]],MT_IDS,0)),"ASVS",IF(ISNUMBER(MATCH(tblThreatControls[[#This Row],[Control ID]],CC_IDS,0)),"Custom","NOT FOUND"))</f>
        <v/>
      </c>
      <c r="F9" s="71">
        <f>IF(tblThreatControls[[#This Row],[Control source]]="ASVS",INDEX(MT_APPLICABLE,tblThreatControls[[#This Row],[Source row]])&amp;"",IF(tblThreatControls[[#This Row],[Control source]]="Custom",INDEX(CC_APPLICABLE,tblThreatControls[[#This Row],[Source row]])&amp;"","NOT FOUND"))</f>
        <v/>
      </c>
      <c r="G9" s="71">
        <f>IF(tblThreatControls[[#This Row],[Control applicable]]&lt;&gt;"Applicable","N/A",IF(tblThreatControls[[#This Row],[Raw coverage]]="","Not assessed",tblThreatControls[[#This Row],[Raw coverage]]))</f>
        <v/>
      </c>
      <c r="H9" s="71">
        <f>IF(tblThreatControls[[#This Row],[Raw owner]]="",tblThreatControls[[#This Row],[Default owner]],tblThreatControls[[#This Row],[Raw owner]])</f>
        <v/>
      </c>
      <c r="I9" s="71">
        <f>IFERROR(INDEX(tblThreats[Applies],MATCH(tblThreatControls[[#This Row],[Threat ID]],tblThreats[Threat ID],0)),"NOT FOUND")</f>
        <v/>
      </c>
      <c r="J9" s="71">
        <f>IFERROR(INDEX(tblThreats[Risk],MATCH(tblThreatControls[[#This Row],[Threat ID]],tblThreats[Threat ID],0)),"")</f>
        <v/>
      </c>
      <c r="K9" s="71">
        <f>IF(tblThreatControls[[#This Row],[Threat applies]]="Applies",IFERROR(INDEX(tblThreats[Risk score],MATCH(tblThreatControls[[#This Row],[Threat ID]],tblThreats[Threat ID],0)),0),0)</f>
        <v/>
      </c>
      <c r="L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9" s="71">
        <f>IF(tblThreatControls[[#This Row],[Control source]]="ASVS",MATCH(tblThreatControls[[#This Row],[Control ID]],MT_IDS,0),IF(tblThreatControls[[#This Row],[Control source]]="Custom",MATCH(tblThreatControls[[#This Row],[Control ID]],CC_IDS,0),0))</f>
        <v/>
      </c>
      <c r="N9" s="71">
        <f>IF(tblThreatControls[[#This Row],[Control source]]="ASVS",INDEX(MT_COVERAGE,tblThreatControls[[#This Row],[Source row]])&amp;"",IF(tblThreatControls[[#This Row],[Control source]]="Custom",INDEX(CC_COVERAGE,tblThreatControls[[#This Row],[Source row]])&amp;"",""))</f>
        <v/>
      </c>
      <c r="O9" s="71">
        <f>IF(tblThreatControls[[#This Row],[Control source]]="ASVS",INDEX(MT_LEVEL,tblThreatControls[[#This Row],[Source row]]),IF(tblThreatControls[[#This Row],[Control source]]="Custom",INDEX(CC_LEVEL,tblThreatControls[[#This Row],[Source row]]),0))</f>
        <v/>
      </c>
      <c r="P9" s="71">
        <f>IF(tblThreatControls[[#This Row],[Control source]]="ASVS",INDEX(MT_OWNER,tblThreatControls[[#This Row],[Source row]])&amp;"",IF(tblThreatControls[[#This Row],[Control source]]="Custom",INDEX(CC_OWNER,tblThreatControls[[#This Row],[Source row]])&amp;"",""))</f>
        <v/>
      </c>
    </row>
    <row r="10" ht="36" customHeight="1" s="19">
      <c r="A10" s="70" t="inlineStr">
        <is>
          <t>TM-S-002</t>
        </is>
      </c>
      <c r="B10" s="70" t="inlineStr">
        <is>
          <t>V8.4.2</t>
        </is>
      </c>
      <c r="C10" s="70" t="inlineStr">
        <is>
          <t>Configuration</t>
        </is>
      </c>
      <c r="D10" s="70" t="inlineStr">
        <is>
          <t>Multiple layers of security for admin interfaces</t>
        </is>
      </c>
      <c r="E10" s="71">
        <f>IF(ISNUMBER(MATCH(tblThreatControls[[#This Row],[Control ID]],MT_IDS,0)),"ASVS",IF(ISNUMBER(MATCH(tblThreatControls[[#This Row],[Control ID]],CC_IDS,0)),"Custom","NOT FOUND"))</f>
        <v/>
      </c>
      <c r="F10" s="71">
        <f>IF(tblThreatControls[[#This Row],[Control source]]="ASVS",INDEX(MT_APPLICABLE,tblThreatControls[[#This Row],[Source row]])&amp;"",IF(tblThreatControls[[#This Row],[Control source]]="Custom",INDEX(CC_APPLICABLE,tblThreatControls[[#This Row],[Source row]])&amp;"","NOT FOUND"))</f>
        <v/>
      </c>
      <c r="G10" s="71">
        <f>IF(tblThreatControls[[#This Row],[Control applicable]]&lt;&gt;"Applicable","N/A",IF(tblThreatControls[[#This Row],[Raw coverage]]="","Not assessed",tblThreatControls[[#This Row],[Raw coverage]]))</f>
        <v/>
      </c>
      <c r="H10" s="71">
        <f>IF(tblThreatControls[[#This Row],[Raw owner]]="",tblThreatControls[[#This Row],[Default owner]],tblThreatControls[[#This Row],[Raw owner]])</f>
        <v/>
      </c>
      <c r="I10" s="71">
        <f>IFERROR(INDEX(tblThreats[Applies],MATCH(tblThreatControls[[#This Row],[Threat ID]],tblThreats[Threat ID],0)),"NOT FOUND")</f>
        <v/>
      </c>
      <c r="J10" s="71">
        <f>IFERROR(INDEX(tblThreats[Risk],MATCH(tblThreatControls[[#This Row],[Threat ID]],tblThreats[Threat ID],0)),"")</f>
        <v/>
      </c>
      <c r="K10" s="71">
        <f>IF(tblThreatControls[[#This Row],[Threat applies]]="Applies",IFERROR(INDEX(tblThreats[Risk score],MATCH(tblThreatControls[[#This Row],[Threat ID]],tblThreats[Threat ID],0)),0),0)</f>
        <v/>
      </c>
      <c r="L1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0" s="71">
        <f>IF(tblThreatControls[[#This Row],[Control source]]="ASVS",MATCH(tblThreatControls[[#This Row],[Control ID]],MT_IDS,0),IF(tblThreatControls[[#This Row],[Control source]]="Custom",MATCH(tblThreatControls[[#This Row],[Control ID]],CC_IDS,0),0))</f>
        <v/>
      </c>
      <c r="N10" s="71">
        <f>IF(tblThreatControls[[#This Row],[Control source]]="ASVS",INDEX(MT_COVERAGE,tblThreatControls[[#This Row],[Source row]])&amp;"",IF(tblThreatControls[[#This Row],[Control source]]="Custom",INDEX(CC_COVERAGE,tblThreatControls[[#This Row],[Source row]])&amp;"",""))</f>
        <v/>
      </c>
      <c r="O10" s="71">
        <f>IF(tblThreatControls[[#This Row],[Control source]]="ASVS",INDEX(MT_LEVEL,tblThreatControls[[#This Row],[Source row]]),IF(tblThreatControls[[#This Row],[Control source]]="Custom",INDEX(CC_LEVEL,tblThreatControls[[#This Row],[Source row]]),0))</f>
        <v/>
      </c>
      <c r="P10" s="71">
        <f>IF(tblThreatControls[[#This Row],[Control source]]="ASVS",INDEX(MT_OWNER,tblThreatControls[[#This Row],[Source row]])&amp;"",IF(tblThreatControls[[#This Row],[Control source]]="Custom",INDEX(CC_OWNER,tblThreatControls[[#This Row],[Source row]])&amp;"",""))</f>
        <v/>
      </c>
    </row>
    <row r="11" ht="36" customHeight="1" s="19">
      <c r="A11" s="70" t="inlineStr">
        <is>
          <t>TM-S-002</t>
        </is>
      </c>
      <c r="B11" s="70" t="inlineStr">
        <is>
          <t>V6.3.3</t>
        </is>
      </c>
      <c r="C11" s="70" t="inlineStr">
        <is>
          <t>Configuration</t>
        </is>
      </c>
      <c r="D11" s="70" t="inlineStr">
        <is>
          <t>MFA on the admin login</t>
        </is>
      </c>
      <c r="E11" s="71">
        <f>IF(ISNUMBER(MATCH(tblThreatControls[[#This Row],[Control ID]],MT_IDS,0)),"ASVS",IF(ISNUMBER(MATCH(tblThreatControls[[#This Row],[Control ID]],CC_IDS,0)),"Custom","NOT FOUND"))</f>
        <v/>
      </c>
      <c r="F11" s="71">
        <f>IF(tblThreatControls[[#This Row],[Control source]]="ASVS",INDEX(MT_APPLICABLE,tblThreatControls[[#This Row],[Source row]])&amp;"",IF(tblThreatControls[[#This Row],[Control source]]="Custom",INDEX(CC_APPLICABLE,tblThreatControls[[#This Row],[Source row]])&amp;"","NOT FOUND"))</f>
        <v/>
      </c>
      <c r="G11" s="71">
        <f>IF(tblThreatControls[[#This Row],[Control applicable]]&lt;&gt;"Applicable","N/A",IF(tblThreatControls[[#This Row],[Raw coverage]]="","Not assessed",tblThreatControls[[#This Row],[Raw coverage]]))</f>
        <v/>
      </c>
      <c r="H11" s="71">
        <f>IF(tblThreatControls[[#This Row],[Raw owner]]="",tblThreatControls[[#This Row],[Default owner]],tblThreatControls[[#This Row],[Raw owner]])</f>
        <v/>
      </c>
      <c r="I11" s="71">
        <f>IFERROR(INDEX(tblThreats[Applies],MATCH(tblThreatControls[[#This Row],[Threat ID]],tblThreats[Threat ID],0)),"NOT FOUND")</f>
        <v/>
      </c>
      <c r="J11" s="71">
        <f>IFERROR(INDEX(tblThreats[Risk],MATCH(tblThreatControls[[#This Row],[Threat ID]],tblThreats[Threat ID],0)),"")</f>
        <v/>
      </c>
      <c r="K11" s="71">
        <f>IF(tblThreatControls[[#This Row],[Threat applies]]="Applies",IFERROR(INDEX(tblThreats[Risk score],MATCH(tblThreatControls[[#This Row],[Threat ID]],tblThreats[Threat ID],0)),0),0)</f>
        <v/>
      </c>
      <c r="L1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1" s="71">
        <f>IF(tblThreatControls[[#This Row],[Control source]]="ASVS",MATCH(tblThreatControls[[#This Row],[Control ID]],MT_IDS,0),IF(tblThreatControls[[#This Row],[Control source]]="Custom",MATCH(tblThreatControls[[#This Row],[Control ID]],CC_IDS,0),0))</f>
        <v/>
      </c>
      <c r="N11" s="71">
        <f>IF(tblThreatControls[[#This Row],[Control source]]="ASVS",INDEX(MT_COVERAGE,tblThreatControls[[#This Row],[Source row]])&amp;"",IF(tblThreatControls[[#This Row],[Control source]]="Custom",INDEX(CC_COVERAGE,tblThreatControls[[#This Row],[Source row]])&amp;"",""))</f>
        <v/>
      </c>
      <c r="O11" s="71">
        <f>IF(tblThreatControls[[#This Row],[Control source]]="ASVS",INDEX(MT_LEVEL,tblThreatControls[[#This Row],[Source row]]),IF(tblThreatControls[[#This Row],[Control source]]="Custom",INDEX(CC_LEVEL,tblThreatControls[[#This Row],[Source row]]),0))</f>
        <v/>
      </c>
      <c r="P11" s="71">
        <f>IF(tblThreatControls[[#This Row],[Control source]]="ASVS",INDEX(MT_OWNER,tblThreatControls[[#This Row],[Source row]])&amp;"",IF(tblThreatControls[[#This Row],[Control source]]="Custom",INDEX(CC_OWNER,tblThreatControls[[#This Row],[Source row]])&amp;"",""))</f>
        <v/>
      </c>
    </row>
    <row r="12" ht="36" customHeight="1" s="19">
      <c r="A12" s="70" t="inlineStr">
        <is>
          <t>TM-S-002</t>
        </is>
      </c>
      <c r="B12" s="70" t="inlineStr">
        <is>
          <t>V13.4.5</t>
        </is>
      </c>
      <c r="C12" s="70" t="inlineStr">
        <is>
          <t>Configuration</t>
        </is>
      </c>
      <c r="D12" s="70" t="inlineStr">
        <is>
          <t>Management endpoints not exposed unless intended</t>
        </is>
      </c>
      <c r="E12" s="71">
        <f>IF(ISNUMBER(MATCH(tblThreatControls[[#This Row],[Control ID]],MT_IDS,0)),"ASVS",IF(ISNUMBER(MATCH(tblThreatControls[[#This Row],[Control ID]],CC_IDS,0)),"Custom","NOT FOUND"))</f>
        <v/>
      </c>
      <c r="F12" s="71">
        <f>IF(tblThreatControls[[#This Row],[Control source]]="ASVS",INDEX(MT_APPLICABLE,tblThreatControls[[#This Row],[Source row]])&amp;"",IF(tblThreatControls[[#This Row],[Control source]]="Custom",INDEX(CC_APPLICABLE,tblThreatControls[[#This Row],[Source row]])&amp;"","NOT FOUND"))</f>
        <v/>
      </c>
      <c r="G12" s="71">
        <f>IF(tblThreatControls[[#This Row],[Control applicable]]&lt;&gt;"Applicable","N/A",IF(tblThreatControls[[#This Row],[Raw coverage]]="","Not assessed",tblThreatControls[[#This Row],[Raw coverage]]))</f>
        <v/>
      </c>
      <c r="H12" s="71">
        <f>IF(tblThreatControls[[#This Row],[Raw owner]]="",tblThreatControls[[#This Row],[Default owner]],tblThreatControls[[#This Row],[Raw owner]])</f>
        <v/>
      </c>
      <c r="I12" s="71">
        <f>IFERROR(INDEX(tblThreats[Applies],MATCH(tblThreatControls[[#This Row],[Threat ID]],tblThreats[Threat ID],0)),"NOT FOUND")</f>
        <v/>
      </c>
      <c r="J12" s="71">
        <f>IFERROR(INDEX(tblThreats[Risk],MATCH(tblThreatControls[[#This Row],[Threat ID]],tblThreats[Threat ID],0)),"")</f>
        <v/>
      </c>
      <c r="K12" s="71">
        <f>IF(tblThreatControls[[#This Row],[Threat applies]]="Applies",IFERROR(INDEX(tblThreats[Risk score],MATCH(tblThreatControls[[#This Row],[Threat ID]],tblThreats[Threat ID],0)),0),0)</f>
        <v/>
      </c>
      <c r="L1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2" s="71">
        <f>IF(tblThreatControls[[#This Row],[Control source]]="ASVS",MATCH(tblThreatControls[[#This Row],[Control ID]],MT_IDS,0),IF(tblThreatControls[[#This Row],[Control source]]="Custom",MATCH(tblThreatControls[[#This Row],[Control ID]],CC_IDS,0),0))</f>
        <v/>
      </c>
      <c r="N12" s="71">
        <f>IF(tblThreatControls[[#This Row],[Control source]]="ASVS",INDEX(MT_COVERAGE,tblThreatControls[[#This Row],[Source row]])&amp;"",IF(tblThreatControls[[#This Row],[Control source]]="Custom",INDEX(CC_COVERAGE,tblThreatControls[[#This Row],[Source row]])&amp;"",""))</f>
        <v/>
      </c>
      <c r="O12" s="71">
        <f>IF(tblThreatControls[[#This Row],[Control source]]="ASVS",INDEX(MT_LEVEL,tblThreatControls[[#This Row],[Source row]]),IF(tblThreatControls[[#This Row],[Control source]]="Custom",INDEX(CC_LEVEL,tblThreatControls[[#This Row],[Source row]]),0))</f>
        <v/>
      </c>
      <c r="P12" s="71">
        <f>IF(tblThreatControls[[#This Row],[Control source]]="ASVS",INDEX(MT_OWNER,tblThreatControls[[#This Row],[Source row]])&amp;"",IF(tblThreatControls[[#This Row],[Control source]]="Custom",INDEX(CC_OWNER,tblThreatControls[[#This Row],[Source row]])&amp;"",""))</f>
        <v/>
      </c>
    </row>
    <row r="13" ht="36" customHeight="1" s="19">
      <c r="A13" s="70" t="inlineStr">
        <is>
          <t>TM-S-003</t>
        </is>
      </c>
      <c r="B13" s="70" t="inlineStr">
        <is>
          <t>V6.3.2</t>
        </is>
      </c>
      <c r="C13" s="70" t="inlineStr">
        <is>
          <t>Configuration</t>
        </is>
      </c>
      <c r="D13" s="70" t="inlineStr">
        <is>
          <t>Default accounts removed or disabled</t>
        </is>
      </c>
      <c r="E13" s="71">
        <f>IF(ISNUMBER(MATCH(tblThreatControls[[#This Row],[Control ID]],MT_IDS,0)),"ASVS",IF(ISNUMBER(MATCH(tblThreatControls[[#This Row],[Control ID]],CC_IDS,0)),"Custom","NOT FOUND"))</f>
        <v/>
      </c>
      <c r="F13" s="71">
        <f>IF(tblThreatControls[[#This Row],[Control source]]="ASVS",INDEX(MT_APPLICABLE,tblThreatControls[[#This Row],[Source row]])&amp;"",IF(tblThreatControls[[#This Row],[Control source]]="Custom",INDEX(CC_APPLICABLE,tblThreatControls[[#This Row],[Source row]])&amp;"","NOT FOUND"))</f>
        <v/>
      </c>
      <c r="G13" s="71">
        <f>IF(tblThreatControls[[#This Row],[Control applicable]]&lt;&gt;"Applicable","N/A",IF(tblThreatControls[[#This Row],[Raw coverage]]="","Not assessed",tblThreatControls[[#This Row],[Raw coverage]]))</f>
        <v/>
      </c>
      <c r="H13" s="71">
        <f>IF(tblThreatControls[[#This Row],[Raw owner]]="",tblThreatControls[[#This Row],[Default owner]],tblThreatControls[[#This Row],[Raw owner]])</f>
        <v/>
      </c>
      <c r="I13" s="71">
        <f>IFERROR(INDEX(tblThreats[Applies],MATCH(tblThreatControls[[#This Row],[Threat ID]],tblThreats[Threat ID],0)),"NOT FOUND")</f>
        <v/>
      </c>
      <c r="J13" s="71">
        <f>IFERROR(INDEX(tblThreats[Risk],MATCH(tblThreatControls[[#This Row],[Threat ID]],tblThreats[Threat ID],0)),"")</f>
        <v/>
      </c>
      <c r="K13" s="71">
        <f>IF(tblThreatControls[[#This Row],[Threat applies]]="Applies",IFERROR(INDEX(tblThreats[Risk score],MATCH(tblThreatControls[[#This Row],[Threat ID]],tblThreats[Threat ID],0)),0),0)</f>
        <v/>
      </c>
      <c r="L1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3" s="71">
        <f>IF(tblThreatControls[[#This Row],[Control source]]="ASVS",MATCH(tblThreatControls[[#This Row],[Control ID]],MT_IDS,0),IF(tblThreatControls[[#This Row],[Control source]]="Custom",MATCH(tblThreatControls[[#This Row],[Control ID]],CC_IDS,0),0))</f>
        <v/>
      </c>
      <c r="N13" s="71">
        <f>IF(tblThreatControls[[#This Row],[Control source]]="ASVS",INDEX(MT_COVERAGE,tblThreatControls[[#This Row],[Source row]])&amp;"",IF(tblThreatControls[[#This Row],[Control source]]="Custom",INDEX(CC_COVERAGE,tblThreatControls[[#This Row],[Source row]])&amp;"",""))</f>
        <v/>
      </c>
      <c r="O13" s="71">
        <f>IF(tblThreatControls[[#This Row],[Control source]]="ASVS",INDEX(MT_LEVEL,tblThreatControls[[#This Row],[Source row]]),IF(tblThreatControls[[#This Row],[Control source]]="Custom",INDEX(CC_LEVEL,tblThreatControls[[#This Row],[Source row]]),0))</f>
        <v/>
      </c>
      <c r="P13" s="71">
        <f>IF(tblThreatControls[[#This Row],[Control source]]="ASVS",INDEX(MT_OWNER,tblThreatControls[[#This Row],[Source row]])&amp;"",IF(tblThreatControls[[#This Row],[Control source]]="Custom",INDEX(CC_OWNER,tblThreatControls[[#This Row],[Source row]])&amp;"",""))</f>
        <v/>
      </c>
    </row>
    <row r="14" ht="36" customHeight="1" s="19">
      <c r="A14" s="70" t="inlineStr">
        <is>
          <t>TM-S-003</t>
        </is>
      </c>
      <c r="B14" s="70" t="inlineStr">
        <is>
          <t>V13.2.3</t>
        </is>
      </c>
      <c r="C14" s="70" t="inlineStr">
        <is>
          <t>Configuration</t>
        </is>
      </c>
      <c r="D14" s="70" t="inlineStr">
        <is>
          <t>No default credentials for service accounts</t>
        </is>
      </c>
      <c r="E14" s="71">
        <f>IF(ISNUMBER(MATCH(tblThreatControls[[#This Row],[Control ID]],MT_IDS,0)),"ASVS",IF(ISNUMBER(MATCH(tblThreatControls[[#This Row],[Control ID]],CC_IDS,0)),"Custom","NOT FOUND"))</f>
        <v/>
      </c>
      <c r="F14" s="71">
        <f>IF(tblThreatControls[[#This Row],[Control source]]="ASVS",INDEX(MT_APPLICABLE,tblThreatControls[[#This Row],[Source row]])&amp;"",IF(tblThreatControls[[#This Row],[Control source]]="Custom",INDEX(CC_APPLICABLE,tblThreatControls[[#This Row],[Source row]])&amp;"","NOT FOUND"))</f>
        <v/>
      </c>
      <c r="G14" s="71">
        <f>IF(tblThreatControls[[#This Row],[Control applicable]]&lt;&gt;"Applicable","N/A",IF(tblThreatControls[[#This Row],[Raw coverage]]="","Not assessed",tblThreatControls[[#This Row],[Raw coverage]]))</f>
        <v/>
      </c>
      <c r="H14" s="71">
        <f>IF(tblThreatControls[[#This Row],[Raw owner]]="",tblThreatControls[[#This Row],[Default owner]],tblThreatControls[[#This Row],[Raw owner]])</f>
        <v/>
      </c>
      <c r="I14" s="71">
        <f>IFERROR(INDEX(tblThreats[Applies],MATCH(tblThreatControls[[#This Row],[Threat ID]],tblThreats[Threat ID],0)),"NOT FOUND")</f>
        <v/>
      </c>
      <c r="J14" s="71">
        <f>IFERROR(INDEX(tblThreats[Risk],MATCH(tblThreatControls[[#This Row],[Threat ID]],tblThreats[Threat ID],0)),"")</f>
        <v/>
      </c>
      <c r="K14" s="71">
        <f>IF(tblThreatControls[[#This Row],[Threat applies]]="Applies",IFERROR(INDEX(tblThreats[Risk score],MATCH(tblThreatControls[[#This Row],[Threat ID]],tblThreats[Threat ID],0)),0),0)</f>
        <v/>
      </c>
      <c r="L1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4" s="71">
        <f>IF(tblThreatControls[[#This Row],[Control source]]="ASVS",MATCH(tblThreatControls[[#This Row],[Control ID]],MT_IDS,0),IF(tblThreatControls[[#This Row],[Control source]]="Custom",MATCH(tblThreatControls[[#This Row],[Control ID]],CC_IDS,0),0))</f>
        <v/>
      </c>
      <c r="N14" s="71">
        <f>IF(tblThreatControls[[#This Row],[Control source]]="ASVS",INDEX(MT_COVERAGE,tblThreatControls[[#This Row],[Source row]])&amp;"",IF(tblThreatControls[[#This Row],[Control source]]="Custom",INDEX(CC_COVERAGE,tblThreatControls[[#This Row],[Source row]])&amp;"",""))</f>
        <v/>
      </c>
      <c r="O14" s="71">
        <f>IF(tblThreatControls[[#This Row],[Control source]]="ASVS",INDEX(MT_LEVEL,tblThreatControls[[#This Row],[Source row]]),IF(tblThreatControls[[#This Row],[Control source]]="Custom",INDEX(CC_LEVEL,tblThreatControls[[#This Row],[Source row]]),0))</f>
        <v/>
      </c>
      <c r="P14" s="71">
        <f>IF(tblThreatControls[[#This Row],[Control source]]="ASVS",INDEX(MT_OWNER,tblThreatControls[[#This Row],[Source row]])&amp;"",IF(tblThreatControls[[#This Row],[Control source]]="Custom",INDEX(CC_OWNER,tblThreatControls[[#This Row],[Source row]])&amp;"",""))</f>
        <v/>
      </c>
    </row>
    <row r="15" ht="36" customHeight="1" s="19">
      <c r="A15" s="70" t="inlineStr">
        <is>
          <t>TM-S-004</t>
        </is>
      </c>
      <c r="B15" s="70" t="inlineStr">
        <is>
          <t>V8.2.1</t>
        </is>
      </c>
      <c r="C15" s="70" t="inlineStr">
        <is>
          <t>Internal dev</t>
        </is>
      </c>
      <c r="D15" s="70" t="inlineStr">
        <is>
          <t>Function-level access only with explicit permissions</t>
        </is>
      </c>
      <c r="E15" s="71">
        <f>IF(ISNUMBER(MATCH(tblThreatControls[[#This Row],[Control ID]],MT_IDS,0)),"ASVS",IF(ISNUMBER(MATCH(tblThreatControls[[#This Row],[Control ID]],CC_IDS,0)),"Custom","NOT FOUND"))</f>
        <v/>
      </c>
      <c r="F15" s="71">
        <f>IF(tblThreatControls[[#This Row],[Control source]]="ASVS",INDEX(MT_APPLICABLE,tblThreatControls[[#This Row],[Source row]])&amp;"",IF(tblThreatControls[[#This Row],[Control source]]="Custom",INDEX(CC_APPLICABLE,tblThreatControls[[#This Row],[Source row]])&amp;"","NOT FOUND"))</f>
        <v/>
      </c>
      <c r="G15" s="71">
        <f>IF(tblThreatControls[[#This Row],[Control applicable]]&lt;&gt;"Applicable","N/A",IF(tblThreatControls[[#This Row],[Raw coverage]]="","Not assessed",tblThreatControls[[#This Row],[Raw coverage]]))</f>
        <v/>
      </c>
      <c r="H15" s="71">
        <f>IF(tblThreatControls[[#This Row],[Raw owner]]="",tblThreatControls[[#This Row],[Default owner]],tblThreatControls[[#This Row],[Raw owner]])</f>
        <v/>
      </c>
      <c r="I15" s="71">
        <f>IFERROR(INDEX(tblThreats[Applies],MATCH(tblThreatControls[[#This Row],[Threat ID]],tblThreats[Threat ID],0)),"NOT FOUND")</f>
        <v/>
      </c>
      <c r="J15" s="71">
        <f>IFERROR(INDEX(tblThreats[Risk],MATCH(tblThreatControls[[#This Row],[Threat ID]],tblThreats[Threat ID],0)),"")</f>
        <v/>
      </c>
      <c r="K15" s="71">
        <f>IF(tblThreatControls[[#This Row],[Threat applies]]="Applies",IFERROR(INDEX(tblThreats[Risk score],MATCH(tblThreatControls[[#This Row],[Threat ID]],tblThreats[Threat ID],0)),0),0)</f>
        <v/>
      </c>
      <c r="L1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5" s="71">
        <f>IF(tblThreatControls[[#This Row],[Control source]]="ASVS",MATCH(tblThreatControls[[#This Row],[Control ID]],MT_IDS,0),IF(tblThreatControls[[#This Row],[Control source]]="Custom",MATCH(tblThreatControls[[#This Row],[Control ID]],CC_IDS,0),0))</f>
        <v/>
      </c>
      <c r="N15" s="71">
        <f>IF(tblThreatControls[[#This Row],[Control source]]="ASVS",INDEX(MT_COVERAGE,tblThreatControls[[#This Row],[Source row]])&amp;"",IF(tblThreatControls[[#This Row],[Control source]]="Custom",INDEX(CC_COVERAGE,tblThreatControls[[#This Row],[Source row]])&amp;"",""))</f>
        <v/>
      </c>
      <c r="O15" s="71">
        <f>IF(tblThreatControls[[#This Row],[Control source]]="ASVS",INDEX(MT_LEVEL,tblThreatControls[[#This Row],[Source row]]),IF(tblThreatControls[[#This Row],[Control source]]="Custom",INDEX(CC_LEVEL,tblThreatControls[[#This Row],[Source row]]),0))</f>
        <v/>
      </c>
      <c r="P15" s="71">
        <f>IF(tblThreatControls[[#This Row],[Control source]]="ASVS",INDEX(MT_OWNER,tblThreatControls[[#This Row],[Source row]])&amp;"",IF(tblThreatControls[[#This Row],[Control source]]="Custom",INDEX(CC_OWNER,tblThreatControls[[#This Row],[Source row]])&amp;"",""))</f>
        <v/>
      </c>
    </row>
    <row r="16" ht="36" customHeight="1" s="19">
      <c r="A16" s="70" t="inlineStr">
        <is>
          <t>TM-S-004</t>
        </is>
      </c>
      <c r="B16" s="70" t="inlineStr">
        <is>
          <t>V13.2.1</t>
        </is>
      </c>
      <c r="C16" s="70" t="inlineStr">
        <is>
          <t>Internal dev</t>
        </is>
      </c>
      <c r="D16" s="70" t="inlineStr">
        <is>
          <t>Individual, strong service authentication</t>
        </is>
      </c>
      <c r="E16" s="71">
        <f>IF(ISNUMBER(MATCH(tblThreatControls[[#This Row],[Control ID]],MT_IDS,0)),"ASVS",IF(ISNUMBER(MATCH(tblThreatControls[[#This Row],[Control ID]],CC_IDS,0)),"Custom","NOT FOUND"))</f>
        <v/>
      </c>
      <c r="F16" s="71">
        <f>IF(tblThreatControls[[#This Row],[Control source]]="ASVS",INDEX(MT_APPLICABLE,tblThreatControls[[#This Row],[Source row]])&amp;"",IF(tblThreatControls[[#This Row],[Control source]]="Custom",INDEX(CC_APPLICABLE,tblThreatControls[[#This Row],[Source row]])&amp;"","NOT FOUND"))</f>
        <v/>
      </c>
      <c r="G16" s="71">
        <f>IF(tblThreatControls[[#This Row],[Control applicable]]&lt;&gt;"Applicable","N/A",IF(tblThreatControls[[#This Row],[Raw coverage]]="","Not assessed",tblThreatControls[[#This Row],[Raw coverage]]))</f>
        <v/>
      </c>
      <c r="H16" s="71">
        <f>IF(tblThreatControls[[#This Row],[Raw owner]]="",tblThreatControls[[#This Row],[Default owner]],tblThreatControls[[#This Row],[Raw owner]])</f>
        <v/>
      </c>
      <c r="I16" s="71">
        <f>IFERROR(INDEX(tblThreats[Applies],MATCH(tblThreatControls[[#This Row],[Threat ID]],tblThreats[Threat ID],0)),"NOT FOUND")</f>
        <v/>
      </c>
      <c r="J16" s="71">
        <f>IFERROR(INDEX(tblThreats[Risk],MATCH(tblThreatControls[[#This Row],[Threat ID]],tblThreats[Threat ID],0)),"")</f>
        <v/>
      </c>
      <c r="K16" s="71">
        <f>IF(tblThreatControls[[#This Row],[Threat applies]]="Applies",IFERROR(INDEX(tblThreats[Risk score],MATCH(tblThreatControls[[#This Row],[Threat ID]],tblThreats[Threat ID],0)),0),0)</f>
        <v/>
      </c>
      <c r="L1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6" s="71">
        <f>IF(tblThreatControls[[#This Row],[Control source]]="ASVS",MATCH(tblThreatControls[[#This Row],[Control ID]],MT_IDS,0),IF(tblThreatControls[[#This Row],[Control source]]="Custom",MATCH(tblThreatControls[[#This Row],[Control ID]],CC_IDS,0),0))</f>
        <v/>
      </c>
      <c r="N16" s="71">
        <f>IF(tblThreatControls[[#This Row],[Control source]]="ASVS",INDEX(MT_COVERAGE,tblThreatControls[[#This Row],[Source row]])&amp;"",IF(tblThreatControls[[#This Row],[Control source]]="Custom",INDEX(CC_COVERAGE,tblThreatControls[[#This Row],[Source row]])&amp;"",""))</f>
        <v/>
      </c>
      <c r="O16" s="71">
        <f>IF(tblThreatControls[[#This Row],[Control source]]="ASVS",INDEX(MT_LEVEL,tblThreatControls[[#This Row],[Source row]]),IF(tblThreatControls[[#This Row],[Control source]]="Custom",INDEX(CC_LEVEL,tblThreatControls[[#This Row],[Source row]]),0))</f>
        <v/>
      </c>
      <c r="P16" s="71">
        <f>IF(tblThreatControls[[#This Row],[Control source]]="ASVS",INDEX(MT_OWNER,tblThreatControls[[#This Row],[Source row]])&amp;"",IF(tblThreatControls[[#This Row],[Control source]]="Custom",INDEX(CC_OWNER,tblThreatControls[[#This Row],[Source row]])&amp;"",""))</f>
        <v/>
      </c>
    </row>
    <row r="17" ht="36" customHeight="1" s="19">
      <c r="A17" s="70" t="inlineStr">
        <is>
          <t>TM-S-004</t>
        </is>
      </c>
      <c r="B17" s="70" t="inlineStr">
        <is>
          <t>V13.3.1</t>
        </is>
      </c>
      <c r="C17" s="70" t="inlineStr">
        <is>
          <t>Configuration</t>
        </is>
      </c>
      <c r="D17" s="70" t="inlineStr">
        <is>
          <t>API secrets kept in a secrets manager</t>
        </is>
      </c>
      <c r="E17" s="71">
        <f>IF(ISNUMBER(MATCH(tblThreatControls[[#This Row],[Control ID]],MT_IDS,0)),"ASVS",IF(ISNUMBER(MATCH(tblThreatControls[[#This Row],[Control ID]],CC_IDS,0)),"Custom","NOT FOUND"))</f>
        <v/>
      </c>
      <c r="F17" s="71">
        <f>IF(tblThreatControls[[#This Row],[Control source]]="ASVS",INDEX(MT_APPLICABLE,tblThreatControls[[#This Row],[Source row]])&amp;"",IF(tblThreatControls[[#This Row],[Control source]]="Custom",INDEX(CC_APPLICABLE,tblThreatControls[[#This Row],[Source row]])&amp;"","NOT FOUND"))</f>
        <v/>
      </c>
      <c r="G17" s="71">
        <f>IF(tblThreatControls[[#This Row],[Control applicable]]&lt;&gt;"Applicable","N/A",IF(tblThreatControls[[#This Row],[Raw coverage]]="","Not assessed",tblThreatControls[[#This Row],[Raw coverage]]))</f>
        <v/>
      </c>
      <c r="H17" s="71">
        <f>IF(tblThreatControls[[#This Row],[Raw owner]]="",tblThreatControls[[#This Row],[Default owner]],tblThreatControls[[#This Row],[Raw owner]])</f>
        <v/>
      </c>
      <c r="I17" s="71">
        <f>IFERROR(INDEX(tblThreats[Applies],MATCH(tblThreatControls[[#This Row],[Threat ID]],tblThreats[Threat ID],0)),"NOT FOUND")</f>
        <v/>
      </c>
      <c r="J17" s="71">
        <f>IFERROR(INDEX(tblThreats[Risk],MATCH(tblThreatControls[[#This Row],[Threat ID]],tblThreats[Threat ID],0)),"")</f>
        <v/>
      </c>
      <c r="K17" s="71">
        <f>IF(tblThreatControls[[#This Row],[Threat applies]]="Applies",IFERROR(INDEX(tblThreats[Risk score],MATCH(tblThreatControls[[#This Row],[Threat ID]],tblThreats[Threat ID],0)),0),0)</f>
        <v/>
      </c>
      <c r="L1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7" s="71">
        <f>IF(tblThreatControls[[#This Row],[Control source]]="ASVS",MATCH(tblThreatControls[[#This Row],[Control ID]],MT_IDS,0),IF(tblThreatControls[[#This Row],[Control source]]="Custom",MATCH(tblThreatControls[[#This Row],[Control ID]],CC_IDS,0),0))</f>
        <v/>
      </c>
      <c r="N17" s="71">
        <f>IF(tblThreatControls[[#This Row],[Control source]]="ASVS",INDEX(MT_COVERAGE,tblThreatControls[[#This Row],[Source row]])&amp;"",IF(tblThreatControls[[#This Row],[Control source]]="Custom",INDEX(CC_COVERAGE,tblThreatControls[[#This Row],[Source row]])&amp;"",""))</f>
        <v/>
      </c>
      <c r="O17" s="71">
        <f>IF(tblThreatControls[[#This Row],[Control source]]="ASVS",INDEX(MT_LEVEL,tblThreatControls[[#This Row],[Source row]]),IF(tblThreatControls[[#This Row],[Control source]]="Custom",INDEX(CC_LEVEL,tblThreatControls[[#This Row],[Source row]]),0))</f>
        <v/>
      </c>
      <c r="P17" s="71">
        <f>IF(tblThreatControls[[#This Row],[Control source]]="ASVS",INDEX(MT_OWNER,tblThreatControls[[#This Row],[Source row]])&amp;"",IF(tblThreatControls[[#This Row],[Control source]]="Custom",INDEX(CC_OWNER,tblThreatControls[[#This Row],[Source row]])&amp;"",""))</f>
        <v/>
      </c>
    </row>
    <row r="18" ht="36" customHeight="1" s="19">
      <c r="A18" s="70" t="inlineStr">
        <is>
          <t>TM-T-001</t>
        </is>
      </c>
      <c r="B18" s="70" t="inlineStr">
        <is>
          <t>V12.3.1</t>
        </is>
      </c>
      <c r="C18" s="70" t="inlineStr">
        <is>
          <t>Configuration</t>
        </is>
      </c>
      <c r="D18" s="70" t="inlineStr">
        <is>
          <t>Encrypted transport for the exchange</t>
        </is>
      </c>
      <c r="E18" s="71">
        <f>IF(ISNUMBER(MATCH(tblThreatControls[[#This Row],[Control ID]],MT_IDS,0)),"ASVS",IF(ISNUMBER(MATCH(tblThreatControls[[#This Row],[Control ID]],CC_IDS,0)),"Custom","NOT FOUND"))</f>
        <v/>
      </c>
      <c r="F18" s="71">
        <f>IF(tblThreatControls[[#This Row],[Control source]]="ASVS",INDEX(MT_APPLICABLE,tblThreatControls[[#This Row],[Source row]])&amp;"",IF(tblThreatControls[[#This Row],[Control source]]="Custom",INDEX(CC_APPLICABLE,tblThreatControls[[#This Row],[Source row]])&amp;"","NOT FOUND"))</f>
        <v/>
      </c>
      <c r="G18" s="71">
        <f>IF(tblThreatControls[[#This Row],[Control applicable]]&lt;&gt;"Applicable","N/A",IF(tblThreatControls[[#This Row],[Raw coverage]]="","Not assessed",tblThreatControls[[#This Row],[Raw coverage]]))</f>
        <v/>
      </c>
      <c r="H18" s="71">
        <f>IF(tblThreatControls[[#This Row],[Raw owner]]="",tblThreatControls[[#This Row],[Default owner]],tblThreatControls[[#This Row],[Raw owner]])</f>
        <v/>
      </c>
      <c r="I18" s="71">
        <f>IFERROR(INDEX(tblThreats[Applies],MATCH(tblThreatControls[[#This Row],[Threat ID]],tblThreats[Threat ID],0)),"NOT FOUND")</f>
        <v/>
      </c>
      <c r="J18" s="71">
        <f>IFERROR(INDEX(tblThreats[Risk],MATCH(tblThreatControls[[#This Row],[Threat ID]],tblThreats[Threat ID],0)),"")</f>
        <v/>
      </c>
      <c r="K18" s="71">
        <f>IF(tblThreatControls[[#This Row],[Threat applies]]="Applies",IFERROR(INDEX(tblThreats[Risk score],MATCH(tblThreatControls[[#This Row],[Threat ID]],tblThreats[Threat ID],0)),0),0)</f>
        <v/>
      </c>
      <c r="L1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8" s="71">
        <f>IF(tblThreatControls[[#This Row],[Control source]]="ASVS",MATCH(tblThreatControls[[#This Row],[Control ID]],MT_IDS,0),IF(tblThreatControls[[#This Row],[Control source]]="Custom",MATCH(tblThreatControls[[#This Row],[Control ID]],CC_IDS,0),0))</f>
        <v/>
      </c>
      <c r="N18" s="71">
        <f>IF(tblThreatControls[[#This Row],[Control source]]="ASVS",INDEX(MT_COVERAGE,tblThreatControls[[#This Row],[Source row]])&amp;"",IF(tblThreatControls[[#This Row],[Control source]]="Custom",INDEX(CC_COVERAGE,tblThreatControls[[#This Row],[Source row]])&amp;"",""))</f>
        <v/>
      </c>
      <c r="O18" s="71">
        <f>IF(tblThreatControls[[#This Row],[Control source]]="ASVS",INDEX(MT_LEVEL,tblThreatControls[[#This Row],[Source row]]),IF(tblThreatControls[[#This Row],[Control source]]="Custom",INDEX(CC_LEVEL,tblThreatControls[[#This Row],[Source row]]),0))</f>
        <v/>
      </c>
      <c r="P18" s="71">
        <f>IF(tblThreatControls[[#This Row],[Control source]]="ASVS",INDEX(MT_OWNER,tblThreatControls[[#This Row],[Source row]])&amp;"",IF(tblThreatControls[[#This Row],[Control source]]="Custom",INDEX(CC_OWNER,tblThreatControls[[#This Row],[Source row]])&amp;"",""))</f>
        <v/>
      </c>
    </row>
    <row r="19" ht="36" customHeight="1" s="19">
      <c r="A19" s="70" t="inlineStr">
        <is>
          <t>TM-T-001</t>
        </is>
      </c>
      <c r="B19" s="70" t="inlineStr">
        <is>
          <t>V13.2.2</t>
        </is>
      </c>
      <c r="C19" s="70" t="inlineStr">
        <is>
          <t>Configuration</t>
        </is>
      </c>
      <c r="D19" s="70" t="inlineStr">
        <is>
          <t>Least-privilege accounts on the exchange location</t>
        </is>
      </c>
      <c r="E19" s="71">
        <f>IF(ISNUMBER(MATCH(tblThreatControls[[#This Row],[Control ID]],MT_IDS,0)),"ASVS",IF(ISNUMBER(MATCH(tblThreatControls[[#This Row],[Control ID]],CC_IDS,0)),"Custom","NOT FOUND"))</f>
        <v/>
      </c>
      <c r="F19" s="71">
        <f>IF(tblThreatControls[[#This Row],[Control source]]="ASVS",INDEX(MT_APPLICABLE,tblThreatControls[[#This Row],[Source row]])&amp;"",IF(tblThreatControls[[#This Row],[Control source]]="Custom",INDEX(CC_APPLICABLE,tblThreatControls[[#This Row],[Source row]])&amp;"","NOT FOUND"))</f>
        <v/>
      </c>
      <c r="G19" s="71">
        <f>IF(tblThreatControls[[#This Row],[Control applicable]]&lt;&gt;"Applicable","N/A",IF(tblThreatControls[[#This Row],[Raw coverage]]="","Not assessed",tblThreatControls[[#This Row],[Raw coverage]]))</f>
        <v/>
      </c>
      <c r="H19" s="71">
        <f>IF(tblThreatControls[[#This Row],[Raw owner]]="",tblThreatControls[[#This Row],[Default owner]],tblThreatControls[[#This Row],[Raw owner]])</f>
        <v/>
      </c>
      <c r="I19" s="71">
        <f>IFERROR(INDEX(tblThreats[Applies],MATCH(tblThreatControls[[#This Row],[Threat ID]],tblThreats[Threat ID],0)),"NOT FOUND")</f>
        <v/>
      </c>
      <c r="J19" s="71">
        <f>IFERROR(INDEX(tblThreats[Risk],MATCH(tblThreatControls[[#This Row],[Threat ID]],tblThreats[Threat ID],0)),"")</f>
        <v/>
      </c>
      <c r="K19" s="71">
        <f>IF(tblThreatControls[[#This Row],[Threat applies]]="Applies",IFERROR(INDEX(tblThreats[Risk score],MATCH(tblThreatControls[[#This Row],[Threat ID]],tblThreats[Threat ID],0)),0),0)</f>
        <v/>
      </c>
      <c r="L1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9" s="71">
        <f>IF(tblThreatControls[[#This Row],[Control source]]="ASVS",MATCH(tblThreatControls[[#This Row],[Control ID]],MT_IDS,0),IF(tblThreatControls[[#This Row],[Control source]]="Custom",MATCH(tblThreatControls[[#This Row],[Control ID]],CC_IDS,0),0))</f>
        <v/>
      </c>
      <c r="N19" s="71">
        <f>IF(tblThreatControls[[#This Row],[Control source]]="ASVS",INDEX(MT_COVERAGE,tblThreatControls[[#This Row],[Source row]])&amp;"",IF(tblThreatControls[[#This Row],[Control source]]="Custom",INDEX(CC_COVERAGE,tblThreatControls[[#This Row],[Source row]])&amp;"",""))</f>
        <v/>
      </c>
      <c r="O19" s="71">
        <f>IF(tblThreatControls[[#This Row],[Control source]]="ASVS",INDEX(MT_LEVEL,tblThreatControls[[#This Row],[Source row]]),IF(tblThreatControls[[#This Row],[Control source]]="Custom",INDEX(CC_LEVEL,tblThreatControls[[#This Row],[Source row]]),0))</f>
        <v/>
      </c>
      <c r="P19" s="71">
        <f>IF(tblThreatControls[[#This Row],[Control source]]="ASVS",INDEX(MT_OWNER,tblThreatControls[[#This Row],[Source row]])&amp;"",IF(tblThreatControls[[#This Row],[Control source]]="Custom",INDEX(CC_OWNER,tblThreatControls[[#This Row],[Source row]])&amp;"",""))</f>
        <v/>
      </c>
    </row>
    <row r="20" ht="36" customHeight="1" s="19">
      <c r="A20" s="70" t="inlineStr">
        <is>
          <t>TM-T-001</t>
        </is>
      </c>
      <c r="B20" s="70" t="inlineStr">
        <is>
          <t>V2.2.1</t>
        </is>
      </c>
      <c r="C20" s="70" t="inlineStr">
        <is>
          <t>Internal dev</t>
        </is>
      </c>
      <c r="D20" s="70" t="inlineStr">
        <is>
          <t>Validates file content before processing</t>
        </is>
      </c>
      <c r="E20" s="71">
        <f>IF(ISNUMBER(MATCH(tblThreatControls[[#This Row],[Control ID]],MT_IDS,0)),"ASVS",IF(ISNUMBER(MATCH(tblThreatControls[[#This Row],[Control ID]],CC_IDS,0)),"Custom","NOT FOUND"))</f>
        <v/>
      </c>
      <c r="F20" s="71">
        <f>IF(tblThreatControls[[#This Row],[Control source]]="ASVS",INDEX(MT_APPLICABLE,tblThreatControls[[#This Row],[Source row]])&amp;"",IF(tblThreatControls[[#This Row],[Control source]]="Custom",INDEX(CC_APPLICABLE,tblThreatControls[[#This Row],[Source row]])&amp;"","NOT FOUND"))</f>
        <v/>
      </c>
      <c r="G20" s="71">
        <f>IF(tblThreatControls[[#This Row],[Control applicable]]&lt;&gt;"Applicable","N/A",IF(tblThreatControls[[#This Row],[Raw coverage]]="","Not assessed",tblThreatControls[[#This Row],[Raw coverage]]))</f>
        <v/>
      </c>
      <c r="H20" s="71">
        <f>IF(tblThreatControls[[#This Row],[Raw owner]]="",tblThreatControls[[#This Row],[Default owner]],tblThreatControls[[#This Row],[Raw owner]])</f>
        <v/>
      </c>
      <c r="I20" s="71">
        <f>IFERROR(INDEX(tblThreats[Applies],MATCH(tblThreatControls[[#This Row],[Threat ID]],tblThreats[Threat ID],0)),"NOT FOUND")</f>
        <v/>
      </c>
      <c r="J20" s="71">
        <f>IFERROR(INDEX(tblThreats[Risk],MATCH(tblThreatControls[[#This Row],[Threat ID]],tblThreats[Threat ID],0)),"")</f>
        <v/>
      </c>
      <c r="K20" s="71">
        <f>IF(tblThreatControls[[#This Row],[Threat applies]]="Applies",IFERROR(INDEX(tblThreats[Risk score],MATCH(tblThreatControls[[#This Row],[Threat ID]],tblThreats[Threat ID],0)),0),0)</f>
        <v/>
      </c>
      <c r="L2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0" s="71">
        <f>IF(tblThreatControls[[#This Row],[Control source]]="ASVS",MATCH(tblThreatControls[[#This Row],[Control ID]],MT_IDS,0),IF(tblThreatControls[[#This Row],[Control source]]="Custom",MATCH(tblThreatControls[[#This Row],[Control ID]],CC_IDS,0),0))</f>
        <v/>
      </c>
      <c r="N20" s="71">
        <f>IF(tblThreatControls[[#This Row],[Control source]]="ASVS",INDEX(MT_COVERAGE,tblThreatControls[[#This Row],[Source row]])&amp;"",IF(tblThreatControls[[#This Row],[Control source]]="Custom",INDEX(CC_COVERAGE,tblThreatControls[[#This Row],[Source row]])&amp;"",""))</f>
        <v/>
      </c>
      <c r="O20" s="71">
        <f>IF(tblThreatControls[[#This Row],[Control source]]="ASVS",INDEX(MT_LEVEL,tblThreatControls[[#This Row],[Source row]]),IF(tblThreatControls[[#This Row],[Control source]]="Custom",INDEX(CC_LEVEL,tblThreatControls[[#This Row],[Source row]]),0))</f>
        <v/>
      </c>
      <c r="P20" s="71">
        <f>IF(tblThreatControls[[#This Row],[Control source]]="ASVS",INDEX(MT_OWNER,tblThreatControls[[#This Row],[Source row]])&amp;"",IF(tblThreatControls[[#This Row],[Control source]]="Custom",INDEX(CC_OWNER,tblThreatControls[[#This Row],[Source row]])&amp;"",""))</f>
        <v/>
      </c>
    </row>
    <row r="21" ht="36" customHeight="1" s="19">
      <c r="A21" s="70" t="inlineStr">
        <is>
          <t>TM-T-002</t>
        </is>
      </c>
      <c r="B21" s="70" t="inlineStr">
        <is>
          <t>V5.2.1</t>
        </is>
      </c>
      <c r="C21" s="70" t="inlineStr">
        <is>
          <t>Internal dev</t>
        </is>
      </c>
      <c r="D21" s="70" t="inlineStr">
        <is>
          <t>File size limits</t>
        </is>
      </c>
      <c r="E21" s="71">
        <f>IF(ISNUMBER(MATCH(tblThreatControls[[#This Row],[Control ID]],MT_IDS,0)),"ASVS",IF(ISNUMBER(MATCH(tblThreatControls[[#This Row],[Control ID]],CC_IDS,0)),"Custom","NOT FOUND"))</f>
        <v/>
      </c>
      <c r="F21" s="71">
        <f>IF(tblThreatControls[[#This Row],[Control source]]="ASVS",INDEX(MT_APPLICABLE,tblThreatControls[[#This Row],[Source row]])&amp;"",IF(tblThreatControls[[#This Row],[Control source]]="Custom",INDEX(CC_APPLICABLE,tblThreatControls[[#This Row],[Source row]])&amp;"","NOT FOUND"))</f>
        <v/>
      </c>
      <c r="G21" s="71">
        <f>IF(tblThreatControls[[#This Row],[Control applicable]]&lt;&gt;"Applicable","N/A",IF(tblThreatControls[[#This Row],[Raw coverage]]="","Not assessed",tblThreatControls[[#This Row],[Raw coverage]]))</f>
        <v/>
      </c>
      <c r="H21" s="71">
        <f>IF(tblThreatControls[[#This Row],[Raw owner]]="",tblThreatControls[[#This Row],[Default owner]],tblThreatControls[[#This Row],[Raw owner]])</f>
        <v/>
      </c>
      <c r="I21" s="71">
        <f>IFERROR(INDEX(tblThreats[Applies],MATCH(tblThreatControls[[#This Row],[Threat ID]],tblThreats[Threat ID],0)),"NOT FOUND")</f>
        <v/>
      </c>
      <c r="J21" s="71">
        <f>IFERROR(INDEX(tblThreats[Risk],MATCH(tblThreatControls[[#This Row],[Threat ID]],tblThreats[Threat ID],0)),"")</f>
        <v/>
      </c>
      <c r="K21" s="71">
        <f>IF(tblThreatControls[[#This Row],[Threat applies]]="Applies",IFERROR(INDEX(tblThreats[Risk score],MATCH(tblThreatControls[[#This Row],[Threat ID]],tblThreats[Threat ID],0)),0),0)</f>
        <v/>
      </c>
      <c r="L2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1" s="71">
        <f>IF(tblThreatControls[[#This Row],[Control source]]="ASVS",MATCH(tblThreatControls[[#This Row],[Control ID]],MT_IDS,0),IF(tblThreatControls[[#This Row],[Control source]]="Custom",MATCH(tblThreatControls[[#This Row],[Control ID]],CC_IDS,0),0))</f>
        <v/>
      </c>
      <c r="N21" s="71">
        <f>IF(tblThreatControls[[#This Row],[Control source]]="ASVS",INDEX(MT_COVERAGE,tblThreatControls[[#This Row],[Source row]])&amp;"",IF(tblThreatControls[[#This Row],[Control source]]="Custom",INDEX(CC_COVERAGE,tblThreatControls[[#This Row],[Source row]])&amp;"",""))</f>
        <v/>
      </c>
      <c r="O21" s="71">
        <f>IF(tblThreatControls[[#This Row],[Control source]]="ASVS",INDEX(MT_LEVEL,tblThreatControls[[#This Row],[Source row]]),IF(tblThreatControls[[#This Row],[Control source]]="Custom",INDEX(CC_LEVEL,tblThreatControls[[#This Row],[Source row]]),0))</f>
        <v/>
      </c>
      <c r="P21" s="71">
        <f>IF(tblThreatControls[[#This Row],[Control source]]="ASVS",INDEX(MT_OWNER,tblThreatControls[[#This Row],[Source row]])&amp;"",IF(tblThreatControls[[#This Row],[Control source]]="Custom",INDEX(CC_OWNER,tblThreatControls[[#This Row],[Source row]])&amp;"",""))</f>
        <v/>
      </c>
    </row>
    <row r="22" ht="36" customHeight="1" s="19">
      <c r="A22" s="70" t="inlineStr">
        <is>
          <t>TM-T-002</t>
        </is>
      </c>
      <c r="B22" s="70" t="inlineStr">
        <is>
          <t>V5.2.2</t>
        </is>
      </c>
      <c r="C22" s="70" t="inlineStr">
        <is>
          <t>Internal dev</t>
        </is>
      </c>
      <c r="D22" s="70" t="inlineStr">
        <is>
          <t>Extension and content-type validation</t>
        </is>
      </c>
      <c r="E22" s="71">
        <f>IF(ISNUMBER(MATCH(tblThreatControls[[#This Row],[Control ID]],MT_IDS,0)),"ASVS",IF(ISNUMBER(MATCH(tblThreatControls[[#This Row],[Control ID]],CC_IDS,0)),"Custom","NOT FOUND"))</f>
        <v/>
      </c>
      <c r="F22" s="71">
        <f>IF(tblThreatControls[[#This Row],[Control source]]="ASVS",INDEX(MT_APPLICABLE,tblThreatControls[[#This Row],[Source row]])&amp;"",IF(tblThreatControls[[#This Row],[Control source]]="Custom",INDEX(CC_APPLICABLE,tblThreatControls[[#This Row],[Source row]])&amp;"","NOT FOUND"))</f>
        <v/>
      </c>
      <c r="G22" s="71">
        <f>IF(tblThreatControls[[#This Row],[Control applicable]]&lt;&gt;"Applicable","N/A",IF(tblThreatControls[[#This Row],[Raw coverage]]="","Not assessed",tblThreatControls[[#This Row],[Raw coverage]]))</f>
        <v/>
      </c>
      <c r="H22" s="71">
        <f>IF(tblThreatControls[[#This Row],[Raw owner]]="",tblThreatControls[[#This Row],[Default owner]],tblThreatControls[[#This Row],[Raw owner]])</f>
        <v/>
      </c>
      <c r="I22" s="71">
        <f>IFERROR(INDEX(tblThreats[Applies],MATCH(tblThreatControls[[#This Row],[Threat ID]],tblThreats[Threat ID],0)),"NOT FOUND")</f>
        <v/>
      </c>
      <c r="J22" s="71">
        <f>IFERROR(INDEX(tblThreats[Risk],MATCH(tblThreatControls[[#This Row],[Threat ID]],tblThreats[Threat ID],0)),"")</f>
        <v/>
      </c>
      <c r="K22" s="71">
        <f>IF(tblThreatControls[[#This Row],[Threat applies]]="Applies",IFERROR(INDEX(tblThreats[Risk score],MATCH(tblThreatControls[[#This Row],[Threat ID]],tblThreats[Threat ID],0)),0),0)</f>
        <v/>
      </c>
      <c r="L2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2" s="71">
        <f>IF(tblThreatControls[[#This Row],[Control source]]="ASVS",MATCH(tblThreatControls[[#This Row],[Control ID]],MT_IDS,0),IF(tblThreatControls[[#This Row],[Control source]]="Custom",MATCH(tblThreatControls[[#This Row],[Control ID]],CC_IDS,0),0))</f>
        <v/>
      </c>
      <c r="N22" s="71">
        <f>IF(tblThreatControls[[#This Row],[Control source]]="ASVS",INDEX(MT_COVERAGE,tblThreatControls[[#This Row],[Source row]])&amp;"",IF(tblThreatControls[[#This Row],[Control source]]="Custom",INDEX(CC_COVERAGE,tblThreatControls[[#This Row],[Source row]])&amp;"",""))</f>
        <v/>
      </c>
      <c r="O22" s="71">
        <f>IF(tblThreatControls[[#This Row],[Control source]]="ASVS",INDEX(MT_LEVEL,tblThreatControls[[#This Row],[Source row]]),IF(tblThreatControls[[#This Row],[Control source]]="Custom",INDEX(CC_LEVEL,tblThreatControls[[#This Row],[Source row]]),0))</f>
        <v/>
      </c>
      <c r="P22" s="71">
        <f>IF(tblThreatControls[[#This Row],[Control source]]="ASVS",INDEX(MT_OWNER,tblThreatControls[[#This Row],[Source row]])&amp;"",IF(tblThreatControls[[#This Row],[Control source]]="Custom",INDEX(CC_OWNER,tblThreatControls[[#This Row],[Source row]])&amp;"",""))</f>
        <v/>
      </c>
    </row>
    <row r="23" ht="36" customHeight="1" s="19">
      <c r="A23" s="70" t="inlineStr">
        <is>
          <t>TM-T-002</t>
        </is>
      </c>
      <c r="B23" s="70" t="inlineStr">
        <is>
          <t>V5.3.1</t>
        </is>
      </c>
      <c r="C23" s="70" t="inlineStr">
        <is>
          <t>Configuration</t>
        </is>
      </c>
      <c r="D23" s="70" t="inlineStr">
        <is>
          <t>Uploaded files never executed</t>
        </is>
      </c>
      <c r="E23" s="71">
        <f>IF(ISNUMBER(MATCH(tblThreatControls[[#This Row],[Control ID]],MT_IDS,0)),"ASVS",IF(ISNUMBER(MATCH(tblThreatControls[[#This Row],[Control ID]],CC_IDS,0)),"Custom","NOT FOUND"))</f>
        <v/>
      </c>
      <c r="F23" s="71">
        <f>IF(tblThreatControls[[#This Row],[Control source]]="ASVS",INDEX(MT_APPLICABLE,tblThreatControls[[#This Row],[Source row]])&amp;"",IF(tblThreatControls[[#This Row],[Control source]]="Custom",INDEX(CC_APPLICABLE,tblThreatControls[[#This Row],[Source row]])&amp;"","NOT FOUND"))</f>
        <v/>
      </c>
      <c r="G23" s="71">
        <f>IF(tblThreatControls[[#This Row],[Control applicable]]&lt;&gt;"Applicable","N/A",IF(tblThreatControls[[#This Row],[Raw coverage]]="","Not assessed",tblThreatControls[[#This Row],[Raw coverage]]))</f>
        <v/>
      </c>
      <c r="H23" s="71">
        <f>IF(tblThreatControls[[#This Row],[Raw owner]]="",tblThreatControls[[#This Row],[Default owner]],tblThreatControls[[#This Row],[Raw owner]])</f>
        <v/>
      </c>
      <c r="I23" s="71">
        <f>IFERROR(INDEX(tblThreats[Applies],MATCH(tblThreatControls[[#This Row],[Threat ID]],tblThreats[Threat ID],0)),"NOT FOUND")</f>
        <v/>
      </c>
      <c r="J23" s="71">
        <f>IFERROR(INDEX(tblThreats[Risk],MATCH(tblThreatControls[[#This Row],[Threat ID]],tblThreats[Threat ID],0)),"")</f>
        <v/>
      </c>
      <c r="K23" s="71">
        <f>IF(tblThreatControls[[#This Row],[Threat applies]]="Applies",IFERROR(INDEX(tblThreats[Risk score],MATCH(tblThreatControls[[#This Row],[Threat ID]],tblThreats[Threat ID],0)),0),0)</f>
        <v/>
      </c>
      <c r="L2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3" s="71">
        <f>IF(tblThreatControls[[#This Row],[Control source]]="ASVS",MATCH(tblThreatControls[[#This Row],[Control ID]],MT_IDS,0),IF(tblThreatControls[[#This Row],[Control source]]="Custom",MATCH(tblThreatControls[[#This Row],[Control ID]],CC_IDS,0),0))</f>
        <v/>
      </c>
      <c r="N23" s="71">
        <f>IF(tblThreatControls[[#This Row],[Control source]]="ASVS",INDEX(MT_COVERAGE,tblThreatControls[[#This Row],[Source row]])&amp;"",IF(tblThreatControls[[#This Row],[Control source]]="Custom",INDEX(CC_COVERAGE,tblThreatControls[[#This Row],[Source row]])&amp;"",""))</f>
        <v/>
      </c>
      <c r="O23" s="71">
        <f>IF(tblThreatControls[[#This Row],[Control source]]="ASVS",INDEX(MT_LEVEL,tblThreatControls[[#This Row],[Source row]]),IF(tblThreatControls[[#This Row],[Control source]]="Custom",INDEX(CC_LEVEL,tblThreatControls[[#This Row],[Source row]]),0))</f>
        <v/>
      </c>
      <c r="P23" s="71">
        <f>IF(tblThreatControls[[#This Row],[Control source]]="ASVS",INDEX(MT_OWNER,tblThreatControls[[#This Row],[Source row]])&amp;"",IF(tblThreatControls[[#This Row],[Control source]]="Custom",INDEX(CC_OWNER,tblThreatControls[[#This Row],[Source row]])&amp;"",""))</f>
        <v/>
      </c>
    </row>
    <row r="24" ht="36" customHeight="1" s="19">
      <c r="A24" s="70" t="inlineStr">
        <is>
          <t>TM-T-002</t>
        </is>
      </c>
      <c r="B24" s="70" t="inlineStr">
        <is>
          <t>V5.3.2</t>
        </is>
      </c>
      <c r="C24" s="70" t="inlineStr">
        <is>
          <t>Internal dev</t>
        </is>
      </c>
      <c r="D24" s="70" t="inlineStr">
        <is>
          <t>Safe file path handling</t>
        </is>
      </c>
      <c r="E24" s="71">
        <f>IF(ISNUMBER(MATCH(tblThreatControls[[#This Row],[Control ID]],MT_IDS,0)),"ASVS",IF(ISNUMBER(MATCH(tblThreatControls[[#This Row],[Control ID]],CC_IDS,0)),"Custom","NOT FOUND"))</f>
        <v/>
      </c>
      <c r="F24" s="71">
        <f>IF(tblThreatControls[[#This Row],[Control source]]="ASVS",INDEX(MT_APPLICABLE,tblThreatControls[[#This Row],[Source row]])&amp;"",IF(tblThreatControls[[#This Row],[Control source]]="Custom",INDEX(CC_APPLICABLE,tblThreatControls[[#This Row],[Source row]])&amp;"","NOT FOUND"))</f>
        <v/>
      </c>
      <c r="G24" s="71">
        <f>IF(tblThreatControls[[#This Row],[Control applicable]]&lt;&gt;"Applicable","N/A",IF(tblThreatControls[[#This Row],[Raw coverage]]="","Not assessed",tblThreatControls[[#This Row],[Raw coverage]]))</f>
        <v/>
      </c>
      <c r="H24" s="71">
        <f>IF(tblThreatControls[[#This Row],[Raw owner]]="",tblThreatControls[[#This Row],[Default owner]],tblThreatControls[[#This Row],[Raw owner]])</f>
        <v/>
      </c>
      <c r="I24" s="71">
        <f>IFERROR(INDEX(tblThreats[Applies],MATCH(tblThreatControls[[#This Row],[Threat ID]],tblThreats[Threat ID],0)),"NOT FOUND")</f>
        <v/>
      </c>
      <c r="J24" s="71">
        <f>IFERROR(INDEX(tblThreats[Risk],MATCH(tblThreatControls[[#This Row],[Threat ID]],tblThreats[Threat ID],0)),"")</f>
        <v/>
      </c>
      <c r="K24" s="71">
        <f>IF(tblThreatControls[[#This Row],[Threat applies]]="Applies",IFERROR(INDEX(tblThreats[Risk score],MATCH(tblThreatControls[[#This Row],[Threat ID]],tblThreats[Threat ID],0)),0),0)</f>
        <v/>
      </c>
      <c r="L2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4" s="71">
        <f>IF(tblThreatControls[[#This Row],[Control source]]="ASVS",MATCH(tblThreatControls[[#This Row],[Control ID]],MT_IDS,0),IF(tblThreatControls[[#This Row],[Control source]]="Custom",MATCH(tblThreatControls[[#This Row],[Control ID]],CC_IDS,0),0))</f>
        <v/>
      </c>
      <c r="N24" s="71">
        <f>IF(tblThreatControls[[#This Row],[Control source]]="ASVS",INDEX(MT_COVERAGE,tblThreatControls[[#This Row],[Source row]])&amp;"",IF(tblThreatControls[[#This Row],[Control source]]="Custom",INDEX(CC_COVERAGE,tblThreatControls[[#This Row],[Source row]])&amp;"",""))</f>
        <v/>
      </c>
      <c r="O24" s="71">
        <f>IF(tblThreatControls[[#This Row],[Control source]]="ASVS",INDEX(MT_LEVEL,tblThreatControls[[#This Row],[Source row]]),IF(tblThreatControls[[#This Row],[Control source]]="Custom",INDEX(CC_LEVEL,tblThreatControls[[#This Row],[Source row]]),0))</f>
        <v/>
      </c>
      <c r="P24" s="71">
        <f>IF(tblThreatControls[[#This Row],[Control source]]="ASVS",INDEX(MT_OWNER,tblThreatControls[[#This Row],[Source row]])&amp;"",IF(tblThreatControls[[#This Row],[Control source]]="Custom",INDEX(CC_OWNER,tblThreatControls[[#This Row],[Source row]])&amp;"",""))</f>
        <v/>
      </c>
    </row>
    <row r="25" ht="36" customHeight="1" s="19">
      <c r="A25" s="70" t="inlineStr">
        <is>
          <t>TM-T-003</t>
        </is>
      </c>
      <c r="B25" s="70" t="inlineStr">
        <is>
          <t>TMX-VENDOR-002</t>
        </is>
      </c>
      <c r="C25" s="70" t="inlineStr">
        <is>
          <t>Vendor</t>
        </is>
      </c>
      <c r="D25" s="70" t="inlineStr">
        <is>
          <t>Contractual, verified patch/update process</t>
        </is>
      </c>
      <c r="E25" s="71">
        <f>IF(ISNUMBER(MATCH(tblThreatControls[[#This Row],[Control ID]],MT_IDS,0)),"ASVS",IF(ISNUMBER(MATCH(tblThreatControls[[#This Row],[Control ID]],CC_IDS,0)),"Custom","NOT FOUND"))</f>
        <v/>
      </c>
      <c r="F25" s="71">
        <f>IF(tblThreatControls[[#This Row],[Control source]]="ASVS",INDEX(MT_APPLICABLE,tblThreatControls[[#This Row],[Source row]])&amp;"",IF(tblThreatControls[[#This Row],[Control source]]="Custom",INDEX(CC_APPLICABLE,tblThreatControls[[#This Row],[Source row]])&amp;"","NOT FOUND"))</f>
        <v/>
      </c>
      <c r="G25" s="71">
        <f>IF(tblThreatControls[[#This Row],[Control applicable]]&lt;&gt;"Applicable","N/A",IF(tblThreatControls[[#This Row],[Raw coverage]]="","Not assessed",tblThreatControls[[#This Row],[Raw coverage]]))</f>
        <v/>
      </c>
      <c r="H25" s="71">
        <f>IF(tblThreatControls[[#This Row],[Raw owner]]="",tblThreatControls[[#This Row],[Default owner]],tblThreatControls[[#This Row],[Raw owner]])</f>
        <v/>
      </c>
      <c r="I25" s="71">
        <f>IFERROR(INDEX(tblThreats[Applies],MATCH(tblThreatControls[[#This Row],[Threat ID]],tblThreats[Threat ID],0)),"NOT FOUND")</f>
        <v/>
      </c>
      <c r="J25" s="71">
        <f>IFERROR(INDEX(tblThreats[Risk],MATCH(tblThreatControls[[#This Row],[Threat ID]],tblThreats[Threat ID],0)),"")</f>
        <v/>
      </c>
      <c r="K25" s="71">
        <f>IF(tblThreatControls[[#This Row],[Threat applies]]="Applies",IFERROR(INDEX(tblThreats[Risk score],MATCH(tblThreatControls[[#This Row],[Threat ID]],tblThreats[Threat ID],0)),0),0)</f>
        <v/>
      </c>
      <c r="L2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5" s="71">
        <f>IF(tblThreatControls[[#This Row],[Control source]]="ASVS",MATCH(tblThreatControls[[#This Row],[Control ID]],MT_IDS,0),IF(tblThreatControls[[#This Row],[Control source]]="Custom",MATCH(tblThreatControls[[#This Row],[Control ID]],CC_IDS,0),0))</f>
        <v/>
      </c>
      <c r="N25" s="71">
        <f>IF(tblThreatControls[[#This Row],[Control source]]="ASVS",INDEX(MT_COVERAGE,tblThreatControls[[#This Row],[Source row]])&amp;"",IF(tblThreatControls[[#This Row],[Control source]]="Custom",INDEX(CC_COVERAGE,tblThreatControls[[#This Row],[Source row]])&amp;"",""))</f>
        <v/>
      </c>
      <c r="O25" s="71">
        <f>IF(tblThreatControls[[#This Row],[Control source]]="ASVS",INDEX(MT_LEVEL,tblThreatControls[[#This Row],[Source row]]),IF(tblThreatControls[[#This Row],[Control source]]="Custom",INDEX(CC_LEVEL,tblThreatControls[[#This Row],[Source row]]),0))</f>
        <v/>
      </c>
      <c r="P25" s="71">
        <f>IF(tblThreatControls[[#This Row],[Control source]]="ASVS",INDEX(MT_OWNER,tblThreatControls[[#This Row],[Source row]])&amp;"",IF(tblThreatControls[[#This Row],[Control source]]="Custom",INDEX(CC_OWNER,tblThreatControls[[#This Row],[Source row]])&amp;"",""))</f>
        <v/>
      </c>
    </row>
    <row r="26" ht="36" customHeight="1" s="19">
      <c r="A26" s="70" t="inlineStr">
        <is>
          <t>TM-T-003</t>
        </is>
      </c>
      <c r="B26" s="70" t="inlineStr">
        <is>
          <t>V15.1.2</t>
        </is>
      </c>
      <c r="C26" s="70" t="inlineStr">
        <is>
          <t>Vendor</t>
        </is>
      </c>
      <c r="D26" s="70" t="inlineStr">
        <is>
          <t>Component inventory (SBOM) to verify what is installed</t>
        </is>
      </c>
      <c r="E26" s="71">
        <f>IF(ISNUMBER(MATCH(tblThreatControls[[#This Row],[Control ID]],MT_IDS,0)),"ASVS",IF(ISNUMBER(MATCH(tblThreatControls[[#This Row],[Control ID]],CC_IDS,0)),"Custom","NOT FOUND"))</f>
        <v/>
      </c>
      <c r="F26" s="71">
        <f>IF(tblThreatControls[[#This Row],[Control source]]="ASVS",INDEX(MT_APPLICABLE,tblThreatControls[[#This Row],[Source row]])&amp;"",IF(tblThreatControls[[#This Row],[Control source]]="Custom",INDEX(CC_APPLICABLE,tblThreatControls[[#This Row],[Source row]])&amp;"","NOT FOUND"))</f>
        <v/>
      </c>
      <c r="G26" s="71">
        <f>IF(tblThreatControls[[#This Row],[Control applicable]]&lt;&gt;"Applicable","N/A",IF(tblThreatControls[[#This Row],[Raw coverage]]="","Not assessed",tblThreatControls[[#This Row],[Raw coverage]]))</f>
        <v/>
      </c>
      <c r="H26" s="71">
        <f>IF(tblThreatControls[[#This Row],[Raw owner]]="",tblThreatControls[[#This Row],[Default owner]],tblThreatControls[[#This Row],[Raw owner]])</f>
        <v/>
      </c>
      <c r="I26" s="71">
        <f>IFERROR(INDEX(tblThreats[Applies],MATCH(tblThreatControls[[#This Row],[Threat ID]],tblThreats[Threat ID],0)),"NOT FOUND")</f>
        <v/>
      </c>
      <c r="J26" s="71">
        <f>IFERROR(INDEX(tblThreats[Risk],MATCH(tblThreatControls[[#This Row],[Threat ID]],tblThreats[Threat ID],0)),"")</f>
        <v/>
      </c>
      <c r="K26" s="71">
        <f>IF(tblThreatControls[[#This Row],[Threat applies]]="Applies",IFERROR(INDEX(tblThreats[Risk score],MATCH(tblThreatControls[[#This Row],[Threat ID]],tblThreats[Threat ID],0)),0),0)</f>
        <v/>
      </c>
      <c r="L2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6" s="71">
        <f>IF(tblThreatControls[[#This Row],[Control source]]="ASVS",MATCH(tblThreatControls[[#This Row],[Control ID]],MT_IDS,0),IF(tblThreatControls[[#This Row],[Control source]]="Custom",MATCH(tblThreatControls[[#This Row],[Control ID]],CC_IDS,0),0))</f>
        <v/>
      </c>
      <c r="N26" s="71">
        <f>IF(tblThreatControls[[#This Row],[Control source]]="ASVS",INDEX(MT_COVERAGE,tblThreatControls[[#This Row],[Source row]])&amp;"",IF(tblThreatControls[[#This Row],[Control source]]="Custom",INDEX(CC_COVERAGE,tblThreatControls[[#This Row],[Source row]])&amp;"",""))</f>
        <v/>
      </c>
      <c r="O26" s="71">
        <f>IF(tblThreatControls[[#This Row],[Control source]]="ASVS",INDEX(MT_LEVEL,tblThreatControls[[#This Row],[Source row]]),IF(tblThreatControls[[#This Row],[Control source]]="Custom",INDEX(CC_LEVEL,tblThreatControls[[#This Row],[Source row]]),0))</f>
        <v/>
      </c>
      <c r="P26" s="71">
        <f>IF(tblThreatControls[[#This Row],[Control source]]="ASVS",INDEX(MT_OWNER,tblThreatControls[[#This Row],[Source row]])&amp;"",IF(tblThreatControls[[#This Row],[Control source]]="Custom",INDEX(CC_OWNER,tblThreatControls[[#This Row],[Source row]])&amp;"",""))</f>
        <v/>
      </c>
    </row>
    <row r="27" ht="36" customHeight="1" s="19">
      <c r="A27" s="70" t="inlineStr">
        <is>
          <t>TM-T-004</t>
        </is>
      </c>
      <c r="B27" s="70" t="inlineStr">
        <is>
          <t>V2.3.1</t>
        </is>
      </c>
      <c r="C27" s="70" t="inlineStr">
        <is>
          <t>Internal dev</t>
        </is>
      </c>
      <c r="D27" s="70" t="inlineStr">
        <is>
          <t>Steps processed in the expected order</t>
        </is>
      </c>
      <c r="E27" s="71">
        <f>IF(ISNUMBER(MATCH(tblThreatControls[[#This Row],[Control ID]],MT_IDS,0)),"ASVS",IF(ISNUMBER(MATCH(tblThreatControls[[#This Row],[Control ID]],CC_IDS,0)),"Custom","NOT FOUND"))</f>
        <v/>
      </c>
      <c r="F27" s="71">
        <f>IF(tblThreatControls[[#This Row],[Control source]]="ASVS",INDEX(MT_APPLICABLE,tblThreatControls[[#This Row],[Source row]])&amp;"",IF(tblThreatControls[[#This Row],[Control source]]="Custom",INDEX(CC_APPLICABLE,tblThreatControls[[#This Row],[Source row]])&amp;"","NOT FOUND"))</f>
        <v/>
      </c>
      <c r="G27" s="71">
        <f>IF(tblThreatControls[[#This Row],[Control applicable]]&lt;&gt;"Applicable","N/A",IF(tblThreatControls[[#This Row],[Raw coverage]]="","Not assessed",tblThreatControls[[#This Row],[Raw coverage]]))</f>
        <v/>
      </c>
      <c r="H27" s="71">
        <f>IF(tblThreatControls[[#This Row],[Raw owner]]="",tblThreatControls[[#This Row],[Default owner]],tblThreatControls[[#This Row],[Raw owner]])</f>
        <v/>
      </c>
      <c r="I27" s="71">
        <f>IFERROR(INDEX(tblThreats[Applies],MATCH(tblThreatControls[[#This Row],[Threat ID]],tblThreats[Threat ID],0)),"NOT FOUND")</f>
        <v/>
      </c>
      <c r="J27" s="71">
        <f>IFERROR(INDEX(tblThreats[Risk],MATCH(tblThreatControls[[#This Row],[Threat ID]],tblThreats[Threat ID],0)),"")</f>
        <v/>
      </c>
      <c r="K27" s="71">
        <f>IF(tblThreatControls[[#This Row],[Threat applies]]="Applies",IFERROR(INDEX(tblThreats[Risk score],MATCH(tblThreatControls[[#This Row],[Threat ID]],tblThreats[Threat ID],0)),0),0)</f>
        <v/>
      </c>
      <c r="L2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7" s="71">
        <f>IF(tblThreatControls[[#This Row],[Control source]]="ASVS",MATCH(tblThreatControls[[#This Row],[Control ID]],MT_IDS,0),IF(tblThreatControls[[#This Row],[Control source]]="Custom",MATCH(tblThreatControls[[#This Row],[Control ID]],CC_IDS,0),0))</f>
        <v/>
      </c>
      <c r="N27" s="71">
        <f>IF(tblThreatControls[[#This Row],[Control source]]="ASVS",INDEX(MT_COVERAGE,tblThreatControls[[#This Row],[Source row]])&amp;"",IF(tblThreatControls[[#This Row],[Control source]]="Custom",INDEX(CC_COVERAGE,tblThreatControls[[#This Row],[Source row]])&amp;"",""))</f>
        <v/>
      </c>
      <c r="O27" s="71">
        <f>IF(tblThreatControls[[#This Row],[Control source]]="ASVS",INDEX(MT_LEVEL,tblThreatControls[[#This Row],[Source row]]),IF(tblThreatControls[[#This Row],[Control source]]="Custom",INDEX(CC_LEVEL,tblThreatControls[[#This Row],[Source row]]),0))</f>
        <v/>
      </c>
      <c r="P27" s="71">
        <f>IF(tblThreatControls[[#This Row],[Control source]]="ASVS",INDEX(MT_OWNER,tblThreatControls[[#This Row],[Source row]])&amp;"",IF(tblThreatControls[[#This Row],[Control source]]="Custom",INDEX(CC_OWNER,tblThreatControls[[#This Row],[Source row]])&amp;"",""))</f>
        <v/>
      </c>
    </row>
    <row r="28" ht="36" customHeight="1" s="19">
      <c r="A28" s="70" t="inlineStr">
        <is>
          <t>TM-T-004</t>
        </is>
      </c>
      <c r="B28" s="70" t="inlineStr">
        <is>
          <t>V2.3.2</t>
        </is>
      </c>
      <c r="C28" s="70" t="inlineStr">
        <is>
          <t>Internal dev</t>
        </is>
      </c>
      <c r="D28" s="70" t="inlineStr">
        <is>
          <t>Business limits enforced</t>
        </is>
      </c>
      <c r="E28" s="71">
        <f>IF(ISNUMBER(MATCH(tblThreatControls[[#This Row],[Control ID]],MT_IDS,0)),"ASVS",IF(ISNUMBER(MATCH(tblThreatControls[[#This Row],[Control ID]],CC_IDS,0)),"Custom","NOT FOUND"))</f>
        <v/>
      </c>
      <c r="F28" s="71">
        <f>IF(tblThreatControls[[#This Row],[Control source]]="ASVS",INDEX(MT_APPLICABLE,tblThreatControls[[#This Row],[Source row]])&amp;"",IF(tblThreatControls[[#This Row],[Control source]]="Custom",INDEX(CC_APPLICABLE,tblThreatControls[[#This Row],[Source row]])&amp;"","NOT FOUND"))</f>
        <v/>
      </c>
      <c r="G28" s="71">
        <f>IF(tblThreatControls[[#This Row],[Control applicable]]&lt;&gt;"Applicable","N/A",IF(tblThreatControls[[#This Row],[Raw coverage]]="","Not assessed",tblThreatControls[[#This Row],[Raw coverage]]))</f>
        <v/>
      </c>
      <c r="H28" s="71">
        <f>IF(tblThreatControls[[#This Row],[Raw owner]]="",tblThreatControls[[#This Row],[Default owner]],tblThreatControls[[#This Row],[Raw owner]])</f>
        <v/>
      </c>
      <c r="I28" s="71">
        <f>IFERROR(INDEX(tblThreats[Applies],MATCH(tblThreatControls[[#This Row],[Threat ID]],tblThreats[Threat ID],0)),"NOT FOUND")</f>
        <v/>
      </c>
      <c r="J28" s="71">
        <f>IFERROR(INDEX(tblThreats[Risk],MATCH(tblThreatControls[[#This Row],[Threat ID]],tblThreats[Threat ID],0)),"")</f>
        <v/>
      </c>
      <c r="K28" s="71">
        <f>IF(tblThreatControls[[#This Row],[Threat applies]]="Applies",IFERROR(INDEX(tblThreats[Risk score],MATCH(tblThreatControls[[#This Row],[Threat ID]],tblThreats[Threat ID],0)),0),0)</f>
        <v/>
      </c>
      <c r="L2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8" s="71">
        <f>IF(tblThreatControls[[#This Row],[Control source]]="ASVS",MATCH(tblThreatControls[[#This Row],[Control ID]],MT_IDS,0),IF(tblThreatControls[[#This Row],[Control source]]="Custom",MATCH(tblThreatControls[[#This Row],[Control ID]],CC_IDS,0),0))</f>
        <v/>
      </c>
      <c r="N28" s="71">
        <f>IF(tblThreatControls[[#This Row],[Control source]]="ASVS",INDEX(MT_COVERAGE,tblThreatControls[[#This Row],[Source row]])&amp;"",IF(tblThreatControls[[#This Row],[Control source]]="Custom",INDEX(CC_COVERAGE,tblThreatControls[[#This Row],[Source row]])&amp;"",""))</f>
        <v/>
      </c>
      <c r="O28" s="71">
        <f>IF(tblThreatControls[[#This Row],[Control source]]="ASVS",INDEX(MT_LEVEL,tblThreatControls[[#This Row],[Source row]]),IF(tblThreatControls[[#This Row],[Control source]]="Custom",INDEX(CC_LEVEL,tblThreatControls[[#This Row],[Source row]]),0))</f>
        <v/>
      </c>
      <c r="P28" s="71">
        <f>IF(tblThreatControls[[#This Row],[Control source]]="ASVS",INDEX(MT_OWNER,tblThreatControls[[#This Row],[Source row]])&amp;"",IF(tblThreatControls[[#This Row],[Control source]]="Custom",INDEX(CC_OWNER,tblThreatControls[[#This Row],[Source row]])&amp;"",""))</f>
        <v/>
      </c>
    </row>
    <row r="29" ht="36" customHeight="1" s="19">
      <c r="A29" s="70" t="inlineStr">
        <is>
          <t>TM-T-004</t>
        </is>
      </c>
      <c r="B29" s="70" t="inlineStr">
        <is>
          <t>V2.3.5</t>
        </is>
      </c>
      <c r="C29" s="70" t="inlineStr">
        <is>
          <t>Internal dev</t>
        </is>
      </c>
      <c r="D29" s="70" t="inlineStr">
        <is>
          <t>Multi-user approval for high-value flows</t>
        </is>
      </c>
      <c r="E29" s="71">
        <f>IF(ISNUMBER(MATCH(tblThreatControls[[#This Row],[Control ID]],MT_IDS,0)),"ASVS",IF(ISNUMBER(MATCH(tblThreatControls[[#This Row],[Control ID]],CC_IDS,0)),"Custom","NOT FOUND"))</f>
        <v/>
      </c>
      <c r="F29" s="71">
        <f>IF(tblThreatControls[[#This Row],[Control source]]="ASVS",INDEX(MT_APPLICABLE,tblThreatControls[[#This Row],[Source row]])&amp;"",IF(tblThreatControls[[#This Row],[Control source]]="Custom",INDEX(CC_APPLICABLE,tblThreatControls[[#This Row],[Source row]])&amp;"","NOT FOUND"))</f>
        <v/>
      </c>
      <c r="G29" s="71">
        <f>IF(tblThreatControls[[#This Row],[Control applicable]]&lt;&gt;"Applicable","N/A",IF(tblThreatControls[[#This Row],[Raw coverage]]="","Not assessed",tblThreatControls[[#This Row],[Raw coverage]]))</f>
        <v/>
      </c>
      <c r="H29" s="71">
        <f>IF(tblThreatControls[[#This Row],[Raw owner]]="",tblThreatControls[[#This Row],[Default owner]],tblThreatControls[[#This Row],[Raw owner]])</f>
        <v/>
      </c>
      <c r="I29" s="71">
        <f>IFERROR(INDEX(tblThreats[Applies],MATCH(tblThreatControls[[#This Row],[Threat ID]],tblThreats[Threat ID],0)),"NOT FOUND")</f>
        <v/>
      </c>
      <c r="J29" s="71">
        <f>IFERROR(INDEX(tblThreats[Risk],MATCH(tblThreatControls[[#This Row],[Threat ID]],tblThreats[Threat ID],0)),"")</f>
        <v/>
      </c>
      <c r="K29" s="71">
        <f>IF(tblThreatControls[[#This Row],[Threat applies]]="Applies",IFERROR(INDEX(tblThreats[Risk score],MATCH(tblThreatControls[[#This Row],[Threat ID]],tblThreats[Threat ID],0)),0),0)</f>
        <v/>
      </c>
      <c r="L2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9" s="71">
        <f>IF(tblThreatControls[[#This Row],[Control source]]="ASVS",MATCH(tblThreatControls[[#This Row],[Control ID]],MT_IDS,0),IF(tblThreatControls[[#This Row],[Control source]]="Custom",MATCH(tblThreatControls[[#This Row],[Control ID]],CC_IDS,0),0))</f>
        <v/>
      </c>
      <c r="N29" s="71">
        <f>IF(tblThreatControls[[#This Row],[Control source]]="ASVS",INDEX(MT_COVERAGE,tblThreatControls[[#This Row],[Source row]])&amp;"",IF(tblThreatControls[[#This Row],[Control source]]="Custom",INDEX(CC_COVERAGE,tblThreatControls[[#This Row],[Source row]])&amp;"",""))</f>
        <v/>
      </c>
      <c r="O29" s="71">
        <f>IF(tblThreatControls[[#This Row],[Control source]]="ASVS",INDEX(MT_LEVEL,tblThreatControls[[#This Row],[Source row]]),IF(tblThreatControls[[#This Row],[Control source]]="Custom",INDEX(CC_LEVEL,tblThreatControls[[#This Row],[Source row]]),0))</f>
        <v/>
      </c>
      <c r="P29" s="71">
        <f>IF(tblThreatControls[[#This Row],[Control source]]="ASVS",INDEX(MT_OWNER,tblThreatControls[[#This Row],[Source row]])&amp;"",IF(tblThreatControls[[#This Row],[Control source]]="Custom",INDEX(CC_OWNER,tblThreatControls[[#This Row],[Source row]])&amp;"",""))</f>
        <v/>
      </c>
    </row>
    <row r="30" ht="36" customHeight="1" s="19">
      <c r="A30" s="70" t="inlineStr">
        <is>
          <t>TM-T-004</t>
        </is>
      </c>
      <c r="B30" s="70" t="inlineStr">
        <is>
          <t>V16.3.3</t>
        </is>
      </c>
      <c r="C30" s="70" t="inlineStr">
        <is>
          <t>Internal dev</t>
        </is>
      </c>
      <c r="D30" s="70" t="inlineStr">
        <is>
          <t>Attempts to bypass business logic are logged</t>
        </is>
      </c>
      <c r="E30" s="71">
        <f>IF(ISNUMBER(MATCH(tblThreatControls[[#This Row],[Control ID]],MT_IDS,0)),"ASVS",IF(ISNUMBER(MATCH(tblThreatControls[[#This Row],[Control ID]],CC_IDS,0)),"Custom","NOT FOUND"))</f>
        <v/>
      </c>
      <c r="F30" s="71">
        <f>IF(tblThreatControls[[#This Row],[Control source]]="ASVS",INDEX(MT_APPLICABLE,tblThreatControls[[#This Row],[Source row]])&amp;"",IF(tblThreatControls[[#This Row],[Control source]]="Custom",INDEX(CC_APPLICABLE,tblThreatControls[[#This Row],[Source row]])&amp;"","NOT FOUND"))</f>
        <v/>
      </c>
      <c r="G30" s="71">
        <f>IF(tblThreatControls[[#This Row],[Control applicable]]&lt;&gt;"Applicable","N/A",IF(tblThreatControls[[#This Row],[Raw coverage]]="","Not assessed",tblThreatControls[[#This Row],[Raw coverage]]))</f>
        <v/>
      </c>
      <c r="H30" s="71">
        <f>IF(tblThreatControls[[#This Row],[Raw owner]]="",tblThreatControls[[#This Row],[Default owner]],tblThreatControls[[#This Row],[Raw owner]])</f>
        <v/>
      </c>
      <c r="I30" s="71">
        <f>IFERROR(INDEX(tblThreats[Applies],MATCH(tblThreatControls[[#This Row],[Threat ID]],tblThreats[Threat ID],0)),"NOT FOUND")</f>
        <v/>
      </c>
      <c r="J30" s="71">
        <f>IFERROR(INDEX(tblThreats[Risk],MATCH(tblThreatControls[[#This Row],[Threat ID]],tblThreats[Threat ID],0)),"")</f>
        <v/>
      </c>
      <c r="K30" s="71">
        <f>IF(tblThreatControls[[#This Row],[Threat applies]]="Applies",IFERROR(INDEX(tblThreats[Risk score],MATCH(tblThreatControls[[#This Row],[Threat ID]],tblThreats[Threat ID],0)),0),0)</f>
        <v/>
      </c>
      <c r="L3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0" s="71">
        <f>IF(tblThreatControls[[#This Row],[Control source]]="ASVS",MATCH(tblThreatControls[[#This Row],[Control ID]],MT_IDS,0),IF(tblThreatControls[[#This Row],[Control source]]="Custom",MATCH(tblThreatControls[[#This Row],[Control ID]],CC_IDS,0),0))</f>
        <v/>
      </c>
      <c r="N30" s="71">
        <f>IF(tblThreatControls[[#This Row],[Control source]]="ASVS",INDEX(MT_COVERAGE,tblThreatControls[[#This Row],[Source row]])&amp;"",IF(tblThreatControls[[#This Row],[Control source]]="Custom",INDEX(CC_COVERAGE,tblThreatControls[[#This Row],[Source row]])&amp;"",""))</f>
        <v/>
      </c>
      <c r="O30" s="71">
        <f>IF(tblThreatControls[[#This Row],[Control source]]="ASVS",INDEX(MT_LEVEL,tblThreatControls[[#This Row],[Source row]]),IF(tblThreatControls[[#This Row],[Control source]]="Custom",INDEX(CC_LEVEL,tblThreatControls[[#This Row],[Source row]]),0))</f>
        <v/>
      </c>
      <c r="P30" s="71">
        <f>IF(tblThreatControls[[#This Row],[Control source]]="ASVS",INDEX(MT_OWNER,tblThreatControls[[#This Row],[Source row]])&amp;"",IF(tblThreatControls[[#This Row],[Control source]]="Custom",INDEX(CC_OWNER,tblThreatControls[[#This Row],[Source row]])&amp;"",""))</f>
        <v/>
      </c>
    </row>
    <row r="31" ht="36" customHeight="1" s="19">
      <c r="A31" s="70" t="inlineStr">
        <is>
          <t>TM-R-001</t>
        </is>
      </c>
      <c r="B31" s="70" t="inlineStr">
        <is>
          <t>V16.2.1</t>
        </is>
      </c>
      <c r="C31" s="70" t="inlineStr">
        <is>
          <t>Configuration</t>
        </is>
      </c>
      <c r="D31" s="70" t="inlineStr">
        <is>
          <t>Log entries carry who/what/when/where</t>
        </is>
      </c>
      <c r="E31" s="71">
        <f>IF(ISNUMBER(MATCH(tblThreatControls[[#This Row],[Control ID]],MT_IDS,0)),"ASVS",IF(ISNUMBER(MATCH(tblThreatControls[[#This Row],[Control ID]],CC_IDS,0)),"Custom","NOT FOUND"))</f>
        <v/>
      </c>
      <c r="F31" s="71">
        <f>IF(tblThreatControls[[#This Row],[Control source]]="ASVS",INDEX(MT_APPLICABLE,tblThreatControls[[#This Row],[Source row]])&amp;"",IF(tblThreatControls[[#This Row],[Control source]]="Custom",INDEX(CC_APPLICABLE,tblThreatControls[[#This Row],[Source row]])&amp;"","NOT FOUND"))</f>
        <v/>
      </c>
      <c r="G31" s="71">
        <f>IF(tblThreatControls[[#This Row],[Control applicable]]&lt;&gt;"Applicable","N/A",IF(tblThreatControls[[#This Row],[Raw coverage]]="","Not assessed",tblThreatControls[[#This Row],[Raw coverage]]))</f>
        <v/>
      </c>
      <c r="H31" s="71">
        <f>IF(tblThreatControls[[#This Row],[Raw owner]]="",tblThreatControls[[#This Row],[Default owner]],tblThreatControls[[#This Row],[Raw owner]])</f>
        <v/>
      </c>
      <c r="I31" s="71">
        <f>IFERROR(INDEX(tblThreats[Applies],MATCH(tblThreatControls[[#This Row],[Threat ID]],tblThreats[Threat ID],0)),"NOT FOUND")</f>
        <v/>
      </c>
      <c r="J31" s="71">
        <f>IFERROR(INDEX(tblThreats[Risk],MATCH(tblThreatControls[[#This Row],[Threat ID]],tblThreats[Threat ID],0)),"")</f>
        <v/>
      </c>
      <c r="K31" s="71">
        <f>IF(tblThreatControls[[#This Row],[Threat applies]]="Applies",IFERROR(INDEX(tblThreats[Risk score],MATCH(tblThreatControls[[#This Row],[Threat ID]],tblThreats[Threat ID],0)),0),0)</f>
        <v/>
      </c>
      <c r="L3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1" s="71">
        <f>IF(tblThreatControls[[#This Row],[Control source]]="ASVS",MATCH(tblThreatControls[[#This Row],[Control ID]],MT_IDS,0),IF(tblThreatControls[[#This Row],[Control source]]="Custom",MATCH(tblThreatControls[[#This Row],[Control ID]],CC_IDS,0),0))</f>
        <v/>
      </c>
      <c r="N31" s="71">
        <f>IF(tblThreatControls[[#This Row],[Control source]]="ASVS",INDEX(MT_COVERAGE,tblThreatControls[[#This Row],[Source row]])&amp;"",IF(tblThreatControls[[#This Row],[Control source]]="Custom",INDEX(CC_COVERAGE,tblThreatControls[[#This Row],[Source row]])&amp;"",""))</f>
        <v/>
      </c>
      <c r="O31" s="71">
        <f>IF(tblThreatControls[[#This Row],[Control source]]="ASVS",INDEX(MT_LEVEL,tblThreatControls[[#This Row],[Source row]]),IF(tblThreatControls[[#This Row],[Control source]]="Custom",INDEX(CC_LEVEL,tblThreatControls[[#This Row],[Source row]]),0))</f>
        <v/>
      </c>
      <c r="P31" s="71">
        <f>IF(tblThreatControls[[#This Row],[Control source]]="ASVS",INDEX(MT_OWNER,tblThreatControls[[#This Row],[Source row]])&amp;"",IF(tblThreatControls[[#This Row],[Control source]]="Custom",INDEX(CC_OWNER,tblThreatControls[[#This Row],[Source row]])&amp;"",""))</f>
        <v/>
      </c>
    </row>
    <row r="32" ht="36" customHeight="1" s="19">
      <c r="A32" s="70" t="inlineStr">
        <is>
          <t>TM-R-001</t>
        </is>
      </c>
      <c r="B32" s="70" t="inlineStr">
        <is>
          <t>V16.3.3</t>
        </is>
      </c>
      <c r="C32" s="70" t="inlineStr">
        <is>
          <t>Internal dev</t>
        </is>
      </c>
      <c r="D32" s="70" t="inlineStr">
        <is>
          <t>Security-relevant events logged</t>
        </is>
      </c>
      <c r="E32" s="71">
        <f>IF(ISNUMBER(MATCH(tblThreatControls[[#This Row],[Control ID]],MT_IDS,0)),"ASVS",IF(ISNUMBER(MATCH(tblThreatControls[[#This Row],[Control ID]],CC_IDS,0)),"Custom","NOT FOUND"))</f>
        <v/>
      </c>
      <c r="F32" s="71">
        <f>IF(tblThreatControls[[#This Row],[Control source]]="ASVS",INDEX(MT_APPLICABLE,tblThreatControls[[#This Row],[Source row]])&amp;"",IF(tblThreatControls[[#This Row],[Control source]]="Custom",INDEX(CC_APPLICABLE,tblThreatControls[[#This Row],[Source row]])&amp;"","NOT FOUND"))</f>
        <v/>
      </c>
      <c r="G32" s="71">
        <f>IF(tblThreatControls[[#This Row],[Control applicable]]&lt;&gt;"Applicable","N/A",IF(tblThreatControls[[#This Row],[Raw coverage]]="","Not assessed",tblThreatControls[[#This Row],[Raw coverage]]))</f>
        <v/>
      </c>
      <c r="H32" s="71">
        <f>IF(tblThreatControls[[#This Row],[Raw owner]]="",tblThreatControls[[#This Row],[Default owner]],tblThreatControls[[#This Row],[Raw owner]])</f>
        <v/>
      </c>
      <c r="I32" s="71">
        <f>IFERROR(INDEX(tblThreats[Applies],MATCH(tblThreatControls[[#This Row],[Threat ID]],tblThreats[Threat ID],0)),"NOT FOUND")</f>
        <v/>
      </c>
      <c r="J32" s="71">
        <f>IFERROR(INDEX(tblThreats[Risk],MATCH(tblThreatControls[[#This Row],[Threat ID]],tblThreats[Threat ID],0)),"")</f>
        <v/>
      </c>
      <c r="K32" s="71">
        <f>IF(tblThreatControls[[#This Row],[Threat applies]]="Applies",IFERROR(INDEX(tblThreats[Risk score],MATCH(tblThreatControls[[#This Row],[Threat ID]],tblThreats[Threat ID],0)),0),0)</f>
        <v/>
      </c>
      <c r="L3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2" s="71">
        <f>IF(tblThreatControls[[#This Row],[Control source]]="ASVS",MATCH(tblThreatControls[[#This Row],[Control ID]],MT_IDS,0),IF(tblThreatControls[[#This Row],[Control source]]="Custom",MATCH(tblThreatControls[[#This Row],[Control ID]],CC_IDS,0),0))</f>
        <v/>
      </c>
      <c r="N32" s="71">
        <f>IF(tblThreatControls[[#This Row],[Control source]]="ASVS",INDEX(MT_COVERAGE,tblThreatControls[[#This Row],[Source row]])&amp;"",IF(tblThreatControls[[#This Row],[Control source]]="Custom",INDEX(CC_COVERAGE,tblThreatControls[[#This Row],[Source row]])&amp;"",""))</f>
        <v/>
      </c>
      <c r="O32" s="71">
        <f>IF(tblThreatControls[[#This Row],[Control source]]="ASVS",INDEX(MT_LEVEL,tblThreatControls[[#This Row],[Source row]]),IF(tblThreatControls[[#This Row],[Control source]]="Custom",INDEX(CC_LEVEL,tblThreatControls[[#This Row],[Source row]]),0))</f>
        <v/>
      </c>
      <c r="P32" s="71">
        <f>IF(tblThreatControls[[#This Row],[Control source]]="ASVS",INDEX(MT_OWNER,tblThreatControls[[#This Row],[Source row]])&amp;"",IF(tblThreatControls[[#This Row],[Control source]]="Custom",INDEX(CC_OWNER,tblThreatControls[[#This Row],[Source row]])&amp;"",""))</f>
        <v/>
      </c>
    </row>
    <row r="33" ht="36" customHeight="1" s="19">
      <c r="A33" s="70" t="inlineStr">
        <is>
          <t>TM-R-001</t>
        </is>
      </c>
      <c r="B33" s="70" t="inlineStr">
        <is>
          <t>V16.4.2</t>
        </is>
      </c>
      <c r="C33" s="70" t="inlineStr">
        <is>
          <t>Configuration</t>
        </is>
      </c>
      <c r="D33" s="70" t="inlineStr">
        <is>
          <t>Logs protected from modification</t>
        </is>
      </c>
      <c r="E33" s="71">
        <f>IF(ISNUMBER(MATCH(tblThreatControls[[#This Row],[Control ID]],MT_IDS,0)),"ASVS",IF(ISNUMBER(MATCH(tblThreatControls[[#This Row],[Control ID]],CC_IDS,0)),"Custom","NOT FOUND"))</f>
        <v/>
      </c>
      <c r="F33" s="71">
        <f>IF(tblThreatControls[[#This Row],[Control source]]="ASVS",INDEX(MT_APPLICABLE,tblThreatControls[[#This Row],[Source row]])&amp;"",IF(tblThreatControls[[#This Row],[Control source]]="Custom",INDEX(CC_APPLICABLE,tblThreatControls[[#This Row],[Source row]])&amp;"","NOT FOUND"))</f>
        <v/>
      </c>
      <c r="G33" s="71">
        <f>IF(tblThreatControls[[#This Row],[Control applicable]]&lt;&gt;"Applicable","N/A",IF(tblThreatControls[[#This Row],[Raw coverage]]="","Not assessed",tblThreatControls[[#This Row],[Raw coverage]]))</f>
        <v/>
      </c>
      <c r="H33" s="71">
        <f>IF(tblThreatControls[[#This Row],[Raw owner]]="",tblThreatControls[[#This Row],[Default owner]],tblThreatControls[[#This Row],[Raw owner]])</f>
        <v/>
      </c>
      <c r="I33" s="71">
        <f>IFERROR(INDEX(tblThreats[Applies],MATCH(tblThreatControls[[#This Row],[Threat ID]],tblThreats[Threat ID],0)),"NOT FOUND")</f>
        <v/>
      </c>
      <c r="J33" s="71">
        <f>IFERROR(INDEX(tblThreats[Risk],MATCH(tblThreatControls[[#This Row],[Threat ID]],tblThreats[Threat ID],0)),"")</f>
        <v/>
      </c>
      <c r="K33" s="71">
        <f>IF(tblThreatControls[[#This Row],[Threat applies]]="Applies",IFERROR(INDEX(tblThreats[Risk score],MATCH(tblThreatControls[[#This Row],[Threat ID]],tblThreats[Threat ID],0)),0),0)</f>
        <v/>
      </c>
      <c r="L3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3" s="71">
        <f>IF(tblThreatControls[[#This Row],[Control source]]="ASVS",MATCH(tblThreatControls[[#This Row],[Control ID]],MT_IDS,0),IF(tblThreatControls[[#This Row],[Control source]]="Custom",MATCH(tblThreatControls[[#This Row],[Control ID]],CC_IDS,0),0))</f>
        <v/>
      </c>
      <c r="N33" s="71">
        <f>IF(tblThreatControls[[#This Row],[Control source]]="ASVS",INDEX(MT_COVERAGE,tblThreatControls[[#This Row],[Source row]])&amp;"",IF(tblThreatControls[[#This Row],[Control source]]="Custom",INDEX(CC_COVERAGE,tblThreatControls[[#This Row],[Source row]])&amp;"",""))</f>
        <v/>
      </c>
      <c r="O33" s="71">
        <f>IF(tblThreatControls[[#This Row],[Control source]]="ASVS",INDEX(MT_LEVEL,tblThreatControls[[#This Row],[Source row]]),IF(tblThreatControls[[#This Row],[Control source]]="Custom",INDEX(CC_LEVEL,tblThreatControls[[#This Row],[Source row]]),0))</f>
        <v/>
      </c>
      <c r="P33" s="71">
        <f>IF(tblThreatControls[[#This Row],[Control source]]="ASVS",INDEX(MT_OWNER,tblThreatControls[[#This Row],[Source row]])&amp;"",IF(tblThreatControls[[#This Row],[Control source]]="Custom",INDEX(CC_OWNER,tblThreatControls[[#This Row],[Source row]])&amp;"",""))</f>
        <v/>
      </c>
    </row>
    <row r="34" ht="36" customHeight="1" s="19">
      <c r="A34" s="70" t="inlineStr">
        <is>
          <t>TM-R-001</t>
        </is>
      </c>
      <c r="B34" s="70" t="inlineStr">
        <is>
          <t>V16.4.3</t>
        </is>
      </c>
      <c r="C34" s="70" t="inlineStr">
        <is>
          <t>Configuration</t>
        </is>
      </c>
      <c r="D34" s="70" t="inlineStr">
        <is>
          <t>Logs shipped to a separate system</t>
        </is>
      </c>
      <c r="E34" s="71">
        <f>IF(ISNUMBER(MATCH(tblThreatControls[[#This Row],[Control ID]],MT_IDS,0)),"ASVS",IF(ISNUMBER(MATCH(tblThreatControls[[#This Row],[Control ID]],CC_IDS,0)),"Custom","NOT FOUND"))</f>
        <v/>
      </c>
      <c r="F34" s="71">
        <f>IF(tblThreatControls[[#This Row],[Control source]]="ASVS",INDEX(MT_APPLICABLE,tblThreatControls[[#This Row],[Source row]])&amp;"",IF(tblThreatControls[[#This Row],[Control source]]="Custom",INDEX(CC_APPLICABLE,tblThreatControls[[#This Row],[Source row]])&amp;"","NOT FOUND"))</f>
        <v/>
      </c>
      <c r="G34" s="71">
        <f>IF(tblThreatControls[[#This Row],[Control applicable]]&lt;&gt;"Applicable","N/A",IF(tblThreatControls[[#This Row],[Raw coverage]]="","Not assessed",tblThreatControls[[#This Row],[Raw coverage]]))</f>
        <v/>
      </c>
      <c r="H34" s="71">
        <f>IF(tblThreatControls[[#This Row],[Raw owner]]="",tblThreatControls[[#This Row],[Default owner]],tblThreatControls[[#This Row],[Raw owner]])</f>
        <v/>
      </c>
      <c r="I34" s="71">
        <f>IFERROR(INDEX(tblThreats[Applies],MATCH(tblThreatControls[[#This Row],[Threat ID]],tblThreats[Threat ID],0)),"NOT FOUND")</f>
        <v/>
      </c>
      <c r="J34" s="71">
        <f>IFERROR(INDEX(tblThreats[Risk],MATCH(tblThreatControls[[#This Row],[Threat ID]],tblThreats[Threat ID],0)),"")</f>
        <v/>
      </c>
      <c r="K34" s="71">
        <f>IF(tblThreatControls[[#This Row],[Threat applies]]="Applies",IFERROR(INDEX(tblThreats[Risk score],MATCH(tblThreatControls[[#This Row],[Threat ID]],tblThreats[Threat ID],0)),0),0)</f>
        <v/>
      </c>
      <c r="L3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4" s="71">
        <f>IF(tblThreatControls[[#This Row],[Control source]]="ASVS",MATCH(tblThreatControls[[#This Row],[Control ID]],MT_IDS,0),IF(tblThreatControls[[#This Row],[Control source]]="Custom",MATCH(tblThreatControls[[#This Row],[Control ID]],CC_IDS,0),0))</f>
        <v/>
      </c>
      <c r="N34" s="71">
        <f>IF(tblThreatControls[[#This Row],[Control source]]="ASVS",INDEX(MT_COVERAGE,tblThreatControls[[#This Row],[Source row]])&amp;"",IF(tblThreatControls[[#This Row],[Control source]]="Custom",INDEX(CC_COVERAGE,tblThreatControls[[#This Row],[Source row]])&amp;"",""))</f>
        <v/>
      </c>
      <c r="O34" s="71">
        <f>IF(tblThreatControls[[#This Row],[Control source]]="ASVS",INDEX(MT_LEVEL,tblThreatControls[[#This Row],[Source row]]),IF(tblThreatControls[[#This Row],[Control source]]="Custom",INDEX(CC_LEVEL,tblThreatControls[[#This Row],[Source row]]),0))</f>
        <v/>
      </c>
      <c r="P34" s="71">
        <f>IF(tblThreatControls[[#This Row],[Control source]]="ASVS",INDEX(MT_OWNER,tblThreatControls[[#This Row],[Source row]])&amp;"",IF(tblThreatControls[[#This Row],[Control source]]="Custom",INDEX(CC_OWNER,tblThreatControls[[#This Row],[Source row]])&amp;"",""))</f>
        <v/>
      </c>
    </row>
    <row r="35" ht="36" customHeight="1" s="19">
      <c r="A35" s="70" t="inlineStr">
        <is>
          <t>TM-I-001</t>
        </is>
      </c>
      <c r="B35" s="70" t="inlineStr">
        <is>
          <t>V8.2.2</t>
        </is>
      </c>
      <c r="C35" s="70" t="inlineStr">
        <is>
          <t>Internal dev</t>
        </is>
      </c>
      <c r="D35" s="70" t="inlineStr">
        <is>
          <t>Object-level authorization (IDOR/BOLA)</t>
        </is>
      </c>
      <c r="E35" s="71">
        <f>IF(ISNUMBER(MATCH(tblThreatControls[[#This Row],[Control ID]],MT_IDS,0)),"ASVS",IF(ISNUMBER(MATCH(tblThreatControls[[#This Row],[Control ID]],CC_IDS,0)),"Custom","NOT FOUND"))</f>
        <v/>
      </c>
      <c r="F35" s="71">
        <f>IF(tblThreatControls[[#This Row],[Control source]]="ASVS",INDEX(MT_APPLICABLE,tblThreatControls[[#This Row],[Source row]])&amp;"",IF(tblThreatControls[[#This Row],[Control source]]="Custom",INDEX(CC_APPLICABLE,tblThreatControls[[#This Row],[Source row]])&amp;"","NOT FOUND"))</f>
        <v/>
      </c>
      <c r="G35" s="71">
        <f>IF(tblThreatControls[[#This Row],[Control applicable]]&lt;&gt;"Applicable","N/A",IF(tblThreatControls[[#This Row],[Raw coverage]]="","Not assessed",tblThreatControls[[#This Row],[Raw coverage]]))</f>
        <v/>
      </c>
      <c r="H35" s="71">
        <f>IF(tblThreatControls[[#This Row],[Raw owner]]="",tblThreatControls[[#This Row],[Default owner]],tblThreatControls[[#This Row],[Raw owner]])</f>
        <v/>
      </c>
      <c r="I35" s="71">
        <f>IFERROR(INDEX(tblThreats[Applies],MATCH(tblThreatControls[[#This Row],[Threat ID]],tblThreats[Threat ID],0)),"NOT FOUND")</f>
        <v/>
      </c>
      <c r="J35" s="71">
        <f>IFERROR(INDEX(tblThreats[Risk],MATCH(tblThreatControls[[#This Row],[Threat ID]],tblThreats[Threat ID],0)),"")</f>
        <v/>
      </c>
      <c r="K35" s="71">
        <f>IF(tblThreatControls[[#This Row],[Threat applies]]="Applies",IFERROR(INDEX(tblThreats[Risk score],MATCH(tblThreatControls[[#This Row],[Threat ID]],tblThreats[Threat ID],0)),0),0)</f>
        <v/>
      </c>
      <c r="L3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5" s="71">
        <f>IF(tblThreatControls[[#This Row],[Control source]]="ASVS",MATCH(tblThreatControls[[#This Row],[Control ID]],MT_IDS,0),IF(tblThreatControls[[#This Row],[Control source]]="Custom",MATCH(tblThreatControls[[#This Row],[Control ID]],CC_IDS,0),0))</f>
        <v/>
      </c>
      <c r="N35" s="71">
        <f>IF(tblThreatControls[[#This Row],[Control source]]="ASVS",INDEX(MT_COVERAGE,tblThreatControls[[#This Row],[Source row]])&amp;"",IF(tblThreatControls[[#This Row],[Control source]]="Custom",INDEX(CC_COVERAGE,tblThreatControls[[#This Row],[Source row]])&amp;"",""))</f>
        <v/>
      </c>
      <c r="O35" s="71">
        <f>IF(tblThreatControls[[#This Row],[Control source]]="ASVS",INDEX(MT_LEVEL,tblThreatControls[[#This Row],[Source row]]),IF(tblThreatControls[[#This Row],[Control source]]="Custom",INDEX(CC_LEVEL,tblThreatControls[[#This Row],[Source row]]),0))</f>
        <v/>
      </c>
      <c r="P35" s="71">
        <f>IF(tblThreatControls[[#This Row],[Control source]]="ASVS",INDEX(MT_OWNER,tblThreatControls[[#This Row],[Source row]])&amp;"",IF(tblThreatControls[[#This Row],[Control source]]="Custom",INDEX(CC_OWNER,tblThreatControls[[#This Row],[Source row]])&amp;"",""))</f>
        <v/>
      </c>
    </row>
    <row r="36" ht="36" customHeight="1" s="19">
      <c r="A36" s="70" t="inlineStr">
        <is>
          <t>TM-I-001</t>
        </is>
      </c>
      <c r="B36" s="70" t="inlineStr">
        <is>
          <t>V8.2.3</t>
        </is>
      </c>
      <c r="C36" s="70" t="inlineStr">
        <is>
          <t>Internal dev</t>
        </is>
      </c>
      <c r="D36" s="70" t="inlineStr">
        <is>
          <t>Field-level authorization (BOPLA)</t>
        </is>
      </c>
      <c r="E36" s="71">
        <f>IF(ISNUMBER(MATCH(tblThreatControls[[#This Row],[Control ID]],MT_IDS,0)),"ASVS",IF(ISNUMBER(MATCH(tblThreatControls[[#This Row],[Control ID]],CC_IDS,0)),"Custom","NOT FOUND"))</f>
        <v/>
      </c>
      <c r="F36" s="71">
        <f>IF(tblThreatControls[[#This Row],[Control source]]="ASVS",INDEX(MT_APPLICABLE,tblThreatControls[[#This Row],[Source row]])&amp;"",IF(tblThreatControls[[#This Row],[Control source]]="Custom",INDEX(CC_APPLICABLE,tblThreatControls[[#This Row],[Source row]])&amp;"","NOT FOUND"))</f>
        <v/>
      </c>
      <c r="G36" s="71">
        <f>IF(tblThreatControls[[#This Row],[Control applicable]]&lt;&gt;"Applicable","N/A",IF(tblThreatControls[[#This Row],[Raw coverage]]="","Not assessed",tblThreatControls[[#This Row],[Raw coverage]]))</f>
        <v/>
      </c>
      <c r="H36" s="71">
        <f>IF(tblThreatControls[[#This Row],[Raw owner]]="",tblThreatControls[[#This Row],[Default owner]],tblThreatControls[[#This Row],[Raw owner]])</f>
        <v/>
      </c>
      <c r="I36" s="71">
        <f>IFERROR(INDEX(tblThreats[Applies],MATCH(tblThreatControls[[#This Row],[Threat ID]],tblThreats[Threat ID],0)),"NOT FOUND")</f>
        <v/>
      </c>
      <c r="J36" s="71">
        <f>IFERROR(INDEX(tblThreats[Risk],MATCH(tblThreatControls[[#This Row],[Threat ID]],tblThreats[Threat ID],0)),"")</f>
        <v/>
      </c>
      <c r="K36" s="71">
        <f>IF(tblThreatControls[[#This Row],[Threat applies]]="Applies",IFERROR(INDEX(tblThreats[Risk score],MATCH(tblThreatControls[[#This Row],[Threat ID]],tblThreats[Threat ID],0)),0),0)</f>
        <v/>
      </c>
      <c r="L3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6" s="71">
        <f>IF(tblThreatControls[[#This Row],[Control source]]="ASVS",MATCH(tblThreatControls[[#This Row],[Control ID]],MT_IDS,0),IF(tblThreatControls[[#This Row],[Control source]]="Custom",MATCH(tblThreatControls[[#This Row],[Control ID]],CC_IDS,0),0))</f>
        <v/>
      </c>
      <c r="N36" s="71">
        <f>IF(tblThreatControls[[#This Row],[Control source]]="ASVS",INDEX(MT_COVERAGE,tblThreatControls[[#This Row],[Source row]])&amp;"",IF(tblThreatControls[[#This Row],[Control source]]="Custom",INDEX(CC_COVERAGE,tblThreatControls[[#This Row],[Source row]])&amp;"",""))</f>
        <v/>
      </c>
      <c r="O36" s="71">
        <f>IF(tblThreatControls[[#This Row],[Control source]]="ASVS",INDEX(MT_LEVEL,tblThreatControls[[#This Row],[Source row]]),IF(tblThreatControls[[#This Row],[Control source]]="Custom",INDEX(CC_LEVEL,tblThreatControls[[#This Row],[Source row]]),0))</f>
        <v/>
      </c>
      <c r="P36" s="71">
        <f>IF(tblThreatControls[[#This Row],[Control source]]="ASVS",INDEX(MT_OWNER,tblThreatControls[[#This Row],[Source row]])&amp;"",IF(tblThreatControls[[#This Row],[Control source]]="Custom",INDEX(CC_OWNER,tblThreatControls[[#This Row],[Source row]])&amp;"",""))</f>
        <v/>
      </c>
    </row>
    <row r="37" ht="36" customHeight="1" s="19">
      <c r="A37" s="70" t="inlineStr">
        <is>
          <t>TM-I-001</t>
        </is>
      </c>
      <c r="B37" s="70" t="inlineStr">
        <is>
          <t>V8.3.1</t>
        </is>
      </c>
      <c r="C37" s="70" t="inlineStr">
        <is>
          <t>Internal dev</t>
        </is>
      </c>
      <c r="D37" s="70" t="inlineStr">
        <is>
          <t>Authorization enforced server-side</t>
        </is>
      </c>
      <c r="E37" s="71">
        <f>IF(ISNUMBER(MATCH(tblThreatControls[[#This Row],[Control ID]],MT_IDS,0)),"ASVS",IF(ISNUMBER(MATCH(tblThreatControls[[#This Row],[Control ID]],CC_IDS,0)),"Custom","NOT FOUND"))</f>
        <v/>
      </c>
      <c r="F37" s="71">
        <f>IF(tblThreatControls[[#This Row],[Control source]]="ASVS",INDEX(MT_APPLICABLE,tblThreatControls[[#This Row],[Source row]])&amp;"",IF(tblThreatControls[[#This Row],[Control source]]="Custom",INDEX(CC_APPLICABLE,tblThreatControls[[#This Row],[Source row]])&amp;"","NOT FOUND"))</f>
        <v/>
      </c>
      <c r="G37" s="71">
        <f>IF(tblThreatControls[[#This Row],[Control applicable]]&lt;&gt;"Applicable","N/A",IF(tblThreatControls[[#This Row],[Raw coverage]]="","Not assessed",tblThreatControls[[#This Row],[Raw coverage]]))</f>
        <v/>
      </c>
      <c r="H37" s="71">
        <f>IF(tblThreatControls[[#This Row],[Raw owner]]="",tblThreatControls[[#This Row],[Default owner]],tblThreatControls[[#This Row],[Raw owner]])</f>
        <v/>
      </c>
      <c r="I37" s="71">
        <f>IFERROR(INDEX(tblThreats[Applies],MATCH(tblThreatControls[[#This Row],[Threat ID]],tblThreats[Threat ID],0)),"NOT FOUND")</f>
        <v/>
      </c>
      <c r="J37" s="71">
        <f>IFERROR(INDEX(tblThreats[Risk],MATCH(tblThreatControls[[#This Row],[Threat ID]],tblThreats[Threat ID],0)),"")</f>
        <v/>
      </c>
      <c r="K37" s="71">
        <f>IF(tblThreatControls[[#This Row],[Threat applies]]="Applies",IFERROR(INDEX(tblThreats[Risk score],MATCH(tblThreatControls[[#This Row],[Threat ID]],tblThreats[Threat ID],0)),0),0)</f>
        <v/>
      </c>
      <c r="L3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7" s="71">
        <f>IF(tblThreatControls[[#This Row],[Control source]]="ASVS",MATCH(tblThreatControls[[#This Row],[Control ID]],MT_IDS,0),IF(tblThreatControls[[#This Row],[Control source]]="Custom",MATCH(tblThreatControls[[#This Row],[Control ID]],CC_IDS,0),0))</f>
        <v/>
      </c>
      <c r="N37" s="71">
        <f>IF(tblThreatControls[[#This Row],[Control source]]="ASVS",INDEX(MT_COVERAGE,tblThreatControls[[#This Row],[Source row]])&amp;"",IF(tblThreatControls[[#This Row],[Control source]]="Custom",INDEX(CC_COVERAGE,tblThreatControls[[#This Row],[Source row]])&amp;"",""))</f>
        <v/>
      </c>
      <c r="O37" s="71">
        <f>IF(tblThreatControls[[#This Row],[Control source]]="ASVS",INDEX(MT_LEVEL,tblThreatControls[[#This Row],[Source row]]),IF(tblThreatControls[[#This Row],[Control source]]="Custom",INDEX(CC_LEVEL,tblThreatControls[[#This Row],[Source row]]),0))</f>
        <v/>
      </c>
      <c r="P37" s="71">
        <f>IF(tblThreatControls[[#This Row],[Control source]]="ASVS",INDEX(MT_OWNER,tblThreatControls[[#This Row],[Source row]])&amp;"",IF(tblThreatControls[[#This Row],[Control source]]="Custom",INDEX(CC_OWNER,tblThreatControls[[#This Row],[Source row]])&amp;"",""))</f>
        <v/>
      </c>
    </row>
    <row r="38" ht="36" customHeight="1" s="19">
      <c r="A38" s="70" t="inlineStr">
        <is>
          <t>TM-I-001</t>
        </is>
      </c>
      <c r="B38" s="70" t="inlineStr">
        <is>
          <t>V8.4.1</t>
        </is>
      </c>
      <c r="C38" s="70" t="inlineStr">
        <is>
          <t>Internal dev</t>
        </is>
      </c>
      <c r="D38" s="70" t="inlineStr">
        <is>
          <t>Cross-tenant controls</t>
        </is>
      </c>
      <c r="E38" s="71">
        <f>IF(ISNUMBER(MATCH(tblThreatControls[[#This Row],[Control ID]],MT_IDS,0)),"ASVS",IF(ISNUMBER(MATCH(tblThreatControls[[#This Row],[Control ID]],CC_IDS,0)),"Custom","NOT FOUND"))</f>
        <v/>
      </c>
      <c r="F38" s="71">
        <f>IF(tblThreatControls[[#This Row],[Control source]]="ASVS",INDEX(MT_APPLICABLE,tblThreatControls[[#This Row],[Source row]])&amp;"",IF(tblThreatControls[[#This Row],[Control source]]="Custom",INDEX(CC_APPLICABLE,tblThreatControls[[#This Row],[Source row]])&amp;"","NOT FOUND"))</f>
        <v/>
      </c>
      <c r="G38" s="71">
        <f>IF(tblThreatControls[[#This Row],[Control applicable]]&lt;&gt;"Applicable","N/A",IF(tblThreatControls[[#This Row],[Raw coverage]]="","Not assessed",tblThreatControls[[#This Row],[Raw coverage]]))</f>
        <v/>
      </c>
      <c r="H38" s="71">
        <f>IF(tblThreatControls[[#This Row],[Raw owner]]="",tblThreatControls[[#This Row],[Default owner]],tblThreatControls[[#This Row],[Raw owner]])</f>
        <v/>
      </c>
      <c r="I38" s="71">
        <f>IFERROR(INDEX(tblThreats[Applies],MATCH(tblThreatControls[[#This Row],[Threat ID]],tblThreats[Threat ID],0)),"NOT FOUND")</f>
        <v/>
      </c>
      <c r="J38" s="71">
        <f>IFERROR(INDEX(tblThreats[Risk],MATCH(tblThreatControls[[#This Row],[Threat ID]],tblThreats[Threat ID],0)),"")</f>
        <v/>
      </c>
      <c r="K38" s="71">
        <f>IF(tblThreatControls[[#This Row],[Threat applies]]="Applies",IFERROR(INDEX(tblThreats[Risk score],MATCH(tblThreatControls[[#This Row],[Threat ID]],tblThreats[Threat ID],0)),0),0)</f>
        <v/>
      </c>
      <c r="L3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8" s="71">
        <f>IF(tblThreatControls[[#This Row],[Control source]]="ASVS",MATCH(tblThreatControls[[#This Row],[Control ID]],MT_IDS,0),IF(tblThreatControls[[#This Row],[Control source]]="Custom",MATCH(tblThreatControls[[#This Row],[Control ID]],CC_IDS,0),0))</f>
        <v/>
      </c>
      <c r="N38" s="71">
        <f>IF(tblThreatControls[[#This Row],[Control source]]="ASVS",INDEX(MT_COVERAGE,tblThreatControls[[#This Row],[Source row]])&amp;"",IF(tblThreatControls[[#This Row],[Control source]]="Custom",INDEX(CC_COVERAGE,tblThreatControls[[#This Row],[Source row]])&amp;"",""))</f>
        <v/>
      </c>
      <c r="O38" s="71">
        <f>IF(tblThreatControls[[#This Row],[Control source]]="ASVS",INDEX(MT_LEVEL,tblThreatControls[[#This Row],[Source row]]),IF(tblThreatControls[[#This Row],[Control source]]="Custom",INDEX(CC_LEVEL,tblThreatControls[[#This Row],[Source row]]),0))</f>
        <v/>
      </c>
      <c r="P38" s="71">
        <f>IF(tblThreatControls[[#This Row],[Control source]]="ASVS",INDEX(MT_OWNER,tblThreatControls[[#This Row],[Source row]])&amp;"",IF(tblThreatControls[[#This Row],[Control source]]="Custom",INDEX(CC_OWNER,tblThreatControls[[#This Row],[Source row]])&amp;"",""))</f>
        <v/>
      </c>
    </row>
    <row r="39" ht="36" customHeight="1" s="19">
      <c r="A39" s="70" t="inlineStr">
        <is>
          <t>TM-I-002</t>
        </is>
      </c>
      <c r="B39" s="70" t="inlineStr">
        <is>
          <t>V13.3.1</t>
        </is>
      </c>
      <c r="C39" s="70" t="inlineStr">
        <is>
          <t>Configuration</t>
        </is>
      </c>
      <c r="D39" s="70" t="inlineStr">
        <is>
          <t>Secrets kept in a secrets manager</t>
        </is>
      </c>
      <c r="E39" s="71">
        <f>IF(ISNUMBER(MATCH(tblThreatControls[[#This Row],[Control ID]],MT_IDS,0)),"ASVS",IF(ISNUMBER(MATCH(tblThreatControls[[#This Row],[Control ID]],CC_IDS,0)),"Custom","NOT FOUND"))</f>
        <v/>
      </c>
      <c r="F39" s="71">
        <f>IF(tblThreatControls[[#This Row],[Control source]]="ASVS",INDEX(MT_APPLICABLE,tblThreatControls[[#This Row],[Source row]])&amp;"",IF(tblThreatControls[[#This Row],[Control source]]="Custom",INDEX(CC_APPLICABLE,tblThreatControls[[#This Row],[Source row]])&amp;"","NOT FOUND"))</f>
        <v/>
      </c>
      <c r="G39" s="71">
        <f>IF(tblThreatControls[[#This Row],[Control applicable]]&lt;&gt;"Applicable","N/A",IF(tblThreatControls[[#This Row],[Raw coverage]]="","Not assessed",tblThreatControls[[#This Row],[Raw coverage]]))</f>
        <v/>
      </c>
      <c r="H39" s="71">
        <f>IF(tblThreatControls[[#This Row],[Raw owner]]="",tblThreatControls[[#This Row],[Default owner]],tblThreatControls[[#This Row],[Raw owner]])</f>
        <v/>
      </c>
      <c r="I39" s="71">
        <f>IFERROR(INDEX(tblThreats[Applies],MATCH(tblThreatControls[[#This Row],[Threat ID]],tblThreats[Threat ID],0)),"NOT FOUND")</f>
        <v/>
      </c>
      <c r="J39" s="71">
        <f>IFERROR(INDEX(tblThreats[Risk],MATCH(tblThreatControls[[#This Row],[Threat ID]],tblThreats[Threat ID],0)),"")</f>
        <v/>
      </c>
      <c r="K39" s="71">
        <f>IF(tblThreatControls[[#This Row],[Threat applies]]="Applies",IFERROR(INDEX(tblThreats[Risk score],MATCH(tblThreatControls[[#This Row],[Threat ID]],tblThreats[Threat ID],0)),0),0)</f>
        <v/>
      </c>
      <c r="L3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9" s="71">
        <f>IF(tblThreatControls[[#This Row],[Control source]]="ASVS",MATCH(tblThreatControls[[#This Row],[Control ID]],MT_IDS,0),IF(tblThreatControls[[#This Row],[Control source]]="Custom",MATCH(tblThreatControls[[#This Row],[Control ID]],CC_IDS,0),0))</f>
        <v/>
      </c>
      <c r="N39" s="71">
        <f>IF(tblThreatControls[[#This Row],[Control source]]="ASVS",INDEX(MT_COVERAGE,tblThreatControls[[#This Row],[Source row]])&amp;"",IF(tblThreatControls[[#This Row],[Control source]]="Custom",INDEX(CC_COVERAGE,tblThreatControls[[#This Row],[Source row]])&amp;"",""))</f>
        <v/>
      </c>
      <c r="O39" s="71">
        <f>IF(tblThreatControls[[#This Row],[Control source]]="ASVS",INDEX(MT_LEVEL,tblThreatControls[[#This Row],[Source row]]),IF(tblThreatControls[[#This Row],[Control source]]="Custom",INDEX(CC_LEVEL,tblThreatControls[[#This Row],[Source row]]),0))</f>
        <v/>
      </c>
      <c r="P39" s="71">
        <f>IF(tblThreatControls[[#This Row],[Control source]]="ASVS",INDEX(MT_OWNER,tblThreatControls[[#This Row],[Source row]])&amp;"",IF(tblThreatControls[[#This Row],[Control source]]="Custom",INDEX(CC_OWNER,tblThreatControls[[#This Row],[Source row]])&amp;"",""))</f>
        <v/>
      </c>
    </row>
    <row r="40" ht="36" customHeight="1" s="19">
      <c r="A40" s="70" t="inlineStr">
        <is>
          <t>TM-I-002</t>
        </is>
      </c>
      <c r="B40" s="70" t="inlineStr">
        <is>
          <t>V13.3.2</t>
        </is>
      </c>
      <c r="C40" s="70" t="inlineStr">
        <is>
          <t>Configuration</t>
        </is>
      </c>
      <c r="D40" s="70" t="inlineStr">
        <is>
          <t>Least-privilege access to secrets</t>
        </is>
      </c>
      <c r="E40" s="71">
        <f>IF(ISNUMBER(MATCH(tblThreatControls[[#This Row],[Control ID]],MT_IDS,0)),"ASVS",IF(ISNUMBER(MATCH(tblThreatControls[[#This Row],[Control ID]],CC_IDS,0)),"Custom","NOT FOUND"))</f>
        <v/>
      </c>
      <c r="F40" s="71">
        <f>IF(tblThreatControls[[#This Row],[Control source]]="ASVS",INDEX(MT_APPLICABLE,tblThreatControls[[#This Row],[Source row]])&amp;"",IF(tblThreatControls[[#This Row],[Control source]]="Custom",INDEX(CC_APPLICABLE,tblThreatControls[[#This Row],[Source row]])&amp;"","NOT FOUND"))</f>
        <v/>
      </c>
      <c r="G40" s="71">
        <f>IF(tblThreatControls[[#This Row],[Control applicable]]&lt;&gt;"Applicable","N/A",IF(tblThreatControls[[#This Row],[Raw coverage]]="","Not assessed",tblThreatControls[[#This Row],[Raw coverage]]))</f>
        <v/>
      </c>
      <c r="H40" s="71">
        <f>IF(tblThreatControls[[#This Row],[Raw owner]]="",tblThreatControls[[#This Row],[Default owner]],tblThreatControls[[#This Row],[Raw owner]])</f>
        <v/>
      </c>
      <c r="I40" s="71">
        <f>IFERROR(INDEX(tblThreats[Applies],MATCH(tblThreatControls[[#This Row],[Threat ID]],tblThreats[Threat ID],0)),"NOT FOUND")</f>
        <v/>
      </c>
      <c r="J40" s="71">
        <f>IFERROR(INDEX(tblThreats[Risk],MATCH(tblThreatControls[[#This Row],[Threat ID]],tblThreats[Threat ID],0)),"")</f>
        <v/>
      </c>
      <c r="K40" s="71">
        <f>IF(tblThreatControls[[#This Row],[Threat applies]]="Applies",IFERROR(INDEX(tblThreats[Risk score],MATCH(tblThreatControls[[#This Row],[Threat ID]],tblThreats[Threat ID],0)),0),0)</f>
        <v/>
      </c>
      <c r="L4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0" s="71">
        <f>IF(tblThreatControls[[#This Row],[Control source]]="ASVS",MATCH(tblThreatControls[[#This Row],[Control ID]],MT_IDS,0),IF(tblThreatControls[[#This Row],[Control source]]="Custom",MATCH(tblThreatControls[[#This Row],[Control ID]],CC_IDS,0),0))</f>
        <v/>
      </c>
      <c r="N40" s="71">
        <f>IF(tblThreatControls[[#This Row],[Control source]]="ASVS",INDEX(MT_COVERAGE,tblThreatControls[[#This Row],[Source row]])&amp;"",IF(tblThreatControls[[#This Row],[Control source]]="Custom",INDEX(CC_COVERAGE,tblThreatControls[[#This Row],[Source row]])&amp;"",""))</f>
        <v/>
      </c>
      <c r="O40" s="71">
        <f>IF(tblThreatControls[[#This Row],[Control source]]="ASVS",INDEX(MT_LEVEL,tblThreatControls[[#This Row],[Source row]]),IF(tblThreatControls[[#This Row],[Control source]]="Custom",INDEX(CC_LEVEL,tblThreatControls[[#This Row],[Source row]]),0))</f>
        <v/>
      </c>
      <c r="P40" s="71">
        <f>IF(tblThreatControls[[#This Row],[Control source]]="ASVS",INDEX(MT_OWNER,tblThreatControls[[#This Row],[Source row]])&amp;"",IF(tblThreatControls[[#This Row],[Control source]]="Custom",INDEX(CC_OWNER,tblThreatControls[[#This Row],[Source row]])&amp;"",""))</f>
        <v/>
      </c>
    </row>
    <row r="41" ht="36" customHeight="1" s="19">
      <c r="A41" s="70" t="inlineStr">
        <is>
          <t>TM-I-002</t>
        </is>
      </c>
      <c r="B41" s="70" t="inlineStr">
        <is>
          <t>V13.3.4</t>
        </is>
      </c>
      <c r="C41" s="70" t="inlineStr">
        <is>
          <t>Configuration</t>
        </is>
      </c>
      <c r="D41" s="70" t="inlineStr">
        <is>
          <t>Secrets expire and are rotated</t>
        </is>
      </c>
      <c r="E41" s="71">
        <f>IF(ISNUMBER(MATCH(tblThreatControls[[#This Row],[Control ID]],MT_IDS,0)),"ASVS",IF(ISNUMBER(MATCH(tblThreatControls[[#This Row],[Control ID]],CC_IDS,0)),"Custom","NOT FOUND"))</f>
        <v/>
      </c>
      <c r="F41" s="71">
        <f>IF(tblThreatControls[[#This Row],[Control source]]="ASVS",INDEX(MT_APPLICABLE,tblThreatControls[[#This Row],[Source row]])&amp;"",IF(tblThreatControls[[#This Row],[Control source]]="Custom",INDEX(CC_APPLICABLE,tblThreatControls[[#This Row],[Source row]])&amp;"","NOT FOUND"))</f>
        <v/>
      </c>
      <c r="G41" s="71">
        <f>IF(tblThreatControls[[#This Row],[Control applicable]]&lt;&gt;"Applicable","N/A",IF(tblThreatControls[[#This Row],[Raw coverage]]="","Not assessed",tblThreatControls[[#This Row],[Raw coverage]]))</f>
        <v/>
      </c>
      <c r="H41" s="71">
        <f>IF(tblThreatControls[[#This Row],[Raw owner]]="",tblThreatControls[[#This Row],[Default owner]],tblThreatControls[[#This Row],[Raw owner]])</f>
        <v/>
      </c>
      <c r="I41" s="71">
        <f>IFERROR(INDEX(tblThreats[Applies],MATCH(tblThreatControls[[#This Row],[Threat ID]],tblThreats[Threat ID],0)),"NOT FOUND")</f>
        <v/>
      </c>
      <c r="J41" s="71">
        <f>IFERROR(INDEX(tblThreats[Risk],MATCH(tblThreatControls[[#This Row],[Threat ID]],tblThreats[Threat ID],0)),"")</f>
        <v/>
      </c>
      <c r="K41" s="71">
        <f>IF(tblThreatControls[[#This Row],[Threat applies]]="Applies",IFERROR(INDEX(tblThreats[Risk score],MATCH(tblThreatControls[[#This Row],[Threat ID]],tblThreats[Threat ID],0)),0),0)</f>
        <v/>
      </c>
      <c r="L4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1" s="71">
        <f>IF(tblThreatControls[[#This Row],[Control source]]="ASVS",MATCH(tblThreatControls[[#This Row],[Control ID]],MT_IDS,0),IF(tblThreatControls[[#This Row],[Control source]]="Custom",MATCH(tblThreatControls[[#This Row],[Control ID]],CC_IDS,0),0))</f>
        <v/>
      </c>
      <c r="N41" s="71">
        <f>IF(tblThreatControls[[#This Row],[Control source]]="ASVS",INDEX(MT_COVERAGE,tblThreatControls[[#This Row],[Source row]])&amp;"",IF(tblThreatControls[[#This Row],[Control source]]="Custom",INDEX(CC_COVERAGE,tblThreatControls[[#This Row],[Source row]])&amp;"",""))</f>
        <v/>
      </c>
      <c r="O41" s="71">
        <f>IF(tblThreatControls[[#This Row],[Control source]]="ASVS",INDEX(MT_LEVEL,tblThreatControls[[#This Row],[Source row]]),IF(tblThreatControls[[#This Row],[Control source]]="Custom",INDEX(CC_LEVEL,tblThreatControls[[#This Row],[Source row]]),0))</f>
        <v/>
      </c>
      <c r="P41" s="71">
        <f>IF(tblThreatControls[[#This Row],[Control source]]="ASVS",INDEX(MT_OWNER,tblThreatControls[[#This Row],[Source row]])&amp;"",IF(tblThreatControls[[#This Row],[Control source]]="Custom",INDEX(CC_OWNER,tblThreatControls[[#This Row],[Source row]])&amp;"",""))</f>
        <v/>
      </c>
    </row>
    <row r="42" ht="36" customHeight="1" s="19">
      <c r="A42" s="70" t="inlineStr">
        <is>
          <t>TM-I-003</t>
        </is>
      </c>
      <c r="B42" s="70" t="inlineStr">
        <is>
          <t>TMX-EGRESS-001</t>
        </is>
      </c>
      <c r="C42" s="70" t="inlineStr">
        <is>
          <t>Compensating</t>
        </is>
      </c>
      <c r="D42" s="70" t="inlineStr">
        <is>
          <t>Outbound traffic limited to approved destinations</t>
        </is>
      </c>
      <c r="E42" s="71">
        <f>IF(ISNUMBER(MATCH(tblThreatControls[[#This Row],[Control ID]],MT_IDS,0)),"ASVS",IF(ISNUMBER(MATCH(tblThreatControls[[#This Row],[Control ID]],CC_IDS,0)),"Custom","NOT FOUND"))</f>
        <v/>
      </c>
      <c r="F42" s="71">
        <f>IF(tblThreatControls[[#This Row],[Control source]]="ASVS",INDEX(MT_APPLICABLE,tblThreatControls[[#This Row],[Source row]])&amp;"",IF(tblThreatControls[[#This Row],[Control source]]="Custom",INDEX(CC_APPLICABLE,tblThreatControls[[#This Row],[Source row]])&amp;"","NOT FOUND"))</f>
        <v/>
      </c>
      <c r="G42" s="71">
        <f>IF(tblThreatControls[[#This Row],[Control applicable]]&lt;&gt;"Applicable","N/A",IF(tblThreatControls[[#This Row],[Raw coverage]]="","Not assessed",tblThreatControls[[#This Row],[Raw coverage]]))</f>
        <v/>
      </c>
      <c r="H42" s="71">
        <f>IF(tblThreatControls[[#This Row],[Raw owner]]="",tblThreatControls[[#This Row],[Default owner]],tblThreatControls[[#This Row],[Raw owner]])</f>
        <v/>
      </c>
      <c r="I42" s="71">
        <f>IFERROR(INDEX(tblThreats[Applies],MATCH(tblThreatControls[[#This Row],[Threat ID]],tblThreats[Threat ID],0)),"NOT FOUND")</f>
        <v/>
      </c>
      <c r="J42" s="71">
        <f>IFERROR(INDEX(tblThreats[Risk],MATCH(tblThreatControls[[#This Row],[Threat ID]],tblThreats[Threat ID],0)),"")</f>
        <v/>
      </c>
      <c r="K42" s="71">
        <f>IF(tblThreatControls[[#This Row],[Threat applies]]="Applies",IFERROR(INDEX(tblThreats[Risk score],MATCH(tblThreatControls[[#This Row],[Threat ID]],tblThreats[Threat ID],0)),0),0)</f>
        <v/>
      </c>
      <c r="L4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2" s="71">
        <f>IF(tblThreatControls[[#This Row],[Control source]]="ASVS",MATCH(tblThreatControls[[#This Row],[Control ID]],MT_IDS,0),IF(tblThreatControls[[#This Row],[Control source]]="Custom",MATCH(tblThreatControls[[#This Row],[Control ID]],CC_IDS,0),0))</f>
        <v/>
      </c>
      <c r="N42" s="71">
        <f>IF(tblThreatControls[[#This Row],[Control source]]="ASVS",INDEX(MT_COVERAGE,tblThreatControls[[#This Row],[Source row]])&amp;"",IF(tblThreatControls[[#This Row],[Control source]]="Custom",INDEX(CC_COVERAGE,tblThreatControls[[#This Row],[Source row]])&amp;"",""))</f>
        <v/>
      </c>
      <c r="O42" s="71">
        <f>IF(tblThreatControls[[#This Row],[Control source]]="ASVS",INDEX(MT_LEVEL,tblThreatControls[[#This Row],[Source row]]),IF(tblThreatControls[[#This Row],[Control source]]="Custom",INDEX(CC_LEVEL,tblThreatControls[[#This Row],[Source row]]),0))</f>
        <v/>
      </c>
      <c r="P42" s="71">
        <f>IF(tblThreatControls[[#This Row],[Control source]]="ASVS",INDEX(MT_OWNER,tblThreatControls[[#This Row],[Source row]])&amp;"",IF(tblThreatControls[[#This Row],[Control source]]="Custom",INDEX(CC_OWNER,tblThreatControls[[#This Row],[Source row]])&amp;"",""))</f>
        <v/>
      </c>
    </row>
    <row r="43" ht="36" customHeight="1" s="19">
      <c r="A43" s="70" t="inlineStr">
        <is>
          <t>TM-I-003</t>
        </is>
      </c>
      <c r="B43" s="70" t="inlineStr">
        <is>
          <t>V13.2.4</t>
        </is>
      </c>
      <c r="C43" s="70" t="inlineStr">
        <is>
          <t>Configuration</t>
        </is>
      </c>
      <c r="D43" s="70" t="inlineStr">
        <is>
          <t>Allowlist of external systems</t>
        </is>
      </c>
      <c r="E43" s="71">
        <f>IF(ISNUMBER(MATCH(tblThreatControls[[#This Row],[Control ID]],MT_IDS,0)),"ASVS",IF(ISNUMBER(MATCH(tblThreatControls[[#This Row],[Control ID]],CC_IDS,0)),"Custom","NOT FOUND"))</f>
        <v/>
      </c>
      <c r="F43" s="71">
        <f>IF(tblThreatControls[[#This Row],[Control source]]="ASVS",INDEX(MT_APPLICABLE,tblThreatControls[[#This Row],[Source row]])&amp;"",IF(tblThreatControls[[#This Row],[Control source]]="Custom",INDEX(CC_APPLICABLE,tblThreatControls[[#This Row],[Source row]])&amp;"","NOT FOUND"))</f>
        <v/>
      </c>
      <c r="G43" s="71">
        <f>IF(tblThreatControls[[#This Row],[Control applicable]]&lt;&gt;"Applicable","N/A",IF(tblThreatControls[[#This Row],[Raw coverage]]="","Not assessed",tblThreatControls[[#This Row],[Raw coverage]]))</f>
        <v/>
      </c>
      <c r="H43" s="71">
        <f>IF(tblThreatControls[[#This Row],[Raw owner]]="",tblThreatControls[[#This Row],[Default owner]],tblThreatControls[[#This Row],[Raw owner]])</f>
        <v/>
      </c>
      <c r="I43" s="71">
        <f>IFERROR(INDEX(tblThreats[Applies],MATCH(tblThreatControls[[#This Row],[Threat ID]],tblThreats[Threat ID],0)),"NOT FOUND")</f>
        <v/>
      </c>
      <c r="J43" s="71">
        <f>IFERROR(INDEX(tblThreats[Risk],MATCH(tblThreatControls[[#This Row],[Threat ID]],tblThreats[Threat ID],0)),"")</f>
        <v/>
      </c>
      <c r="K43" s="71">
        <f>IF(tblThreatControls[[#This Row],[Threat applies]]="Applies",IFERROR(INDEX(tblThreats[Risk score],MATCH(tblThreatControls[[#This Row],[Threat ID]],tblThreats[Threat ID],0)),0),0)</f>
        <v/>
      </c>
      <c r="L4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3" s="71">
        <f>IF(tblThreatControls[[#This Row],[Control source]]="ASVS",MATCH(tblThreatControls[[#This Row],[Control ID]],MT_IDS,0),IF(tblThreatControls[[#This Row],[Control source]]="Custom",MATCH(tblThreatControls[[#This Row],[Control ID]],CC_IDS,0),0))</f>
        <v/>
      </c>
      <c r="N43" s="71">
        <f>IF(tblThreatControls[[#This Row],[Control source]]="ASVS",INDEX(MT_COVERAGE,tblThreatControls[[#This Row],[Source row]])&amp;"",IF(tblThreatControls[[#This Row],[Control source]]="Custom",INDEX(CC_COVERAGE,tblThreatControls[[#This Row],[Source row]])&amp;"",""))</f>
        <v/>
      </c>
      <c r="O43" s="71">
        <f>IF(tblThreatControls[[#This Row],[Control source]]="ASVS",INDEX(MT_LEVEL,tblThreatControls[[#This Row],[Source row]]),IF(tblThreatControls[[#This Row],[Control source]]="Custom",INDEX(CC_LEVEL,tblThreatControls[[#This Row],[Source row]]),0))</f>
        <v/>
      </c>
      <c r="P43" s="71">
        <f>IF(tblThreatControls[[#This Row],[Control source]]="ASVS",INDEX(MT_OWNER,tblThreatControls[[#This Row],[Source row]])&amp;"",IF(tblThreatControls[[#This Row],[Control source]]="Custom",INDEX(CC_OWNER,tblThreatControls[[#This Row],[Source row]])&amp;"",""))</f>
        <v/>
      </c>
    </row>
    <row r="44" ht="36" customHeight="1" s="19">
      <c r="A44" s="70" t="inlineStr">
        <is>
          <t>TM-I-003</t>
        </is>
      </c>
      <c r="B44" s="70" t="inlineStr">
        <is>
          <t>V14.2.3</t>
        </is>
      </c>
      <c r="C44" s="70" t="inlineStr">
        <is>
          <t>Configuration</t>
        </is>
      </c>
      <c r="D44" s="70" t="inlineStr">
        <is>
          <t>Sensitive data not sent to untrusted parties</t>
        </is>
      </c>
      <c r="E44" s="71">
        <f>IF(ISNUMBER(MATCH(tblThreatControls[[#This Row],[Control ID]],MT_IDS,0)),"ASVS",IF(ISNUMBER(MATCH(tblThreatControls[[#This Row],[Control ID]],CC_IDS,0)),"Custom","NOT FOUND"))</f>
        <v/>
      </c>
      <c r="F44" s="71">
        <f>IF(tblThreatControls[[#This Row],[Control source]]="ASVS",INDEX(MT_APPLICABLE,tblThreatControls[[#This Row],[Source row]])&amp;"",IF(tblThreatControls[[#This Row],[Control source]]="Custom",INDEX(CC_APPLICABLE,tblThreatControls[[#This Row],[Source row]])&amp;"","NOT FOUND"))</f>
        <v/>
      </c>
      <c r="G44" s="71">
        <f>IF(tblThreatControls[[#This Row],[Control applicable]]&lt;&gt;"Applicable","N/A",IF(tblThreatControls[[#This Row],[Raw coverage]]="","Not assessed",tblThreatControls[[#This Row],[Raw coverage]]))</f>
        <v/>
      </c>
      <c r="H44" s="71">
        <f>IF(tblThreatControls[[#This Row],[Raw owner]]="",tblThreatControls[[#This Row],[Default owner]],tblThreatControls[[#This Row],[Raw owner]])</f>
        <v/>
      </c>
      <c r="I44" s="71">
        <f>IFERROR(INDEX(tblThreats[Applies],MATCH(tblThreatControls[[#This Row],[Threat ID]],tblThreats[Threat ID],0)),"NOT FOUND")</f>
        <v/>
      </c>
      <c r="J44" s="71">
        <f>IFERROR(INDEX(tblThreats[Risk],MATCH(tblThreatControls[[#This Row],[Threat ID]],tblThreats[Threat ID],0)),"")</f>
        <v/>
      </c>
      <c r="K44" s="71">
        <f>IF(tblThreatControls[[#This Row],[Threat applies]]="Applies",IFERROR(INDEX(tblThreats[Risk score],MATCH(tblThreatControls[[#This Row],[Threat ID]],tblThreats[Threat ID],0)),0),0)</f>
        <v/>
      </c>
      <c r="L4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4" s="71">
        <f>IF(tblThreatControls[[#This Row],[Control source]]="ASVS",MATCH(tblThreatControls[[#This Row],[Control ID]],MT_IDS,0),IF(tblThreatControls[[#This Row],[Control source]]="Custom",MATCH(tblThreatControls[[#This Row],[Control ID]],CC_IDS,0),0))</f>
        <v/>
      </c>
      <c r="N44" s="71">
        <f>IF(tblThreatControls[[#This Row],[Control source]]="ASVS",INDEX(MT_COVERAGE,tblThreatControls[[#This Row],[Source row]])&amp;"",IF(tblThreatControls[[#This Row],[Control source]]="Custom",INDEX(CC_COVERAGE,tblThreatControls[[#This Row],[Source row]])&amp;"",""))</f>
        <v/>
      </c>
      <c r="O44" s="71">
        <f>IF(tblThreatControls[[#This Row],[Control source]]="ASVS",INDEX(MT_LEVEL,tblThreatControls[[#This Row],[Source row]]),IF(tblThreatControls[[#This Row],[Control source]]="Custom",INDEX(CC_LEVEL,tblThreatControls[[#This Row],[Source row]]),0))</f>
        <v/>
      </c>
      <c r="P44" s="71">
        <f>IF(tblThreatControls[[#This Row],[Control source]]="ASVS",INDEX(MT_OWNER,tblThreatControls[[#This Row],[Source row]])&amp;"",IF(tblThreatControls[[#This Row],[Control source]]="Custom",INDEX(CC_OWNER,tblThreatControls[[#This Row],[Source row]])&amp;"",""))</f>
        <v/>
      </c>
    </row>
    <row r="45" ht="36" customHeight="1" s="19">
      <c r="A45" s="70" t="inlineStr">
        <is>
          <t>TM-D-001</t>
        </is>
      </c>
      <c r="B45" s="70" t="inlineStr">
        <is>
          <t>TMX-WAF-001</t>
        </is>
      </c>
      <c r="C45" s="70" t="inlineStr">
        <is>
          <t>Compensating</t>
        </is>
      </c>
      <c r="D45" s="70" t="inlineStr">
        <is>
          <t>Rate limiting and bot protection at WAF/gateway</t>
        </is>
      </c>
      <c r="E45" s="71">
        <f>IF(ISNUMBER(MATCH(tblThreatControls[[#This Row],[Control ID]],MT_IDS,0)),"ASVS",IF(ISNUMBER(MATCH(tblThreatControls[[#This Row],[Control ID]],CC_IDS,0)),"Custom","NOT FOUND"))</f>
        <v/>
      </c>
      <c r="F45" s="71">
        <f>IF(tblThreatControls[[#This Row],[Control source]]="ASVS",INDEX(MT_APPLICABLE,tblThreatControls[[#This Row],[Source row]])&amp;"",IF(tblThreatControls[[#This Row],[Control source]]="Custom",INDEX(CC_APPLICABLE,tblThreatControls[[#This Row],[Source row]])&amp;"","NOT FOUND"))</f>
        <v/>
      </c>
      <c r="G45" s="71">
        <f>IF(tblThreatControls[[#This Row],[Control applicable]]&lt;&gt;"Applicable","N/A",IF(tblThreatControls[[#This Row],[Raw coverage]]="","Not assessed",tblThreatControls[[#This Row],[Raw coverage]]))</f>
        <v/>
      </c>
      <c r="H45" s="71">
        <f>IF(tblThreatControls[[#This Row],[Raw owner]]="",tblThreatControls[[#This Row],[Default owner]],tblThreatControls[[#This Row],[Raw owner]])</f>
        <v/>
      </c>
      <c r="I45" s="71">
        <f>IFERROR(INDEX(tblThreats[Applies],MATCH(tblThreatControls[[#This Row],[Threat ID]],tblThreats[Threat ID],0)),"NOT FOUND")</f>
        <v/>
      </c>
      <c r="J45" s="71">
        <f>IFERROR(INDEX(tblThreats[Risk],MATCH(tblThreatControls[[#This Row],[Threat ID]],tblThreats[Threat ID],0)),"")</f>
        <v/>
      </c>
      <c r="K45" s="71">
        <f>IF(tblThreatControls[[#This Row],[Threat applies]]="Applies",IFERROR(INDEX(tblThreats[Risk score],MATCH(tblThreatControls[[#This Row],[Threat ID]],tblThreats[Threat ID],0)),0),0)</f>
        <v/>
      </c>
      <c r="L4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5" s="71">
        <f>IF(tblThreatControls[[#This Row],[Control source]]="ASVS",MATCH(tblThreatControls[[#This Row],[Control ID]],MT_IDS,0),IF(tblThreatControls[[#This Row],[Control source]]="Custom",MATCH(tblThreatControls[[#This Row],[Control ID]],CC_IDS,0),0))</f>
        <v/>
      </c>
      <c r="N45" s="71">
        <f>IF(tblThreatControls[[#This Row],[Control source]]="ASVS",INDEX(MT_COVERAGE,tblThreatControls[[#This Row],[Source row]])&amp;"",IF(tblThreatControls[[#This Row],[Control source]]="Custom",INDEX(CC_COVERAGE,tblThreatControls[[#This Row],[Source row]])&amp;"",""))</f>
        <v/>
      </c>
      <c r="O45" s="71">
        <f>IF(tblThreatControls[[#This Row],[Control source]]="ASVS",INDEX(MT_LEVEL,tblThreatControls[[#This Row],[Source row]]),IF(tblThreatControls[[#This Row],[Control source]]="Custom",INDEX(CC_LEVEL,tblThreatControls[[#This Row],[Source row]]),0))</f>
        <v/>
      </c>
      <c r="P45" s="71">
        <f>IF(tblThreatControls[[#This Row],[Control source]]="ASVS",INDEX(MT_OWNER,tblThreatControls[[#This Row],[Source row]])&amp;"",IF(tblThreatControls[[#This Row],[Control source]]="Custom",INDEX(CC_OWNER,tblThreatControls[[#This Row],[Source row]])&amp;"",""))</f>
        <v/>
      </c>
    </row>
    <row r="46" ht="36" customHeight="1" s="19">
      <c r="A46" s="70" t="inlineStr">
        <is>
          <t>TM-D-001</t>
        </is>
      </c>
      <c r="B46" s="70" t="inlineStr">
        <is>
          <t>V2.4.1</t>
        </is>
      </c>
      <c r="C46" s="70" t="inlineStr">
        <is>
          <t>Internal dev</t>
        </is>
      </c>
      <c r="D46" s="70" t="inlineStr">
        <is>
          <t>Anti-automation on application functions</t>
        </is>
      </c>
      <c r="E46" s="71">
        <f>IF(ISNUMBER(MATCH(tblThreatControls[[#This Row],[Control ID]],MT_IDS,0)),"ASVS",IF(ISNUMBER(MATCH(tblThreatControls[[#This Row],[Control ID]],CC_IDS,0)),"Custom","NOT FOUND"))</f>
        <v/>
      </c>
      <c r="F46" s="71">
        <f>IF(tblThreatControls[[#This Row],[Control source]]="ASVS",INDEX(MT_APPLICABLE,tblThreatControls[[#This Row],[Source row]])&amp;"",IF(tblThreatControls[[#This Row],[Control source]]="Custom",INDEX(CC_APPLICABLE,tblThreatControls[[#This Row],[Source row]])&amp;"","NOT FOUND"))</f>
        <v/>
      </c>
      <c r="G46" s="71">
        <f>IF(tblThreatControls[[#This Row],[Control applicable]]&lt;&gt;"Applicable","N/A",IF(tblThreatControls[[#This Row],[Raw coverage]]="","Not assessed",tblThreatControls[[#This Row],[Raw coverage]]))</f>
        <v/>
      </c>
      <c r="H46" s="71">
        <f>IF(tblThreatControls[[#This Row],[Raw owner]]="",tblThreatControls[[#This Row],[Default owner]],tblThreatControls[[#This Row],[Raw owner]])</f>
        <v/>
      </c>
      <c r="I46" s="71">
        <f>IFERROR(INDEX(tblThreats[Applies],MATCH(tblThreatControls[[#This Row],[Threat ID]],tblThreats[Threat ID],0)),"NOT FOUND")</f>
        <v/>
      </c>
      <c r="J46" s="71">
        <f>IFERROR(INDEX(tblThreats[Risk],MATCH(tblThreatControls[[#This Row],[Threat ID]],tblThreats[Threat ID],0)),"")</f>
        <v/>
      </c>
      <c r="K46" s="71">
        <f>IF(tblThreatControls[[#This Row],[Threat applies]]="Applies",IFERROR(INDEX(tblThreats[Risk score],MATCH(tblThreatControls[[#This Row],[Threat ID]],tblThreats[Threat ID],0)),0),0)</f>
        <v/>
      </c>
      <c r="L4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6" s="71">
        <f>IF(tblThreatControls[[#This Row],[Control source]]="ASVS",MATCH(tblThreatControls[[#This Row],[Control ID]],MT_IDS,0),IF(tblThreatControls[[#This Row],[Control source]]="Custom",MATCH(tblThreatControls[[#This Row],[Control ID]],CC_IDS,0),0))</f>
        <v/>
      </c>
      <c r="N46" s="71">
        <f>IF(tblThreatControls[[#This Row],[Control source]]="ASVS",INDEX(MT_COVERAGE,tblThreatControls[[#This Row],[Source row]])&amp;"",IF(tblThreatControls[[#This Row],[Control source]]="Custom",INDEX(CC_COVERAGE,tblThreatControls[[#This Row],[Source row]])&amp;"",""))</f>
        <v/>
      </c>
      <c r="O46" s="71">
        <f>IF(tblThreatControls[[#This Row],[Control source]]="ASVS",INDEX(MT_LEVEL,tblThreatControls[[#This Row],[Source row]]),IF(tblThreatControls[[#This Row],[Control source]]="Custom",INDEX(CC_LEVEL,tblThreatControls[[#This Row],[Source row]]),0))</f>
        <v/>
      </c>
      <c r="P46" s="71">
        <f>IF(tblThreatControls[[#This Row],[Control source]]="ASVS",INDEX(MT_OWNER,tblThreatControls[[#This Row],[Source row]])&amp;"",IF(tblThreatControls[[#This Row],[Control source]]="Custom",INDEX(CC_OWNER,tblThreatControls[[#This Row],[Source row]])&amp;"",""))</f>
        <v/>
      </c>
    </row>
    <row r="47" ht="36" customHeight="1" s="19">
      <c r="A47" s="70" t="inlineStr">
        <is>
          <t>TM-D-001</t>
        </is>
      </c>
      <c r="B47" s="70" t="inlineStr">
        <is>
          <t>V15.2.2</t>
        </is>
      </c>
      <c r="C47" s="70" t="inlineStr">
        <is>
          <t>Internal dev</t>
        </is>
      </c>
      <c r="D47" s="70" t="inlineStr">
        <is>
          <t>Defenses for resource-demanding functions</t>
        </is>
      </c>
      <c r="E47" s="71">
        <f>IF(ISNUMBER(MATCH(tblThreatControls[[#This Row],[Control ID]],MT_IDS,0)),"ASVS",IF(ISNUMBER(MATCH(tblThreatControls[[#This Row],[Control ID]],CC_IDS,0)),"Custom","NOT FOUND"))</f>
        <v/>
      </c>
      <c r="F47" s="71">
        <f>IF(tblThreatControls[[#This Row],[Control source]]="ASVS",INDEX(MT_APPLICABLE,tblThreatControls[[#This Row],[Source row]])&amp;"",IF(tblThreatControls[[#This Row],[Control source]]="Custom",INDEX(CC_APPLICABLE,tblThreatControls[[#This Row],[Source row]])&amp;"","NOT FOUND"))</f>
        <v/>
      </c>
      <c r="G47" s="71">
        <f>IF(tblThreatControls[[#This Row],[Control applicable]]&lt;&gt;"Applicable","N/A",IF(tblThreatControls[[#This Row],[Raw coverage]]="","Not assessed",tblThreatControls[[#This Row],[Raw coverage]]))</f>
        <v/>
      </c>
      <c r="H47" s="71">
        <f>IF(tblThreatControls[[#This Row],[Raw owner]]="",tblThreatControls[[#This Row],[Default owner]],tblThreatControls[[#This Row],[Raw owner]])</f>
        <v/>
      </c>
      <c r="I47" s="71">
        <f>IFERROR(INDEX(tblThreats[Applies],MATCH(tblThreatControls[[#This Row],[Threat ID]],tblThreats[Threat ID],0)),"NOT FOUND")</f>
        <v/>
      </c>
      <c r="J47" s="71">
        <f>IFERROR(INDEX(tblThreats[Risk],MATCH(tblThreatControls[[#This Row],[Threat ID]],tblThreats[Threat ID],0)),"")</f>
        <v/>
      </c>
      <c r="K47" s="71">
        <f>IF(tblThreatControls[[#This Row],[Threat applies]]="Applies",IFERROR(INDEX(tblThreats[Risk score],MATCH(tblThreatControls[[#This Row],[Threat ID]],tblThreats[Threat ID],0)),0),0)</f>
        <v/>
      </c>
      <c r="L4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7" s="71">
        <f>IF(tblThreatControls[[#This Row],[Control source]]="ASVS",MATCH(tblThreatControls[[#This Row],[Control ID]],MT_IDS,0),IF(tblThreatControls[[#This Row],[Control source]]="Custom",MATCH(tblThreatControls[[#This Row],[Control ID]],CC_IDS,0),0))</f>
        <v/>
      </c>
      <c r="N47" s="71">
        <f>IF(tblThreatControls[[#This Row],[Control source]]="ASVS",INDEX(MT_COVERAGE,tblThreatControls[[#This Row],[Source row]])&amp;"",IF(tblThreatControls[[#This Row],[Control source]]="Custom",INDEX(CC_COVERAGE,tblThreatControls[[#This Row],[Source row]])&amp;"",""))</f>
        <v/>
      </c>
      <c r="O47" s="71">
        <f>IF(tblThreatControls[[#This Row],[Control source]]="ASVS",INDEX(MT_LEVEL,tblThreatControls[[#This Row],[Source row]]),IF(tblThreatControls[[#This Row],[Control source]]="Custom",INDEX(CC_LEVEL,tblThreatControls[[#This Row],[Source row]]),0))</f>
        <v/>
      </c>
      <c r="P47" s="71">
        <f>IF(tblThreatControls[[#This Row],[Control source]]="ASVS",INDEX(MT_OWNER,tblThreatControls[[#This Row],[Source row]])&amp;"",IF(tblThreatControls[[#This Row],[Control source]]="Custom",INDEX(CC_OWNER,tblThreatControls[[#This Row],[Source row]])&amp;"",""))</f>
        <v/>
      </c>
    </row>
    <row r="48" ht="36" customHeight="1" s="19">
      <c r="A48" s="70" t="inlineStr">
        <is>
          <t>TM-D-002</t>
        </is>
      </c>
      <c r="B48" s="70" t="inlineStr">
        <is>
          <t>V2.2.1</t>
        </is>
      </c>
      <c r="C48" s="70" t="inlineStr">
        <is>
          <t>Internal dev</t>
        </is>
      </c>
      <c r="D48" s="70" t="inlineStr">
        <is>
          <t>Message content validated</t>
        </is>
      </c>
      <c r="E48" s="71">
        <f>IF(ISNUMBER(MATCH(tblThreatControls[[#This Row],[Control ID]],MT_IDS,0)),"ASVS",IF(ISNUMBER(MATCH(tblThreatControls[[#This Row],[Control ID]],CC_IDS,0)),"Custom","NOT FOUND"))</f>
        <v/>
      </c>
      <c r="F48" s="71">
        <f>IF(tblThreatControls[[#This Row],[Control source]]="ASVS",INDEX(MT_APPLICABLE,tblThreatControls[[#This Row],[Source row]])&amp;"",IF(tblThreatControls[[#This Row],[Control source]]="Custom",INDEX(CC_APPLICABLE,tblThreatControls[[#This Row],[Source row]])&amp;"","NOT FOUND"))</f>
        <v/>
      </c>
      <c r="G48" s="71">
        <f>IF(tblThreatControls[[#This Row],[Control applicable]]&lt;&gt;"Applicable","N/A",IF(tblThreatControls[[#This Row],[Raw coverage]]="","Not assessed",tblThreatControls[[#This Row],[Raw coverage]]))</f>
        <v/>
      </c>
      <c r="H48" s="71">
        <f>IF(tblThreatControls[[#This Row],[Raw owner]]="",tblThreatControls[[#This Row],[Default owner]],tblThreatControls[[#This Row],[Raw owner]])</f>
        <v/>
      </c>
      <c r="I48" s="71">
        <f>IFERROR(INDEX(tblThreats[Applies],MATCH(tblThreatControls[[#This Row],[Threat ID]],tblThreats[Threat ID],0)),"NOT FOUND")</f>
        <v/>
      </c>
      <c r="J48" s="71">
        <f>IFERROR(INDEX(tblThreats[Risk],MATCH(tblThreatControls[[#This Row],[Threat ID]],tblThreats[Threat ID],0)),"")</f>
        <v/>
      </c>
      <c r="K48" s="71">
        <f>IF(tblThreatControls[[#This Row],[Threat applies]]="Applies",IFERROR(INDEX(tblThreats[Risk score],MATCH(tblThreatControls[[#This Row],[Threat ID]],tblThreats[Threat ID],0)),0),0)</f>
        <v/>
      </c>
      <c r="L4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8" s="71">
        <f>IF(tblThreatControls[[#This Row],[Control source]]="ASVS",MATCH(tblThreatControls[[#This Row],[Control ID]],MT_IDS,0),IF(tblThreatControls[[#This Row],[Control source]]="Custom",MATCH(tblThreatControls[[#This Row],[Control ID]],CC_IDS,0),0))</f>
        <v/>
      </c>
      <c r="N48" s="71">
        <f>IF(tblThreatControls[[#This Row],[Control source]]="ASVS",INDEX(MT_COVERAGE,tblThreatControls[[#This Row],[Source row]])&amp;"",IF(tblThreatControls[[#This Row],[Control source]]="Custom",INDEX(CC_COVERAGE,tblThreatControls[[#This Row],[Source row]])&amp;"",""))</f>
        <v/>
      </c>
      <c r="O48" s="71">
        <f>IF(tblThreatControls[[#This Row],[Control source]]="ASVS",INDEX(MT_LEVEL,tblThreatControls[[#This Row],[Source row]]),IF(tblThreatControls[[#This Row],[Control source]]="Custom",INDEX(CC_LEVEL,tblThreatControls[[#This Row],[Source row]]),0))</f>
        <v/>
      </c>
      <c r="P48" s="71">
        <f>IF(tblThreatControls[[#This Row],[Control source]]="ASVS",INDEX(MT_OWNER,tblThreatControls[[#This Row],[Source row]])&amp;"",IF(tblThreatControls[[#This Row],[Control source]]="Custom",INDEX(CC_OWNER,tblThreatControls[[#This Row],[Source row]])&amp;"",""))</f>
        <v/>
      </c>
    </row>
    <row r="49" ht="36" customHeight="1" s="19">
      <c r="A49" s="70" t="inlineStr">
        <is>
          <t>TM-D-002</t>
        </is>
      </c>
      <c r="B49" s="70" t="inlineStr">
        <is>
          <t>V16.5.3</t>
        </is>
      </c>
      <c r="C49" s="70" t="inlineStr">
        <is>
          <t>Internal dev</t>
        </is>
      </c>
      <c r="D49" s="70" t="inlineStr">
        <is>
          <t>Fails securely on bad input</t>
        </is>
      </c>
      <c r="E49" s="71">
        <f>IF(ISNUMBER(MATCH(tblThreatControls[[#This Row],[Control ID]],MT_IDS,0)),"ASVS",IF(ISNUMBER(MATCH(tblThreatControls[[#This Row],[Control ID]],CC_IDS,0)),"Custom","NOT FOUND"))</f>
        <v/>
      </c>
      <c r="F49" s="71">
        <f>IF(tblThreatControls[[#This Row],[Control source]]="ASVS",INDEX(MT_APPLICABLE,tblThreatControls[[#This Row],[Source row]])&amp;"",IF(tblThreatControls[[#This Row],[Control source]]="Custom",INDEX(CC_APPLICABLE,tblThreatControls[[#This Row],[Source row]])&amp;"","NOT FOUND"))</f>
        <v/>
      </c>
      <c r="G49" s="71">
        <f>IF(tblThreatControls[[#This Row],[Control applicable]]&lt;&gt;"Applicable","N/A",IF(tblThreatControls[[#This Row],[Raw coverage]]="","Not assessed",tblThreatControls[[#This Row],[Raw coverage]]))</f>
        <v/>
      </c>
      <c r="H49" s="71">
        <f>IF(tblThreatControls[[#This Row],[Raw owner]]="",tblThreatControls[[#This Row],[Default owner]],tblThreatControls[[#This Row],[Raw owner]])</f>
        <v/>
      </c>
      <c r="I49" s="71">
        <f>IFERROR(INDEX(tblThreats[Applies],MATCH(tblThreatControls[[#This Row],[Threat ID]],tblThreats[Threat ID],0)),"NOT FOUND")</f>
        <v/>
      </c>
      <c r="J49" s="71">
        <f>IFERROR(INDEX(tblThreats[Risk],MATCH(tblThreatControls[[#This Row],[Threat ID]],tblThreats[Threat ID],0)),"")</f>
        <v/>
      </c>
      <c r="K49" s="71">
        <f>IF(tblThreatControls[[#This Row],[Threat applies]]="Applies",IFERROR(INDEX(tblThreats[Risk score],MATCH(tblThreatControls[[#This Row],[Threat ID]],tblThreats[Threat ID],0)),0),0)</f>
        <v/>
      </c>
      <c r="L4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9" s="71">
        <f>IF(tblThreatControls[[#This Row],[Control source]]="ASVS",MATCH(tblThreatControls[[#This Row],[Control ID]],MT_IDS,0),IF(tblThreatControls[[#This Row],[Control source]]="Custom",MATCH(tblThreatControls[[#This Row],[Control ID]],CC_IDS,0),0))</f>
        <v/>
      </c>
      <c r="N49" s="71">
        <f>IF(tblThreatControls[[#This Row],[Control source]]="ASVS",INDEX(MT_COVERAGE,tblThreatControls[[#This Row],[Source row]])&amp;"",IF(tblThreatControls[[#This Row],[Control source]]="Custom",INDEX(CC_COVERAGE,tblThreatControls[[#This Row],[Source row]])&amp;"",""))</f>
        <v/>
      </c>
      <c r="O49" s="71">
        <f>IF(tblThreatControls[[#This Row],[Control source]]="ASVS",INDEX(MT_LEVEL,tblThreatControls[[#This Row],[Source row]]),IF(tblThreatControls[[#This Row],[Control source]]="Custom",INDEX(CC_LEVEL,tblThreatControls[[#This Row],[Source row]]),0))</f>
        <v/>
      </c>
      <c r="P49" s="71">
        <f>IF(tblThreatControls[[#This Row],[Control source]]="ASVS",INDEX(MT_OWNER,tblThreatControls[[#This Row],[Source row]])&amp;"",IF(tblThreatControls[[#This Row],[Control source]]="Custom",INDEX(CC_OWNER,tblThreatControls[[#This Row],[Source row]])&amp;"",""))</f>
        <v/>
      </c>
    </row>
    <row r="50" ht="36" customHeight="1" s="19">
      <c r="A50" s="70" t="inlineStr">
        <is>
          <t>TM-D-002</t>
        </is>
      </c>
      <c r="B50" s="70" t="inlineStr">
        <is>
          <t>V15.2.2</t>
        </is>
      </c>
      <c r="C50" s="70" t="inlineStr">
        <is>
          <t>Internal dev</t>
        </is>
      </c>
      <c r="D50" s="70" t="inlineStr">
        <is>
          <t>Protects resource-demanding processing</t>
        </is>
      </c>
      <c r="E50" s="71">
        <f>IF(ISNUMBER(MATCH(tblThreatControls[[#This Row],[Control ID]],MT_IDS,0)),"ASVS",IF(ISNUMBER(MATCH(tblThreatControls[[#This Row],[Control ID]],CC_IDS,0)),"Custom","NOT FOUND"))</f>
        <v/>
      </c>
      <c r="F50" s="71">
        <f>IF(tblThreatControls[[#This Row],[Control source]]="ASVS",INDEX(MT_APPLICABLE,tblThreatControls[[#This Row],[Source row]])&amp;"",IF(tblThreatControls[[#This Row],[Control source]]="Custom",INDEX(CC_APPLICABLE,tblThreatControls[[#This Row],[Source row]])&amp;"","NOT FOUND"))</f>
        <v/>
      </c>
      <c r="G50" s="71">
        <f>IF(tblThreatControls[[#This Row],[Control applicable]]&lt;&gt;"Applicable","N/A",IF(tblThreatControls[[#This Row],[Raw coverage]]="","Not assessed",tblThreatControls[[#This Row],[Raw coverage]]))</f>
        <v/>
      </c>
      <c r="H50" s="71">
        <f>IF(tblThreatControls[[#This Row],[Raw owner]]="",tblThreatControls[[#This Row],[Default owner]],tblThreatControls[[#This Row],[Raw owner]])</f>
        <v/>
      </c>
      <c r="I50" s="71">
        <f>IFERROR(INDEX(tblThreats[Applies],MATCH(tblThreatControls[[#This Row],[Threat ID]],tblThreats[Threat ID],0)),"NOT FOUND")</f>
        <v/>
      </c>
      <c r="J50" s="71">
        <f>IFERROR(INDEX(tblThreats[Risk],MATCH(tblThreatControls[[#This Row],[Threat ID]],tblThreats[Threat ID],0)),"")</f>
        <v/>
      </c>
      <c r="K50" s="71">
        <f>IF(tblThreatControls[[#This Row],[Threat applies]]="Applies",IFERROR(INDEX(tblThreats[Risk score],MATCH(tblThreatControls[[#This Row],[Threat ID]],tblThreats[Threat ID],0)),0),0)</f>
        <v/>
      </c>
      <c r="L5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0" s="71">
        <f>IF(tblThreatControls[[#This Row],[Control source]]="ASVS",MATCH(tblThreatControls[[#This Row],[Control ID]],MT_IDS,0),IF(tblThreatControls[[#This Row],[Control source]]="Custom",MATCH(tblThreatControls[[#This Row],[Control ID]],CC_IDS,0),0))</f>
        <v/>
      </c>
      <c r="N50" s="71">
        <f>IF(tblThreatControls[[#This Row],[Control source]]="ASVS",INDEX(MT_COVERAGE,tblThreatControls[[#This Row],[Source row]])&amp;"",IF(tblThreatControls[[#This Row],[Control source]]="Custom",INDEX(CC_COVERAGE,tblThreatControls[[#This Row],[Source row]])&amp;"",""))</f>
        <v/>
      </c>
      <c r="O50" s="71">
        <f>IF(tblThreatControls[[#This Row],[Control source]]="ASVS",INDEX(MT_LEVEL,tblThreatControls[[#This Row],[Source row]]),IF(tblThreatControls[[#This Row],[Control source]]="Custom",INDEX(CC_LEVEL,tblThreatControls[[#This Row],[Source row]]),0))</f>
        <v/>
      </c>
      <c r="P50" s="71">
        <f>IF(tblThreatControls[[#This Row],[Control source]]="ASVS",INDEX(MT_OWNER,tblThreatControls[[#This Row],[Source row]])&amp;"",IF(tblThreatControls[[#This Row],[Control source]]="Custom",INDEX(CC_OWNER,tblThreatControls[[#This Row],[Source row]])&amp;"",""))</f>
        <v/>
      </c>
    </row>
    <row r="51" ht="36" customHeight="1" s="19">
      <c r="A51" s="70" t="inlineStr">
        <is>
          <t>TM-E-001</t>
        </is>
      </c>
      <c r="B51" s="70" t="inlineStr">
        <is>
          <t>V8.2.1</t>
        </is>
      </c>
      <c r="C51" s="70" t="inlineStr">
        <is>
          <t>Internal dev</t>
        </is>
      </c>
      <c r="D51" s="70" t="inlineStr">
        <is>
          <t>Function-level access control</t>
        </is>
      </c>
      <c r="E51" s="71">
        <f>IF(ISNUMBER(MATCH(tblThreatControls[[#This Row],[Control ID]],MT_IDS,0)),"ASVS",IF(ISNUMBER(MATCH(tblThreatControls[[#This Row],[Control ID]],CC_IDS,0)),"Custom","NOT FOUND"))</f>
        <v/>
      </c>
      <c r="F51" s="71">
        <f>IF(tblThreatControls[[#This Row],[Control source]]="ASVS",INDEX(MT_APPLICABLE,tblThreatControls[[#This Row],[Source row]])&amp;"",IF(tblThreatControls[[#This Row],[Control source]]="Custom",INDEX(CC_APPLICABLE,tblThreatControls[[#This Row],[Source row]])&amp;"","NOT FOUND"))</f>
        <v/>
      </c>
      <c r="G51" s="71">
        <f>IF(tblThreatControls[[#This Row],[Control applicable]]&lt;&gt;"Applicable","N/A",IF(tblThreatControls[[#This Row],[Raw coverage]]="","Not assessed",tblThreatControls[[#This Row],[Raw coverage]]))</f>
        <v/>
      </c>
      <c r="H51" s="71">
        <f>IF(tblThreatControls[[#This Row],[Raw owner]]="",tblThreatControls[[#This Row],[Default owner]],tblThreatControls[[#This Row],[Raw owner]])</f>
        <v/>
      </c>
      <c r="I51" s="71">
        <f>IFERROR(INDEX(tblThreats[Applies],MATCH(tblThreatControls[[#This Row],[Threat ID]],tblThreats[Threat ID],0)),"NOT FOUND")</f>
        <v/>
      </c>
      <c r="J51" s="71">
        <f>IFERROR(INDEX(tblThreats[Risk],MATCH(tblThreatControls[[#This Row],[Threat ID]],tblThreats[Threat ID],0)),"")</f>
        <v/>
      </c>
      <c r="K51" s="71">
        <f>IF(tblThreatControls[[#This Row],[Threat applies]]="Applies",IFERROR(INDEX(tblThreats[Risk score],MATCH(tblThreatControls[[#This Row],[Threat ID]],tblThreats[Threat ID],0)),0),0)</f>
        <v/>
      </c>
      <c r="L5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1" s="71">
        <f>IF(tblThreatControls[[#This Row],[Control source]]="ASVS",MATCH(tblThreatControls[[#This Row],[Control ID]],MT_IDS,0),IF(tblThreatControls[[#This Row],[Control source]]="Custom",MATCH(tblThreatControls[[#This Row],[Control ID]],CC_IDS,0),0))</f>
        <v/>
      </c>
      <c r="N51" s="71">
        <f>IF(tblThreatControls[[#This Row],[Control source]]="ASVS",INDEX(MT_COVERAGE,tblThreatControls[[#This Row],[Source row]])&amp;"",IF(tblThreatControls[[#This Row],[Control source]]="Custom",INDEX(CC_COVERAGE,tblThreatControls[[#This Row],[Source row]])&amp;"",""))</f>
        <v/>
      </c>
      <c r="O51" s="71">
        <f>IF(tblThreatControls[[#This Row],[Control source]]="ASVS",INDEX(MT_LEVEL,tblThreatControls[[#This Row],[Source row]]),IF(tblThreatControls[[#This Row],[Control source]]="Custom",INDEX(CC_LEVEL,tblThreatControls[[#This Row],[Source row]]),0))</f>
        <v/>
      </c>
      <c r="P51" s="71">
        <f>IF(tblThreatControls[[#This Row],[Control source]]="ASVS",INDEX(MT_OWNER,tblThreatControls[[#This Row],[Source row]])&amp;"",IF(tblThreatControls[[#This Row],[Control source]]="Custom",INDEX(CC_OWNER,tblThreatControls[[#This Row],[Source row]])&amp;"",""))</f>
        <v/>
      </c>
    </row>
    <row r="52" ht="36" customHeight="1" s="19">
      <c r="A52" s="70" t="inlineStr">
        <is>
          <t>TM-E-001</t>
        </is>
      </c>
      <c r="B52" s="70" t="inlineStr">
        <is>
          <t>V8.3.1</t>
        </is>
      </c>
      <c r="C52" s="70" t="inlineStr">
        <is>
          <t>Internal dev</t>
        </is>
      </c>
      <c r="D52" s="70" t="inlineStr">
        <is>
          <t>Authorization enforced server-side</t>
        </is>
      </c>
      <c r="E52" s="71">
        <f>IF(ISNUMBER(MATCH(tblThreatControls[[#This Row],[Control ID]],MT_IDS,0)),"ASVS",IF(ISNUMBER(MATCH(tblThreatControls[[#This Row],[Control ID]],CC_IDS,0)),"Custom","NOT FOUND"))</f>
        <v/>
      </c>
      <c r="F52" s="71">
        <f>IF(tblThreatControls[[#This Row],[Control source]]="ASVS",INDEX(MT_APPLICABLE,tblThreatControls[[#This Row],[Source row]])&amp;"",IF(tblThreatControls[[#This Row],[Control source]]="Custom",INDEX(CC_APPLICABLE,tblThreatControls[[#This Row],[Source row]])&amp;"","NOT FOUND"))</f>
        <v/>
      </c>
      <c r="G52" s="71">
        <f>IF(tblThreatControls[[#This Row],[Control applicable]]&lt;&gt;"Applicable","N/A",IF(tblThreatControls[[#This Row],[Raw coverage]]="","Not assessed",tblThreatControls[[#This Row],[Raw coverage]]))</f>
        <v/>
      </c>
      <c r="H52" s="71">
        <f>IF(tblThreatControls[[#This Row],[Raw owner]]="",tblThreatControls[[#This Row],[Default owner]],tblThreatControls[[#This Row],[Raw owner]])</f>
        <v/>
      </c>
      <c r="I52" s="71">
        <f>IFERROR(INDEX(tblThreats[Applies],MATCH(tblThreatControls[[#This Row],[Threat ID]],tblThreats[Threat ID],0)),"NOT FOUND")</f>
        <v/>
      </c>
      <c r="J52" s="71">
        <f>IFERROR(INDEX(tblThreats[Risk],MATCH(tblThreatControls[[#This Row],[Threat ID]],tblThreats[Threat ID],0)),"")</f>
        <v/>
      </c>
      <c r="K52" s="71">
        <f>IF(tblThreatControls[[#This Row],[Threat applies]]="Applies",IFERROR(INDEX(tblThreats[Risk score],MATCH(tblThreatControls[[#This Row],[Threat ID]],tblThreats[Threat ID],0)),0),0)</f>
        <v/>
      </c>
      <c r="L5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2" s="71">
        <f>IF(tblThreatControls[[#This Row],[Control source]]="ASVS",MATCH(tblThreatControls[[#This Row],[Control ID]],MT_IDS,0),IF(tblThreatControls[[#This Row],[Control source]]="Custom",MATCH(tblThreatControls[[#This Row],[Control ID]],CC_IDS,0),0))</f>
        <v/>
      </c>
      <c r="N52" s="71">
        <f>IF(tblThreatControls[[#This Row],[Control source]]="ASVS",INDEX(MT_COVERAGE,tblThreatControls[[#This Row],[Source row]])&amp;"",IF(tblThreatControls[[#This Row],[Control source]]="Custom",INDEX(CC_COVERAGE,tblThreatControls[[#This Row],[Source row]])&amp;"",""))</f>
        <v/>
      </c>
      <c r="O52" s="71">
        <f>IF(tblThreatControls[[#This Row],[Control source]]="ASVS",INDEX(MT_LEVEL,tblThreatControls[[#This Row],[Source row]]),IF(tblThreatControls[[#This Row],[Control source]]="Custom",INDEX(CC_LEVEL,tblThreatControls[[#This Row],[Source row]]),0))</f>
        <v/>
      </c>
      <c r="P52" s="71">
        <f>IF(tblThreatControls[[#This Row],[Control source]]="ASVS",INDEX(MT_OWNER,tblThreatControls[[#This Row],[Source row]])&amp;"",IF(tblThreatControls[[#This Row],[Control source]]="Custom",INDEX(CC_OWNER,tblThreatControls[[#This Row],[Source row]])&amp;"",""))</f>
        <v/>
      </c>
    </row>
    <row r="53" ht="36" customHeight="1" s="19">
      <c r="A53" s="70" t="inlineStr">
        <is>
          <t>TM-E-001</t>
        </is>
      </c>
      <c r="B53" s="70" t="inlineStr">
        <is>
          <t>V16.3.2</t>
        </is>
      </c>
      <c r="C53" s="70" t="inlineStr">
        <is>
          <t>Internal dev</t>
        </is>
      </c>
      <c r="D53" s="70" t="inlineStr">
        <is>
          <t>Failed authorization attempts logged</t>
        </is>
      </c>
      <c r="E53" s="71">
        <f>IF(ISNUMBER(MATCH(tblThreatControls[[#This Row],[Control ID]],MT_IDS,0)),"ASVS",IF(ISNUMBER(MATCH(tblThreatControls[[#This Row],[Control ID]],CC_IDS,0)),"Custom","NOT FOUND"))</f>
        <v/>
      </c>
      <c r="F53" s="71">
        <f>IF(tblThreatControls[[#This Row],[Control source]]="ASVS",INDEX(MT_APPLICABLE,tblThreatControls[[#This Row],[Source row]])&amp;"",IF(tblThreatControls[[#This Row],[Control source]]="Custom",INDEX(CC_APPLICABLE,tblThreatControls[[#This Row],[Source row]])&amp;"","NOT FOUND"))</f>
        <v/>
      </c>
      <c r="G53" s="71">
        <f>IF(tblThreatControls[[#This Row],[Control applicable]]&lt;&gt;"Applicable","N/A",IF(tblThreatControls[[#This Row],[Raw coverage]]="","Not assessed",tblThreatControls[[#This Row],[Raw coverage]]))</f>
        <v/>
      </c>
      <c r="H53" s="71">
        <f>IF(tblThreatControls[[#This Row],[Raw owner]]="",tblThreatControls[[#This Row],[Default owner]],tblThreatControls[[#This Row],[Raw owner]])</f>
        <v/>
      </c>
      <c r="I53" s="71">
        <f>IFERROR(INDEX(tblThreats[Applies],MATCH(tblThreatControls[[#This Row],[Threat ID]],tblThreats[Threat ID],0)),"NOT FOUND")</f>
        <v/>
      </c>
      <c r="J53" s="71">
        <f>IFERROR(INDEX(tblThreats[Risk],MATCH(tblThreatControls[[#This Row],[Threat ID]],tblThreats[Threat ID],0)),"")</f>
        <v/>
      </c>
      <c r="K53" s="71">
        <f>IF(tblThreatControls[[#This Row],[Threat applies]]="Applies",IFERROR(INDEX(tblThreats[Risk score],MATCH(tblThreatControls[[#This Row],[Threat ID]],tblThreats[Threat ID],0)),0),0)</f>
        <v/>
      </c>
      <c r="L5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3" s="71">
        <f>IF(tblThreatControls[[#This Row],[Control source]]="ASVS",MATCH(tblThreatControls[[#This Row],[Control ID]],MT_IDS,0),IF(tblThreatControls[[#This Row],[Control source]]="Custom",MATCH(tblThreatControls[[#This Row],[Control ID]],CC_IDS,0),0))</f>
        <v/>
      </c>
      <c r="N53" s="71">
        <f>IF(tblThreatControls[[#This Row],[Control source]]="ASVS",INDEX(MT_COVERAGE,tblThreatControls[[#This Row],[Source row]])&amp;"",IF(tblThreatControls[[#This Row],[Control source]]="Custom",INDEX(CC_COVERAGE,tblThreatControls[[#This Row],[Source row]])&amp;"",""))</f>
        <v/>
      </c>
      <c r="O53" s="71">
        <f>IF(tblThreatControls[[#This Row],[Control source]]="ASVS",INDEX(MT_LEVEL,tblThreatControls[[#This Row],[Source row]]),IF(tblThreatControls[[#This Row],[Control source]]="Custom",INDEX(CC_LEVEL,tblThreatControls[[#This Row],[Source row]]),0))</f>
        <v/>
      </c>
      <c r="P53" s="71">
        <f>IF(tblThreatControls[[#This Row],[Control source]]="ASVS",INDEX(MT_OWNER,tblThreatControls[[#This Row],[Source row]])&amp;"",IF(tblThreatControls[[#This Row],[Control source]]="Custom",INDEX(CC_OWNER,tblThreatControls[[#This Row],[Source row]])&amp;"",""))</f>
        <v/>
      </c>
    </row>
    <row r="54" ht="36" customHeight="1" s="19">
      <c r="A54" s="70" t="inlineStr">
        <is>
          <t>TM-E-002</t>
        </is>
      </c>
      <c r="B54" s="70" t="inlineStr">
        <is>
          <t>TMX-VENDOR-001</t>
        </is>
      </c>
      <c r="C54" s="70" t="inlineStr">
        <is>
          <t>Compensating</t>
        </is>
      </c>
      <c r="D54" s="70" t="inlineStr">
        <is>
          <t>Vendor access only through PAM, approved per session, recorded</t>
        </is>
      </c>
      <c r="E54" s="71">
        <f>IF(ISNUMBER(MATCH(tblThreatControls[[#This Row],[Control ID]],MT_IDS,0)),"ASVS",IF(ISNUMBER(MATCH(tblThreatControls[[#This Row],[Control ID]],CC_IDS,0)),"Custom","NOT FOUND"))</f>
        <v/>
      </c>
      <c r="F54" s="71">
        <f>IF(tblThreatControls[[#This Row],[Control source]]="ASVS",INDEX(MT_APPLICABLE,tblThreatControls[[#This Row],[Source row]])&amp;"",IF(tblThreatControls[[#This Row],[Control source]]="Custom",INDEX(CC_APPLICABLE,tblThreatControls[[#This Row],[Source row]])&amp;"","NOT FOUND"))</f>
        <v/>
      </c>
      <c r="G54" s="71">
        <f>IF(tblThreatControls[[#This Row],[Control applicable]]&lt;&gt;"Applicable","N/A",IF(tblThreatControls[[#This Row],[Raw coverage]]="","Not assessed",tblThreatControls[[#This Row],[Raw coverage]]))</f>
        <v/>
      </c>
      <c r="H54" s="71">
        <f>IF(tblThreatControls[[#This Row],[Raw owner]]="",tblThreatControls[[#This Row],[Default owner]],tblThreatControls[[#This Row],[Raw owner]])</f>
        <v/>
      </c>
      <c r="I54" s="71">
        <f>IFERROR(INDEX(tblThreats[Applies],MATCH(tblThreatControls[[#This Row],[Threat ID]],tblThreats[Threat ID],0)),"NOT FOUND")</f>
        <v/>
      </c>
      <c r="J54" s="71">
        <f>IFERROR(INDEX(tblThreats[Risk],MATCH(tblThreatControls[[#This Row],[Threat ID]],tblThreats[Threat ID],0)),"")</f>
        <v/>
      </c>
      <c r="K54" s="71">
        <f>IF(tblThreatControls[[#This Row],[Threat applies]]="Applies",IFERROR(INDEX(tblThreats[Risk score],MATCH(tblThreatControls[[#This Row],[Threat ID]],tblThreats[Threat ID],0)),0),0)</f>
        <v/>
      </c>
      <c r="L5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4" s="71">
        <f>IF(tblThreatControls[[#This Row],[Control source]]="ASVS",MATCH(tblThreatControls[[#This Row],[Control ID]],MT_IDS,0),IF(tblThreatControls[[#This Row],[Control source]]="Custom",MATCH(tblThreatControls[[#This Row],[Control ID]],CC_IDS,0),0))</f>
        <v/>
      </c>
      <c r="N54" s="71">
        <f>IF(tblThreatControls[[#This Row],[Control source]]="ASVS",INDEX(MT_COVERAGE,tblThreatControls[[#This Row],[Source row]])&amp;"",IF(tblThreatControls[[#This Row],[Control source]]="Custom",INDEX(CC_COVERAGE,tblThreatControls[[#This Row],[Source row]])&amp;"",""))</f>
        <v/>
      </c>
      <c r="O54" s="71">
        <f>IF(tblThreatControls[[#This Row],[Control source]]="ASVS",INDEX(MT_LEVEL,tblThreatControls[[#This Row],[Source row]]),IF(tblThreatControls[[#This Row],[Control source]]="Custom",INDEX(CC_LEVEL,tblThreatControls[[#This Row],[Source row]]),0))</f>
        <v/>
      </c>
      <c r="P54" s="71">
        <f>IF(tblThreatControls[[#This Row],[Control source]]="ASVS",INDEX(MT_OWNER,tblThreatControls[[#This Row],[Source row]])&amp;"",IF(tblThreatControls[[#This Row],[Control source]]="Custom",INDEX(CC_OWNER,tblThreatControls[[#This Row],[Source row]])&amp;"",""))</f>
        <v/>
      </c>
    </row>
    <row r="55" ht="36" customHeight="1" s="19">
      <c r="A55" s="70" t="inlineStr">
        <is>
          <t>TM-E-002</t>
        </is>
      </c>
      <c r="B55" s="70" t="inlineStr">
        <is>
          <t>V6.3.3</t>
        </is>
      </c>
      <c r="C55" s="70" t="inlineStr">
        <is>
          <t>Configuration</t>
        </is>
      </c>
      <c r="D55" s="70" t="inlineStr">
        <is>
          <t>MFA for vendor accounts</t>
        </is>
      </c>
      <c r="E55" s="71">
        <f>IF(ISNUMBER(MATCH(tblThreatControls[[#This Row],[Control ID]],MT_IDS,0)),"ASVS",IF(ISNUMBER(MATCH(tblThreatControls[[#This Row],[Control ID]],CC_IDS,0)),"Custom","NOT FOUND"))</f>
        <v/>
      </c>
      <c r="F55" s="71">
        <f>IF(tblThreatControls[[#This Row],[Control source]]="ASVS",INDEX(MT_APPLICABLE,tblThreatControls[[#This Row],[Source row]])&amp;"",IF(tblThreatControls[[#This Row],[Control source]]="Custom",INDEX(CC_APPLICABLE,tblThreatControls[[#This Row],[Source row]])&amp;"","NOT FOUND"))</f>
        <v/>
      </c>
      <c r="G55" s="71">
        <f>IF(tblThreatControls[[#This Row],[Control applicable]]&lt;&gt;"Applicable","N/A",IF(tblThreatControls[[#This Row],[Raw coverage]]="","Not assessed",tblThreatControls[[#This Row],[Raw coverage]]))</f>
        <v/>
      </c>
      <c r="H55" s="71">
        <f>IF(tblThreatControls[[#This Row],[Raw owner]]="",tblThreatControls[[#This Row],[Default owner]],tblThreatControls[[#This Row],[Raw owner]])</f>
        <v/>
      </c>
      <c r="I55" s="71">
        <f>IFERROR(INDEX(tblThreats[Applies],MATCH(tblThreatControls[[#This Row],[Threat ID]],tblThreats[Threat ID],0)),"NOT FOUND")</f>
        <v/>
      </c>
      <c r="J55" s="71">
        <f>IFERROR(INDEX(tblThreats[Risk],MATCH(tblThreatControls[[#This Row],[Threat ID]],tblThreats[Threat ID],0)),"")</f>
        <v/>
      </c>
      <c r="K55" s="71">
        <f>IF(tblThreatControls[[#This Row],[Threat applies]]="Applies",IFERROR(INDEX(tblThreats[Risk score],MATCH(tblThreatControls[[#This Row],[Threat ID]],tblThreats[Threat ID],0)),0),0)</f>
        <v/>
      </c>
      <c r="L5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5" s="71">
        <f>IF(tblThreatControls[[#This Row],[Control source]]="ASVS",MATCH(tblThreatControls[[#This Row],[Control ID]],MT_IDS,0),IF(tblThreatControls[[#This Row],[Control source]]="Custom",MATCH(tblThreatControls[[#This Row],[Control ID]],CC_IDS,0),0))</f>
        <v/>
      </c>
      <c r="N55" s="71">
        <f>IF(tblThreatControls[[#This Row],[Control source]]="ASVS",INDEX(MT_COVERAGE,tblThreatControls[[#This Row],[Source row]])&amp;"",IF(tblThreatControls[[#This Row],[Control source]]="Custom",INDEX(CC_COVERAGE,tblThreatControls[[#This Row],[Source row]])&amp;"",""))</f>
        <v/>
      </c>
      <c r="O55" s="71">
        <f>IF(tblThreatControls[[#This Row],[Control source]]="ASVS",INDEX(MT_LEVEL,tblThreatControls[[#This Row],[Source row]]),IF(tblThreatControls[[#This Row],[Control source]]="Custom",INDEX(CC_LEVEL,tblThreatControls[[#This Row],[Source row]]),0))</f>
        <v/>
      </c>
      <c r="P55" s="71">
        <f>IF(tblThreatControls[[#This Row],[Control source]]="ASVS",INDEX(MT_OWNER,tblThreatControls[[#This Row],[Source row]])&amp;"",IF(tblThreatControls[[#This Row],[Control source]]="Custom",INDEX(CC_OWNER,tblThreatControls[[#This Row],[Source row]])&amp;"",""))</f>
        <v/>
      </c>
    </row>
    <row r="56" ht="36" customHeight="1" s="19">
      <c r="A56" s="70" t="inlineStr">
        <is>
          <t>TM-E-003</t>
        </is>
      </c>
      <c r="B56" s="70" t="inlineStr">
        <is>
          <t>TMX-VENDOR-002</t>
        </is>
      </c>
      <c r="C56" s="70" t="inlineStr">
        <is>
          <t>Vendor</t>
        </is>
      </c>
      <c r="D56" s="70" t="inlineStr">
        <is>
          <t>Supported version and patch SLA in the contract</t>
        </is>
      </c>
      <c r="E56" s="71">
        <f>IF(ISNUMBER(MATCH(tblThreatControls[[#This Row],[Control ID]],MT_IDS,0)),"ASVS",IF(ISNUMBER(MATCH(tblThreatControls[[#This Row],[Control ID]],CC_IDS,0)),"Custom","NOT FOUND"))</f>
        <v/>
      </c>
      <c r="F56" s="71">
        <f>IF(tblThreatControls[[#This Row],[Control source]]="ASVS",INDEX(MT_APPLICABLE,tblThreatControls[[#This Row],[Source row]])&amp;"",IF(tblThreatControls[[#This Row],[Control source]]="Custom",INDEX(CC_APPLICABLE,tblThreatControls[[#This Row],[Source row]])&amp;"","NOT FOUND"))</f>
        <v/>
      </c>
      <c r="G56" s="71">
        <f>IF(tblThreatControls[[#This Row],[Control applicable]]&lt;&gt;"Applicable","N/A",IF(tblThreatControls[[#This Row],[Raw coverage]]="","Not assessed",tblThreatControls[[#This Row],[Raw coverage]]))</f>
        <v/>
      </c>
      <c r="H56" s="71">
        <f>IF(tblThreatControls[[#This Row],[Raw owner]]="",tblThreatControls[[#This Row],[Default owner]],tblThreatControls[[#This Row],[Raw owner]])</f>
        <v/>
      </c>
      <c r="I56" s="71">
        <f>IFERROR(INDEX(tblThreats[Applies],MATCH(tblThreatControls[[#This Row],[Threat ID]],tblThreats[Threat ID],0)),"NOT FOUND")</f>
        <v/>
      </c>
      <c r="J56" s="71">
        <f>IFERROR(INDEX(tblThreats[Risk],MATCH(tblThreatControls[[#This Row],[Threat ID]],tblThreats[Threat ID],0)),"")</f>
        <v/>
      </c>
      <c r="K56" s="71">
        <f>IF(tblThreatControls[[#This Row],[Threat applies]]="Applies",IFERROR(INDEX(tblThreats[Risk score],MATCH(tblThreatControls[[#This Row],[Threat ID]],tblThreats[Threat ID],0)),0),0)</f>
        <v/>
      </c>
      <c r="L5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6" s="71">
        <f>IF(tblThreatControls[[#This Row],[Control source]]="ASVS",MATCH(tblThreatControls[[#This Row],[Control ID]],MT_IDS,0),IF(tblThreatControls[[#This Row],[Control source]]="Custom",MATCH(tblThreatControls[[#This Row],[Control ID]],CC_IDS,0),0))</f>
        <v/>
      </c>
      <c r="N56" s="71">
        <f>IF(tblThreatControls[[#This Row],[Control source]]="ASVS",INDEX(MT_COVERAGE,tblThreatControls[[#This Row],[Source row]])&amp;"",IF(tblThreatControls[[#This Row],[Control source]]="Custom",INDEX(CC_COVERAGE,tblThreatControls[[#This Row],[Source row]])&amp;"",""))</f>
        <v/>
      </c>
      <c r="O56" s="71">
        <f>IF(tblThreatControls[[#This Row],[Control source]]="ASVS",INDEX(MT_LEVEL,tblThreatControls[[#This Row],[Source row]]),IF(tblThreatControls[[#This Row],[Control source]]="Custom",INDEX(CC_LEVEL,tblThreatControls[[#This Row],[Source row]]),0))</f>
        <v/>
      </c>
      <c r="P56" s="71">
        <f>IF(tblThreatControls[[#This Row],[Control source]]="ASVS",INDEX(MT_OWNER,tblThreatControls[[#This Row],[Source row]])&amp;"",IF(tblThreatControls[[#This Row],[Control source]]="Custom",INDEX(CC_OWNER,tblThreatControls[[#This Row],[Source row]])&amp;"",""))</f>
        <v/>
      </c>
    </row>
    <row r="57" ht="36" customHeight="1" s="19">
      <c r="A57" s="70" t="inlineStr">
        <is>
          <t>TM-E-003</t>
        </is>
      </c>
      <c r="B57" s="70" t="inlineStr">
        <is>
          <t>V15.2.1</t>
        </is>
      </c>
      <c r="C57" s="70" t="inlineStr">
        <is>
          <t>Vendor</t>
        </is>
      </c>
      <c r="D57" s="70" t="inlineStr">
        <is>
          <t>Components within remediation time frames</t>
        </is>
      </c>
      <c r="E57" s="71">
        <f>IF(ISNUMBER(MATCH(tblThreatControls[[#This Row],[Control ID]],MT_IDS,0)),"ASVS",IF(ISNUMBER(MATCH(tblThreatControls[[#This Row],[Control ID]],CC_IDS,0)),"Custom","NOT FOUND"))</f>
        <v/>
      </c>
      <c r="F57" s="71">
        <f>IF(tblThreatControls[[#This Row],[Control source]]="ASVS",INDEX(MT_APPLICABLE,tblThreatControls[[#This Row],[Source row]])&amp;"",IF(tblThreatControls[[#This Row],[Control source]]="Custom",INDEX(CC_APPLICABLE,tblThreatControls[[#This Row],[Source row]])&amp;"","NOT FOUND"))</f>
        <v/>
      </c>
      <c r="G57" s="71">
        <f>IF(tblThreatControls[[#This Row],[Control applicable]]&lt;&gt;"Applicable","N/A",IF(tblThreatControls[[#This Row],[Raw coverage]]="","Not assessed",tblThreatControls[[#This Row],[Raw coverage]]))</f>
        <v/>
      </c>
      <c r="H57" s="71">
        <f>IF(tblThreatControls[[#This Row],[Raw owner]]="",tblThreatControls[[#This Row],[Default owner]],tblThreatControls[[#This Row],[Raw owner]])</f>
        <v/>
      </c>
      <c r="I57" s="71">
        <f>IFERROR(INDEX(tblThreats[Applies],MATCH(tblThreatControls[[#This Row],[Threat ID]],tblThreats[Threat ID],0)),"NOT FOUND")</f>
        <v/>
      </c>
      <c r="J57" s="71">
        <f>IFERROR(INDEX(tblThreats[Risk],MATCH(tblThreatControls[[#This Row],[Threat ID]],tblThreats[Threat ID],0)),"")</f>
        <v/>
      </c>
      <c r="K57" s="71">
        <f>IF(tblThreatControls[[#This Row],[Threat applies]]="Applies",IFERROR(INDEX(tblThreats[Risk score],MATCH(tblThreatControls[[#This Row],[Threat ID]],tblThreats[Threat ID],0)),0),0)</f>
        <v/>
      </c>
      <c r="L5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7" s="71">
        <f>IF(tblThreatControls[[#This Row],[Control source]]="ASVS",MATCH(tblThreatControls[[#This Row],[Control ID]],MT_IDS,0),IF(tblThreatControls[[#This Row],[Control source]]="Custom",MATCH(tblThreatControls[[#This Row],[Control ID]],CC_IDS,0),0))</f>
        <v/>
      </c>
      <c r="N57" s="71">
        <f>IF(tblThreatControls[[#This Row],[Control source]]="ASVS",INDEX(MT_COVERAGE,tblThreatControls[[#This Row],[Source row]])&amp;"",IF(tblThreatControls[[#This Row],[Control source]]="Custom",INDEX(CC_COVERAGE,tblThreatControls[[#This Row],[Source row]])&amp;"",""))</f>
        <v/>
      </c>
      <c r="O57" s="71">
        <f>IF(tblThreatControls[[#This Row],[Control source]]="ASVS",INDEX(MT_LEVEL,tblThreatControls[[#This Row],[Source row]]),IF(tblThreatControls[[#This Row],[Control source]]="Custom",INDEX(CC_LEVEL,tblThreatControls[[#This Row],[Source row]]),0))</f>
        <v/>
      </c>
      <c r="P57" s="71">
        <f>IF(tblThreatControls[[#This Row],[Control source]]="ASVS",INDEX(MT_OWNER,tblThreatControls[[#This Row],[Source row]])&amp;"",IF(tblThreatControls[[#This Row],[Control source]]="Custom",INDEX(CC_OWNER,tblThreatControls[[#This Row],[Source row]])&amp;"",""))</f>
        <v/>
      </c>
    </row>
    <row r="58" ht="36" customHeight="1" s="19">
      <c r="A58" s="70" t="inlineStr">
        <is>
          <t>TM-E-003</t>
        </is>
      </c>
      <c r="B58" s="70" t="inlineStr">
        <is>
          <t>TMX-WAF-001</t>
        </is>
      </c>
      <c r="C58" s="70" t="inlineStr">
        <is>
          <t>Compensating</t>
        </is>
      </c>
      <c r="D58" s="70" t="inlineStr">
        <is>
          <t>Virtual patching at the WAF while unsupported</t>
        </is>
      </c>
      <c r="E58" s="71">
        <f>IF(ISNUMBER(MATCH(tblThreatControls[[#This Row],[Control ID]],MT_IDS,0)),"ASVS",IF(ISNUMBER(MATCH(tblThreatControls[[#This Row],[Control ID]],CC_IDS,0)),"Custom","NOT FOUND"))</f>
        <v/>
      </c>
      <c r="F58" s="71">
        <f>IF(tblThreatControls[[#This Row],[Control source]]="ASVS",INDEX(MT_APPLICABLE,tblThreatControls[[#This Row],[Source row]])&amp;"",IF(tblThreatControls[[#This Row],[Control source]]="Custom",INDEX(CC_APPLICABLE,tblThreatControls[[#This Row],[Source row]])&amp;"","NOT FOUND"))</f>
        <v/>
      </c>
      <c r="G58" s="71">
        <f>IF(tblThreatControls[[#This Row],[Control applicable]]&lt;&gt;"Applicable","N/A",IF(tblThreatControls[[#This Row],[Raw coverage]]="","Not assessed",tblThreatControls[[#This Row],[Raw coverage]]))</f>
        <v/>
      </c>
      <c r="H58" s="71">
        <f>IF(tblThreatControls[[#This Row],[Raw owner]]="",tblThreatControls[[#This Row],[Default owner]],tblThreatControls[[#This Row],[Raw owner]])</f>
        <v/>
      </c>
      <c r="I58" s="71">
        <f>IFERROR(INDEX(tblThreats[Applies],MATCH(tblThreatControls[[#This Row],[Threat ID]],tblThreats[Threat ID],0)),"NOT FOUND")</f>
        <v/>
      </c>
      <c r="J58" s="71">
        <f>IFERROR(INDEX(tblThreats[Risk],MATCH(tblThreatControls[[#This Row],[Threat ID]],tblThreats[Threat ID],0)),"")</f>
        <v/>
      </c>
      <c r="K58" s="71">
        <f>IF(tblThreatControls[[#This Row],[Threat applies]]="Applies",IFERROR(INDEX(tblThreats[Risk score],MATCH(tblThreatControls[[#This Row],[Threat ID]],tblThreats[Threat ID],0)),0),0)</f>
        <v/>
      </c>
      <c r="L5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8" s="71">
        <f>IF(tblThreatControls[[#This Row],[Control source]]="ASVS",MATCH(tblThreatControls[[#This Row],[Control ID]],MT_IDS,0),IF(tblThreatControls[[#This Row],[Control source]]="Custom",MATCH(tblThreatControls[[#This Row],[Control ID]],CC_IDS,0),0))</f>
        <v/>
      </c>
      <c r="N58" s="71">
        <f>IF(tblThreatControls[[#This Row],[Control source]]="ASVS",INDEX(MT_COVERAGE,tblThreatControls[[#This Row],[Source row]])&amp;"",IF(tblThreatControls[[#This Row],[Control source]]="Custom",INDEX(CC_COVERAGE,tblThreatControls[[#This Row],[Source row]])&amp;"",""))</f>
        <v/>
      </c>
      <c r="O58" s="71">
        <f>IF(tblThreatControls[[#This Row],[Control source]]="ASVS",INDEX(MT_LEVEL,tblThreatControls[[#This Row],[Source row]]),IF(tblThreatControls[[#This Row],[Control source]]="Custom",INDEX(CC_LEVEL,tblThreatControls[[#This Row],[Source row]]),0))</f>
        <v/>
      </c>
      <c r="P58" s="71">
        <f>IF(tblThreatControls[[#This Row],[Control source]]="ASVS",INDEX(MT_OWNER,tblThreatControls[[#This Row],[Source row]])&amp;"",IF(tblThreatControls[[#This Row],[Control source]]="Custom",INDEX(CC_OWNER,tblThreatControls[[#This Row],[Source row]])&amp;"",""))</f>
        <v/>
      </c>
    </row>
  </sheetData>
  <sheetProtection selectLockedCells="0" selectUnlockedCells="0" sheet="1" objects="0" insertRows="1" insertHyperlinks="1" autoFilter="0" scenarios="0" formatColumns="0" deleteColumns="1" insertColumns="1" pivotTables="1" deleteRows="1" formatCells="1" formatRows="0" sort="0"/>
  <mergeCells count="1">
    <mergeCell ref="A2:P2"/>
  </mergeCells>
  <conditionalFormatting sqref="L5:L500">
    <cfRule type="expression" priority="1" dxfId="11">
      <formula>$L5&lt;&gt;""</formula>
    </cfRule>
  </conditionalFormatting>
  <dataValidations count="1">
    <dataValidation sqref="C5:C500" showDropDown="0" showInputMessage="0" showErrorMessage="1" allowBlank="1" error="Choose one of the listed options." type="list">
      <formula1>LIST_REMEDIATION_OWNER</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FF7030A0"/>
    <outlinePr summaryBelow="1" summaryRight="1"/>
    <pageSetUpPr/>
  </sheetPr>
  <dimension ref="A1:N50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style="19" min="1" max="1"/>
    <col width="30" customWidth="1" style="19" min="2" max="2"/>
    <col width="42" customWidth="1" style="19" min="3" max="3"/>
    <col width="34" customWidth="1" style="19" min="4" max="4"/>
    <col width="24" customWidth="1" style="19" min="5" max="5"/>
    <col width="22" customWidth="1" style="19" min="6" max="6"/>
    <col width="22" customWidth="1" style="19" min="7" max="7"/>
    <col width="9" customWidth="1" style="19" min="8" max="8"/>
    <col width="11" customWidth="1" style="19" min="9" max="9"/>
    <col width="8" customWidth="1" style="19" min="10" max="10"/>
    <col width="16" customWidth="1" style="19" min="11" max="11"/>
    <col width="10" customWidth="1" style="19" min="12" max="12"/>
    <col width="10" customWidth="1" style="19" min="13" max="13"/>
    <col width="30" customWidth="1" style="19" min="14" max="14"/>
  </cols>
  <sheetData>
    <row r="1" ht="25.5" customHeight="1" s="19">
      <c r="A1" s="63" t="inlineStr">
        <is>
          <t>Detections (catalog — maintained centrally; Deployment status per application)</t>
        </is>
      </c>
      <c r="B1" s="64" t="n"/>
      <c r="C1" s="64" t="n"/>
      <c r="D1" s="64" t="n"/>
      <c r="E1" s="64" t="n"/>
      <c r="F1" s="64" t="n"/>
      <c r="G1" s="64" t="n"/>
      <c r="H1" s="64" t="n"/>
      <c r="I1" s="64" t="n"/>
      <c r="J1" s="64" t="n"/>
      <c r="K1" s="64" t="n"/>
      <c r="L1" s="64" t="n"/>
      <c r="M1" s="64" t="n"/>
      <c r="N1" s="64" t="n"/>
    </row>
    <row r="2" ht="55" customHeight="1" s="19">
      <c r="A2" s="65" t="inlineStr">
        <is>
          <t>One row per detection, each with a SIEM-agnostic Sigma rule in detections/sigma/. Maintained by Security in the master template. EXCEPTION: the 'Deployment status' column is edited per application (by the app team / SOC) and stays editable while the sheet is protected. It lives here, on the detection's own row, so it can never get misaligned when the 'Detection Plan' view re-sorts.</t>
        </is>
      </c>
    </row>
    <row r="4">
      <c r="A4" s="68" t="inlineStr">
        <is>
          <t>Detection ID</t>
        </is>
      </c>
      <c r="B4" s="68" t="inlineStr">
        <is>
          <t>Title</t>
        </is>
      </c>
      <c r="C4" s="68" t="inlineStr">
        <is>
          <t>What it detects</t>
        </is>
      </c>
      <c r="D4" s="68" t="inlineStr">
        <is>
          <t>Sigma rule</t>
        </is>
      </c>
      <c r="E4" s="68" t="inlineStr">
        <is>
          <t>Required log sources</t>
        </is>
      </c>
      <c r="F4" s="68" t="inlineStr">
        <is>
          <t>Missing log sources</t>
        </is>
      </c>
      <c r="G4" s="68" t="inlineStr">
        <is>
          <t>Linked threats</t>
        </is>
      </c>
      <c r="H4" s="68" t="inlineStr">
        <is>
          <t>Relevant</t>
        </is>
      </c>
      <c r="I4" s="68" t="inlineStr">
        <is>
          <t>Highest threat risk</t>
        </is>
      </c>
      <c r="J4" s="68" t="inlineStr">
        <is>
          <t>Risk score</t>
        </is>
      </c>
      <c r="K4" s="68" t="inlineStr">
        <is>
          <t>Deployment status</t>
        </is>
      </c>
      <c r="L4" s="68" t="inlineStr">
        <is>
          <t>Log sources known</t>
        </is>
      </c>
      <c r="M4" s="68" t="inlineStr">
        <is>
          <t>Review status</t>
        </is>
      </c>
      <c r="N4" s="68" t="inlineStr">
        <is>
          <t>Notes</t>
        </is>
      </c>
    </row>
    <row r="5" ht="36" customHeight="1" s="19">
      <c r="A5" s="70" t="inlineStr">
        <is>
          <t>DET-AUTH-001</t>
        </is>
      </c>
      <c r="B5" s="70" t="inlineStr">
        <is>
          <t>Login failure spike</t>
        </is>
      </c>
      <c r="C5" s="70" t="inlineStr">
        <is>
          <t>Many failed logins for many accounts from one source, or for one account from many sources.</t>
        </is>
      </c>
      <c r="D5" s="72" t="inlineStr">
        <is>
          <t>detections/sigma/det-auth-001-login-failure-spike.yml</t>
        </is>
      </c>
      <c r="E5" s="70" t="inlineStr">
        <is>
          <t>LOG-APP-AUTH</t>
        </is>
      </c>
      <c r="F5" s="71">
        <f>_xlfn.TEXTJOIN("; ",TRUE,_xlfn._xlws.FILTER(tblLogSources[Log source ID],ISNUMBER(SEARCH(";"&amp;tblLogSources[Log source ID]&amp;";",";"&amp;SUBSTITUTE(tblDetections[[#This Row],[Required log sources]]," ","")&amp;";"))*(tblLogSources[Available]&lt;&gt;"Yes"),""))</f>
        <v/>
      </c>
      <c r="G5" s="71">
        <f>_xlfn.TEXTJOIN("; ",TRUE,_xlfn._xlws.FILTER(tblThreatDetections[Threat ID],(tblThreatDetections[Detection ID]=tblDetections[[#This Row],[Detection ID]])*(tblThreatDetections[Threat applies]="Applies"),""))</f>
        <v/>
      </c>
      <c r="H5" s="71">
        <f>IF(COUNTIFS(tblThreatDetections[Detection ID],tblDetections[[#This Row],[Detection ID]],tblThreatDetections[Threat applies],"Applies",tblThreatDetections[Threat mitigation],"&lt;&gt;Mitigated")&gt;0,"Yes","No")</f>
        <v/>
      </c>
      <c r="I5" s="71">
        <f>IF(tblDetections[[#This Row],[Risk score]]=0,"",INDEX(RISK_SCALE_NAMES,tblDetections[[#This Row],[Risk score]]))</f>
        <v/>
      </c>
      <c r="J5" s="71">
        <f>_xlfn.MAXIFS(tblThreatDetections[Threat risk score],tblThreatDetections[Detection ID],tblDetections[[#This Row],[Detection ID]])</f>
        <v/>
      </c>
      <c r="K5" s="73" t="inlineStr">
        <is>
          <t>Not requested</t>
        </is>
      </c>
      <c r="L5" s="71">
        <f>IF(SUMPRODUCT(--ISNUMBER(SEARCH(";"&amp;tblLogSources[Log source ID]&amp;";",";"&amp;SUBSTITUTE(tblDetections[[#This Row],[Required log sources]]," ","")&amp;";")))=LEN(SUBSTITUTE(tblDetections[[#This Row],[Required log sources]]," ",""))-LEN(SUBSTITUTE(SUBSTITUTE(tblDetections[[#This Row],[Required log sources]]," ",""),";",""))+1,"Yes","No")</f>
        <v/>
      </c>
      <c r="M5" s="70" t="inlineStr">
        <is>
          <t>Draft</t>
        </is>
      </c>
      <c r="N5" s="70" t="n"/>
    </row>
    <row r="6" ht="36" customHeight="1" s="19">
      <c r="A6" s="70" t="inlineStr">
        <is>
          <t>DET-AUTH-002</t>
        </is>
      </c>
      <c r="B6" s="70" t="inlineStr">
        <is>
          <t>Login with a default or vendor account</t>
        </is>
      </c>
      <c r="C6" s="70" t="inlineStr">
        <is>
          <t>Successful login with a known default, vendor or shared account name.</t>
        </is>
      </c>
      <c r="D6" s="72" t="inlineStr">
        <is>
          <t>detections/sigma/det-auth-002-default-account-login.yml</t>
        </is>
      </c>
      <c r="E6" s="70" t="inlineStr">
        <is>
          <t>LOG-APP-AUTH</t>
        </is>
      </c>
      <c r="F6" s="71">
        <f>_xlfn.TEXTJOIN("; ",TRUE,_xlfn._xlws.FILTER(tblLogSources[Log source ID],ISNUMBER(SEARCH(";"&amp;tblLogSources[Log source ID]&amp;";",";"&amp;SUBSTITUTE(tblDetections[[#This Row],[Required log sources]]," ","")&amp;";"))*(tblLogSources[Available]&lt;&gt;"Yes"),""))</f>
        <v/>
      </c>
      <c r="G6" s="71">
        <f>_xlfn.TEXTJOIN("; ",TRUE,_xlfn._xlws.FILTER(tblThreatDetections[Threat ID],(tblThreatDetections[Detection ID]=tblDetections[[#This Row],[Detection ID]])*(tblThreatDetections[Threat applies]="Applies"),""))</f>
        <v/>
      </c>
      <c r="H6" s="71">
        <f>IF(COUNTIFS(tblThreatDetections[Detection ID],tblDetections[[#This Row],[Detection ID]],tblThreatDetections[Threat applies],"Applies",tblThreatDetections[Threat mitigation],"&lt;&gt;Mitigated")&gt;0,"Yes","No")</f>
        <v/>
      </c>
      <c r="I6" s="71">
        <f>IF(tblDetections[[#This Row],[Risk score]]=0,"",INDEX(RISK_SCALE_NAMES,tblDetections[[#This Row],[Risk score]]))</f>
        <v/>
      </c>
      <c r="J6" s="71">
        <f>_xlfn.MAXIFS(tblThreatDetections[Threat risk score],tblThreatDetections[Detection ID],tblDetections[[#This Row],[Detection ID]])</f>
        <v/>
      </c>
      <c r="K6" s="73" t="inlineStr">
        <is>
          <t>Not requested</t>
        </is>
      </c>
      <c r="L6" s="71">
        <f>IF(SUMPRODUCT(--ISNUMBER(SEARCH(";"&amp;tblLogSources[Log source ID]&amp;";",";"&amp;SUBSTITUTE(tblDetections[[#This Row],[Required log sources]]," ","")&amp;";")))=LEN(SUBSTITUTE(tblDetections[[#This Row],[Required log sources]]," ",""))-LEN(SUBSTITUTE(SUBSTITUTE(tblDetections[[#This Row],[Required log sources]]," ",""),";",""))+1,"Yes","No")</f>
        <v/>
      </c>
      <c r="M6" s="70" t="inlineStr">
        <is>
          <t>Draft</t>
        </is>
      </c>
      <c r="N6" s="70" t="n"/>
    </row>
    <row r="7" ht="36" customHeight="1" s="19">
      <c r="A7" s="70" t="inlineStr">
        <is>
          <t>DET-ADMIN-001</t>
        </is>
      </c>
      <c r="B7" s="70" t="inlineStr">
        <is>
          <t>Admin console access from an unusual source</t>
        </is>
      </c>
      <c r="C7" s="70" t="inlineStr">
        <is>
          <t>Administrative login or access from a network outside the approved management ranges.</t>
        </is>
      </c>
      <c r="D7" s="72" t="inlineStr">
        <is>
          <t>detections/sigma/det-admin-001-admin-access-unusual-source.yml</t>
        </is>
      </c>
      <c r="E7" s="70" t="inlineStr">
        <is>
          <t>LOG-APP-ADMIN; LOG-WAF</t>
        </is>
      </c>
      <c r="F7" s="71">
        <f>_xlfn.TEXTJOIN("; ",TRUE,_xlfn._xlws.FILTER(tblLogSources[Log source ID],ISNUMBER(SEARCH(";"&amp;tblLogSources[Log source ID]&amp;";",";"&amp;SUBSTITUTE(tblDetections[[#This Row],[Required log sources]]," ","")&amp;";"))*(tblLogSources[Available]&lt;&gt;"Yes"),""))</f>
        <v/>
      </c>
      <c r="G7" s="71">
        <f>_xlfn.TEXTJOIN("; ",TRUE,_xlfn._xlws.FILTER(tblThreatDetections[Threat ID],(tblThreatDetections[Detection ID]=tblDetections[[#This Row],[Detection ID]])*(tblThreatDetections[Threat applies]="Applies"),""))</f>
        <v/>
      </c>
      <c r="H7" s="71">
        <f>IF(COUNTIFS(tblThreatDetections[Detection ID],tblDetections[[#This Row],[Detection ID]],tblThreatDetections[Threat applies],"Applies",tblThreatDetections[Threat mitigation],"&lt;&gt;Mitigated")&gt;0,"Yes","No")</f>
        <v/>
      </c>
      <c r="I7" s="71">
        <f>IF(tblDetections[[#This Row],[Risk score]]=0,"",INDEX(RISK_SCALE_NAMES,tblDetections[[#This Row],[Risk score]]))</f>
        <v/>
      </c>
      <c r="J7" s="71">
        <f>_xlfn.MAXIFS(tblThreatDetections[Threat risk score],tblThreatDetections[Detection ID],tblDetections[[#This Row],[Detection ID]])</f>
        <v/>
      </c>
      <c r="K7" s="73" t="inlineStr">
        <is>
          <t>Not requested</t>
        </is>
      </c>
      <c r="L7" s="71">
        <f>IF(SUMPRODUCT(--ISNUMBER(SEARCH(";"&amp;tblLogSources[Log source ID]&amp;";",";"&amp;SUBSTITUTE(tblDetections[[#This Row],[Required log sources]]," ","")&amp;";")))=LEN(SUBSTITUTE(tblDetections[[#This Row],[Required log sources]]," ",""))-LEN(SUBSTITUTE(SUBSTITUTE(tblDetections[[#This Row],[Required log sources]]," ",""),";",""))+1,"Yes","No")</f>
        <v/>
      </c>
      <c r="M7" s="70" t="inlineStr">
        <is>
          <t>Draft</t>
        </is>
      </c>
      <c r="N7" s="70" t="n"/>
    </row>
    <row r="8" ht="36" customHeight="1" s="19">
      <c r="A8" s="70" t="inlineStr">
        <is>
          <t>DET-ADMIN-002</t>
        </is>
      </c>
      <c r="B8" s="70" t="inlineStr">
        <is>
          <t>Configuration or permission change on the admin interface</t>
        </is>
      </c>
      <c r="C8" s="70" t="inlineStr">
        <is>
          <t>Security-relevant configuration, role or permission changes made through the admin interface.</t>
        </is>
      </c>
      <c r="D8" s="72" t="inlineStr">
        <is>
          <t>detections/sigma/det-admin-002-config-change.yml</t>
        </is>
      </c>
      <c r="E8" s="70" t="inlineStr">
        <is>
          <t>LOG-APP-ADMIN</t>
        </is>
      </c>
      <c r="F8" s="71">
        <f>_xlfn.TEXTJOIN("; ",TRUE,_xlfn._xlws.FILTER(tblLogSources[Log source ID],ISNUMBER(SEARCH(";"&amp;tblLogSources[Log source ID]&amp;";",";"&amp;SUBSTITUTE(tblDetections[[#This Row],[Required log sources]]," ","")&amp;";"))*(tblLogSources[Available]&lt;&gt;"Yes"),""))</f>
        <v/>
      </c>
      <c r="G8" s="71">
        <f>_xlfn.TEXTJOIN("; ",TRUE,_xlfn._xlws.FILTER(tblThreatDetections[Threat ID],(tblThreatDetections[Detection ID]=tblDetections[[#This Row],[Detection ID]])*(tblThreatDetections[Threat applies]="Applies"),""))</f>
        <v/>
      </c>
      <c r="H8" s="71">
        <f>IF(COUNTIFS(tblThreatDetections[Detection ID],tblDetections[[#This Row],[Detection ID]],tblThreatDetections[Threat applies],"Applies",tblThreatDetections[Threat mitigation],"&lt;&gt;Mitigated")&gt;0,"Yes","No")</f>
        <v/>
      </c>
      <c r="I8" s="71">
        <f>IF(tblDetections[[#This Row],[Risk score]]=0,"",INDEX(RISK_SCALE_NAMES,tblDetections[[#This Row],[Risk score]]))</f>
        <v/>
      </c>
      <c r="J8" s="71">
        <f>_xlfn.MAXIFS(tblThreatDetections[Threat risk score],tblThreatDetections[Detection ID],tblDetections[[#This Row],[Detection ID]])</f>
        <v/>
      </c>
      <c r="K8" s="73" t="inlineStr">
        <is>
          <t>Not requested</t>
        </is>
      </c>
      <c r="L8" s="71">
        <f>IF(SUMPRODUCT(--ISNUMBER(SEARCH(";"&amp;tblLogSources[Log source ID]&amp;";",";"&amp;SUBSTITUTE(tblDetections[[#This Row],[Required log sources]]," ","")&amp;";")))=LEN(SUBSTITUTE(tblDetections[[#This Row],[Required log sources]]," ",""))-LEN(SUBSTITUTE(SUBSTITUTE(tblDetections[[#This Row],[Required log sources]]," ",""),";",""))+1,"Yes","No")</f>
        <v/>
      </c>
      <c r="M8" s="70" t="inlineStr">
        <is>
          <t>Draft</t>
        </is>
      </c>
      <c r="N8" s="70" t="n"/>
    </row>
    <row r="9" ht="36" customHeight="1" s="19">
      <c r="A9" s="70" t="inlineStr">
        <is>
          <t>DET-VENDOR-001</t>
        </is>
      </c>
      <c r="B9" s="70" t="inlineStr">
        <is>
          <t>Vendor session outside the approved window</t>
        </is>
      </c>
      <c r="C9" s="70" t="inlineStr">
        <is>
          <t>Vendor account login or remote session outside an approved maintenance window.</t>
        </is>
      </c>
      <c r="D9" s="72" t="inlineStr">
        <is>
          <t>detections/sigma/det-vendor-001-vendor-session-outside-window.yml</t>
        </is>
      </c>
      <c r="E9" s="70" t="inlineStr">
        <is>
          <t>LOG-APP-AUTH; LOG-HOST-EDR</t>
        </is>
      </c>
      <c r="F9" s="71">
        <f>_xlfn.TEXTJOIN("; ",TRUE,_xlfn._xlws.FILTER(tblLogSources[Log source ID],ISNUMBER(SEARCH(";"&amp;tblLogSources[Log source ID]&amp;";",";"&amp;SUBSTITUTE(tblDetections[[#This Row],[Required log sources]]," ","")&amp;";"))*(tblLogSources[Available]&lt;&gt;"Yes"),""))</f>
        <v/>
      </c>
      <c r="G9" s="71">
        <f>_xlfn.TEXTJOIN("; ",TRUE,_xlfn._xlws.FILTER(tblThreatDetections[Threat ID],(tblThreatDetections[Detection ID]=tblDetections[[#This Row],[Detection ID]])*(tblThreatDetections[Threat applies]="Applies"),""))</f>
        <v/>
      </c>
      <c r="H9" s="71">
        <f>IF(COUNTIFS(tblThreatDetections[Detection ID],tblDetections[[#This Row],[Detection ID]],tblThreatDetections[Threat applies],"Applies",tblThreatDetections[Threat mitigation],"&lt;&gt;Mitigated")&gt;0,"Yes","No")</f>
        <v/>
      </c>
      <c r="I9" s="71">
        <f>IF(tblDetections[[#This Row],[Risk score]]=0,"",INDEX(RISK_SCALE_NAMES,tblDetections[[#This Row],[Risk score]]))</f>
        <v/>
      </c>
      <c r="J9" s="71">
        <f>_xlfn.MAXIFS(tblThreatDetections[Threat risk score],tblThreatDetections[Detection ID],tblDetections[[#This Row],[Detection ID]])</f>
        <v/>
      </c>
      <c r="K9" s="73" t="inlineStr">
        <is>
          <t>Requested to SOC</t>
        </is>
      </c>
      <c r="L9" s="71">
        <f>IF(SUMPRODUCT(--ISNUMBER(SEARCH(";"&amp;tblLogSources[Log source ID]&amp;";",";"&amp;SUBSTITUTE(tblDetections[[#This Row],[Required log sources]]," ","")&amp;";")))=LEN(SUBSTITUTE(tblDetections[[#This Row],[Required log sources]]," ",""))-LEN(SUBSTITUTE(SUBSTITUTE(tblDetections[[#This Row],[Required log sources]]," ",""),";",""))+1,"Yes","No")</f>
        <v/>
      </c>
      <c r="M9" s="70" t="inlineStr">
        <is>
          <t>Draft</t>
        </is>
      </c>
      <c r="N9" s="70" t="n"/>
    </row>
    <row r="10" ht="36" customHeight="1" s="19">
      <c r="A10" s="70" t="inlineStr">
        <is>
          <t>DET-NET-001</t>
        </is>
      </c>
      <c r="B10" s="70" t="inlineStr">
        <is>
          <t>Unexpected outbound connection from the application host</t>
        </is>
      </c>
      <c r="C10" s="70" t="inlineStr">
        <is>
          <t>Application host connecting to a destination not on the approved list.</t>
        </is>
      </c>
      <c r="D10" s="72" t="inlineStr">
        <is>
          <t>detections/sigma/det-net-001-unexpected-outbound.yml</t>
        </is>
      </c>
      <c r="E10" s="70" t="inlineStr">
        <is>
          <t>LOG-EGRESS-PROXY; LOG-HOST-EDR</t>
        </is>
      </c>
      <c r="F10" s="71">
        <f>_xlfn.TEXTJOIN("; ",TRUE,_xlfn._xlws.FILTER(tblLogSources[Log source ID],ISNUMBER(SEARCH(";"&amp;tblLogSources[Log source ID]&amp;";",";"&amp;SUBSTITUTE(tblDetections[[#This Row],[Required log sources]]," ","")&amp;";"))*(tblLogSources[Available]&lt;&gt;"Yes"),""))</f>
        <v/>
      </c>
      <c r="G10" s="71">
        <f>_xlfn.TEXTJOIN("; ",TRUE,_xlfn._xlws.FILTER(tblThreatDetections[Threat ID],(tblThreatDetections[Detection ID]=tblDetections[[#This Row],[Detection ID]])*(tblThreatDetections[Threat applies]="Applies"),""))</f>
        <v/>
      </c>
      <c r="H10" s="71">
        <f>IF(COUNTIFS(tblThreatDetections[Detection ID],tblDetections[[#This Row],[Detection ID]],tblThreatDetections[Threat applies],"Applies",tblThreatDetections[Threat mitigation],"&lt;&gt;Mitigated")&gt;0,"Yes","No")</f>
        <v/>
      </c>
      <c r="I10" s="71">
        <f>IF(tblDetections[[#This Row],[Risk score]]=0,"",INDEX(RISK_SCALE_NAMES,tblDetections[[#This Row],[Risk score]]))</f>
        <v/>
      </c>
      <c r="J10" s="71">
        <f>_xlfn.MAXIFS(tblThreatDetections[Threat risk score],tblThreatDetections[Detection ID],tblDetections[[#This Row],[Detection ID]])</f>
        <v/>
      </c>
      <c r="K10" s="73" t="inlineStr">
        <is>
          <t>Not requested</t>
        </is>
      </c>
      <c r="L10" s="71">
        <f>IF(SUMPRODUCT(--ISNUMBER(SEARCH(";"&amp;tblLogSources[Log source ID]&amp;";",";"&amp;SUBSTITUTE(tblDetections[[#This Row],[Required log sources]]," ","")&amp;";")))=LEN(SUBSTITUTE(tblDetections[[#This Row],[Required log sources]]," ",""))-LEN(SUBSTITUTE(SUBSTITUTE(tblDetections[[#This Row],[Required log sources]]," ",""),";",""))+1,"Yes","No")</f>
        <v/>
      </c>
      <c r="M10" s="70" t="inlineStr">
        <is>
          <t>Draft</t>
        </is>
      </c>
      <c r="N10" s="70" t="n"/>
    </row>
    <row r="11" ht="36" customHeight="1" s="19">
      <c r="A11" s="70" t="inlineStr">
        <is>
          <t>DET-HOST-001</t>
        </is>
      </c>
      <c r="B11" s="70" t="inlineStr">
        <is>
          <t>New process on the application host</t>
        </is>
      </c>
      <c r="C11" s="70" t="inlineStr">
        <is>
          <t>Shell, scripting or remote-access process started by the application's service account.</t>
        </is>
      </c>
      <c r="D11" s="72" t="inlineStr">
        <is>
          <t>detections/sigma/det-host-001-new-process.yml</t>
        </is>
      </c>
      <c r="E11" s="70" t="inlineStr">
        <is>
          <t>LOG-HOST-EDR</t>
        </is>
      </c>
      <c r="F11" s="71">
        <f>_xlfn.TEXTJOIN("; ",TRUE,_xlfn._xlws.FILTER(tblLogSources[Log source ID],ISNUMBER(SEARCH(";"&amp;tblLogSources[Log source ID]&amp;";",";"&amp;SUBSTITUTE(tblDetections[[#This Row],[Required log sources]]," ","")&amp;";"))*(tblLogSources[Available]&lt;&gt;"Yes"),""))</f>
        <v/>
      </c>
      <c r="G11" s="71">
        <f>_xlfn.TEXTJOIN("; ",TRUE,_xlfn._xlws.FILTER(tblThreatDetections[Threat ID],(tblThreatDetections[Detection ID]=tblDetections[[#This Row],[Detection ID]])*(tblThreatDetections[Threat applies]="Applies"),""))</f>
        <v/>
      </c>
      <c r="H11" s="71">
        <f>IF(COUNTIFS(tblThreatDetections[Detection ID],tblDetections[[#This Row],[Detection ID]],tblThreatDetections[Threat applies],"Applies",tblThreatDetections[Threat mitigation],"&lt;&gt;Mitigated")&gt;0,"Yes","No")</f>
        <v/>
      </c>
      <c r="I11" s="71">
        <f>IF(tblDetections[[#This Row],[Risk score]]=0,"",INDEX(RISK_SCALE_NAMES,tblDetections[[#This Row],[Risk score]]))</f>
        <v/>
      </c>
      <c r="J11" s="71">
        <f>_xlfn.MAXIFS(tblThreatDetections[Threat risk score],tblThreatDetections[Detection ID],tblDetections[[#This Row],[Detection ID]])</f>
        <v/>
      </c>
      <c r="K11" s="73" t="inlineStr">
        <is>
          <t>Not requested</t>
        </is>
      </c>
      <c r="L11" s="71">
        <f>IF(SUMPRODUCT(--ISNUMBER(SEARCH(";"&amp;tblLogSources[Log source ID]&amp;";",";"&amp;SUBSTITUTE(tblDetections[[#This Row],[Required log sources]]," ","")&amp;";")))=LEN(SUBSTITUTE(tblDetections[[#This Row],[Required log sources]]," ",""))-LEN(SUBSTITUTE(SUBSTITUTE(tblDetections[[#This Row],[Required log sources]]," ",""),";",""))+1,"Yes","No")</f>
        <v/>
      </c>
      <c r="M11" s="70" t="inlineStr">
        <is>
          <t>Draft</t>
        </is>
      </c>
      <c r="N11" s="70" t="n"/>
    </row>
    <row r="12" ht="36" customHeight="1" s="19">
      <c r="A12" s="70" t="inlineStr">
        <is>
          <t>DET-HOST-002</t>
        </is>
      </c>
      <c r="B12" s="70" t="inlineStr">
        <is>
          <t>Integrity change of application binaries</t>
        </is>
      </c>
      <c r="C12" s="70" t="inlineStr">
        <is>
          <t>Application binaries, libraries or plugins changed outside a change window.</t>
        </is>
      </c>
      <c r="D12" s="72" t="inlineStr">
        <is>
          <t>detections/sigma/det-host-002-binary-integrity-change.yml</t>
        </is>
      </c>
      <c r="E12" s="70" t="inlineStr">
        <is>
          <t>LOG-HOST-FIM</t>
        </is>
      </c>
      <c r="F12" s="71">
        <f>_xlfn.TEXTJOIN("; ",TRUE,_xlfn._xlws.FILTER(tblLogSources[Log source ID],ISNUMBER(SEARCH(";"&amp;tblLogSources[Log source ID]&amp;";",";"&amp;SUBSTITUTE(tblDetections[[#This Row],[Required log sources]]," ","")&amp;";"))*(tblLogSources[Available]&lt;&gt;"Yes"),""))</f>
        <v/>
      </c>
      <c r="G12" s="71">
        <f>_xlfn.TEXTJOIN("; ",TRUE,_xlfn._xlws.FILTER(tblThreatDetections[Threat ID],(tblThreatDetections[Detection ID]=tblDetections[[#This Row],[Detection ID]])*(tblThreatDetections[Threat applies]="Applies"),""))</f>
        <v/>
      </c>
      <c r="H12" s="71">
        <f>IF(COUNTIFS(tblThreatDetections[Detection ID],tblDetections[[#This Row],[Detection ID]],tblThreatDetections[Threat applies],"Applies",tblThreatDetections[Threat mitigation],"&lt;&gt;Mitigated")&gt;0,"Yes","No")</f>
        <v/>
      </c>
      <c r="I12" s="71">
        <f>IF(tblDetections[[#This Row],[Risk score]]=0,"",INDEX(RISK_SCALE_NAMES,tblDetections[[#This Row],[Risk score]]))</f>
        <v/>
      </c>
      <c r="J12" s="71">
        <f>_xlfn.MAXIFS(tblThreatDetections[Threat risk score],tblThreatDetections[Detection ID],tblDetections[[#This Row],[Detection ID]])</f>
        <v/>
      </c>
      <c r="K12" s="73" t="inlineStr">
        <is>
          <t>Not requested</t>
        </is>
      </c>
      <c r="L12" s="71">
        <f>IF(SUMPRODUCT(--ISNUMBER(SEARCH(";"&amp;tblLogSources[Log source ID]&amp;";",";"&amp;SUBSTITUTE(tblDetections[[#This Row],[Required log sources]]," ","")&amp;";")))=LEN(SUBSTITUTE(tblDetections[[#This Row],[Required log sources]]," ",""))-LEN(SUBSTITUTE(SUBSTITUTE(tblDetections[[#This Row],[Required log sources]]," ",""),";",""))+1,"Yes","No")</f>
        <v/>
      </c>
      <c r="M12" s="70" t="inlineStr">
        <is>
          <t>Draft</t>
        </is>
      </c>
      <c r="N12" s="70" t="n"/>
    </row>
    <row r="13" ht="36" customHeight="1" s="19">
      <c r="A13" s="70" t="inlineStr">
        <is>
          <t>DET-WAF-001</t>
        </is>
      </c>
      <c r="B13" s="70" t="inlineStr">
        <is>
          <t>Spike of 4xx/5xx at the WAF</t>
        </is>
      </c>
      <c r="C13" s="70" t="inlineStr">
        <is>
          <t>Sudden increase of client or server errors for the application at the WAF or gateway.</t>
        </is>
      </c>
      <c r="D13" s="72" t="inlineStr">
        <is>
          <t>detections/sigma/det-waf-001-error-spike.yml</t>
        </is>
      </c>
      <c r="E13" s="70" t="inlineStr">
        <is>
          <t>LOG-WAF</t>
        </is>
      </c>
      <c r="F13" s="71">
        <f>_xlfn.TEXTJOIN("; ",TRUE,_xlfn._xlws.FILTER(tblLogSources[Log source ID],ISNUMBER(SEARCH(";"&amp;tblLogSources[Log source ID]&amp;";",";"&amp;SUBSTITUTE(tblDetections[[#This Row],[Required log sources]]," ","")&amp;";"))*(tblLogSources[Available]&lt;&gt;"Yes"),""))</f>
        <v/>
      </c>
      <c r="G13" s="71">
        <f>_xlfn.TEXTJOIN("; ",TRUE,_xlfn._xlws.FILTER(tblThreatDetections[Threat ID],(tblThreatDetections[Detection ID]=tblDetections[[#This Row],[Detection ID]])*(tblThreatDetections[Threat applies]="Applies"),""))</f>
        <v/>
      </c>
      <c r="H13" s="71">
        <f>IF(COUNTIFS(tblThreatDetections[Detection ID],tblDetections[[#This Row],[Detection ID]],tblThreatDetections[Threat applies],"Applies",tblThreatDetections[Threat mitigation],"&lt;&gt;Mitigated")&gt;0,"Yes","No")</f>
        <v/>
      </c>
      <c r="I13" s="71">
        <f>IF(tblDetections[[#This Row],[Risk score]]=0,"",INDEX(RISK_SCALE_NAMES,tblDetections[[#This Row],[Risk score]]))</f>
        <v/>
      </c>
      <c r="J13" s="71">
        <f>_xlfn.MAXIFS(tblThreatDetections[Threat risk score],tblThreatDetections[Detection ID],tblDetections[[#This Row],[Detection ID]])</f>
        <v/>
      </c>
      <c r="K13" s="73" t="inlineStr">
        <is>
          <t>Deployed</t>
        </is>
      </c>
      <c r="L13" s="71">
        <f>IF(SUMPRODUCT(--ISNUMBER(SEARCH(";"&amp;tblLogSources[Log source ID]&amp;";",";"&amp;SUBSTITUTE(tblDetections[[#This Row],[Required log sources]]," ","")&amp;";")))=LEN(SUBSTITUTE(tblDetections[[#This Row],[Required log sources]]," ",""))-LEN(SUBSTITUTE(SUBSTITUTE(tblDetections[[#This Row],[Required log sources]]," ",""),";",""))+1,"Yes","No")</f>
        <v/>
      </c>
      <c r="M13" s="70" t="inlineStr">
        <is>
          <t>Draft</t>
        </is>
      </c>
      <c r="N13" s="70" t="n"/>
    </row>
    <row r="14" ht="36" customHeight="1" s="19">
      <c r="A14" s="70" t="inlineStr">
        <is>
          <t>DET-APP-001</t>
        </is>
      </c>
      <c r="B14" s="70" t="inlineStr">
        <is>
          <t>Mass object access by a single user</t>
        </is>
      </c>
      <c r="C14" s="70" t="inlineStr">
        <is>
          <t>One user or client reading an unusually high number of distinct records in a short time.</t>
        </is>
      </c>
      <c r="D14" s="72" t="inlineStr">
        <is>
          <t>detections/sigma/det-app-001-mass-object-access.yml</t>
        </is>
      </c>
      <c r="E14" s="70" t="inlineStr">
        <is>
          <t>LOG-WAF</t>
        </is>
      </c>
      <c r="F14" s="71">
        <f>_xlfn.TEXTJOIN("; ",TRUE,_xlfn._xlws.FILTER(tblLogSources[Log source ID],ISNUMBER(SEARCH(";"&amp;tblLogSources[Log source ID]&amp;";",";"&amp;SUBSTITUTE(tblDetections[[#This Row],[Required log sources]]," ","")&amp;";"))*(tblLogSources[Available]&lt;&gt;"Yes"),""))</f>
        <v/>
      </c>
      <c r="G14" s="71">
        <f>_xlfn.TEXTJOIN("; ",TRUE,_xlfn._xlws.FILTER(tblThreatDetections[Threat ID],(tblThreatDetections[Detection ID]=tblDetections[[#This Row],[Detection ID]])*(tblThreatDetections[Threat applies]="Applies"),""))</f>
        <v/>
      </c>
      <c r="H14" s="71">
        <f>IF(COUNTIFS(tblThreatDetections[Detection ID],tblDetections[[#This Row],[Detection ID]],tblThreatDetections[Threat applies],"Applies",tblThreatDetections[Threat mitigation],"&lt;&gt;Mitigated")&gt;0,"Yes","No")</f>
        <v/>
      </c>
      <c r="I14" s="71">
        <f>IF(tblDetections[[#This Row],[Risk score]]=0,"",INDEX(RISK_SCALE_NAMES,tblDetections[[#This Row],[Risk score]]))</f>
        <v/>
      </c>
      <c r="J14" s="71">
        <f>_xlfn.MAXIFS(tblThreatDetections[Threat risk score],tblThreatDetections[Detection ID],tblDetections[[#This Row],[Detection ID]])</f>
        <v/>
      </c>
      <c r="K14" s="73" t="inlineStr">
        <is>
          <t>Not requested</t>
        </is>
      </c>
      <c r="L14" s="71">
        <f>IF(SUMPRODUCT(--ISNUMBER(SEARCH(";"&amp;tblLogSources[Log source ID]&amp;";",";"&amp;SUBSTITUTE(tblDetections[[#This Row],[Required log sources]]," ","")&amp;";")))=LEN(SUBSTITUTE(tblDetections[[#This Row],[Required log sources]]," ",""))-LEN(SUBSTITUTE(SUBSTITUTE(tblDetections[[#This Row],[Required log sources]]," ",""),";",""))+1,"Yes","No")</f>
        <v/>
      </c>
      <c r="M14" s="70" t="inlineStr">
        <is>
          <t>Draft</t>
        </is>
      </c>
      <c r="N14" s="70" t="n"/>
    </row>
    <row r="15">
      <c r="K15" s="74" t="n"/>
    </row>
    <row r="16">
      <c r="K16" s="74" t="n"/>
    </row>
    <row r="17">
      <c r="K17" s="74" t="n"/>
    </row>
    <row r="18">
      <c r="K18" s="74" t="n"/>
    </row>
    <row r="19">
      <c r="K19" s="74" t="n"/>
    </row>
    <row r="20">
      <c r="K20" s="74" t="n"/>
    </row>
    <row r="21">
      <c r="K21" s="74" t="n"/>
    </row>
    <row r="22">
      <c r="K22" s="74" t="n"/>
    </row>
    <row r="23">
      <c r="K23" s="74" t="n"/>
    </row>
    <row r="24">
      <c r="K24" s="74" t="n"/>
    </row>
    <row r="25">
      <c r="K25" s="74" t="n"/>
    </row>
    <row r="26">
      <c r="K26" s="74" t="n"/>
    </row>
    <row r="27">
      <c r="K27" s="74" t="n"/>
    </row>
    <row r="28">
      <c r="K28" s="74" t="n"/>
    </row>
    <row r="29">
      <c r="K29" s="74" t="n"/>
    </row>
    <row r="30">
      <c r="K30" s="74" t="n"/>
    </row>
    <row r="31">
      <c r="K31" s="74" t="n"/>
    </row>
    <row r="32">
      <c r="K32" s="74" t="n"/>
    </row>
    <row r="33">
      <c r="K33" s="74" t="n"/>
    </row>
    <row r="34">
      <c r="K34" s="74" t="n"/>
    </row>
    <row r="35">
      <c r="K35" s="74" t="n"/>
    </row>
    <row r="36">
      <c r="K36" s="74" t="n"/>
    </row>
    <row r="37">
      <c r="K37" s="74" t="n"/>
    </row>
    <row r="38">
      <c r="K38" s="74" t="n"/>
    </row>
    <row r="39">
      <c r="K39" s="74" t="n"/>
    </row>
    <row r="40">
      <c r="K40" s="74" t="n"/>
    </row>
    <row r="41">
      <c r="K41" s="74" t="n"/>
    </row>
    <row r="42">
      <c r="K42" s="74" t="n"/>
    </row>
    <row r="43">
      <c r="K43" s="74" t="n"/>
    </row>
    <row r="44">
      <c r="K44" s="74" t="n"/>
    </row>
    <row r="45">
      <c r="K45" s="74" t="n"/>
    </row>
    <row r="46">
      <c r="K46" s="74" t="n"/>
    </row>
    <row r="47">
      <c r="K47" s="74" t="n"/>
    </row>
    <row r="48">
      <c r="K48" s="74" t="n"/>
    </row>
    <row r="49">
      <c r="K49" s="74" t="n"/>
    </row>
    <row r="50">
      <c r="K50" s="74" t="n"/>
    </row>
    <row r="51">
      <c r="K51" s="74" t="n"/>
    </row>
    <row r="52">
      <c r="K52" s="74" t="n"/>
    </row>
    <row r="53">
      <c r="K53" s="74" t="n"/>
    </row>
    <row r="54">
      <c r="K54" s="74" t="n"/>
    </row>
    <row r="55">
      <c r="K55" s="74" t="n"/>
    </row>
    <row r="56">
      <c r="K56" s="74" t="n"/>
    </row>
    <row r="57">
      <c r="K57" s="74" t="n"/>
    </row>
    <row r="58">
      <c r="K58" s="74" t="n"/>
    </row>
    <row r="59">
      <c r="K59" s="74" t="n"/>
    </row>
    <row r="60">
      <c r="K60" s="74" t="n"/>
    </row>
    <row r="61">
      <c r="K61" s="74" t="n"/>
    </row>
    <row r="62">
      <c r="K62" s="74" t="n"/>
    </row>
    <row r="63">
      <c r="K63" s="74" t="n"/>
    </row>
    <row r="64">
      <c r="K64" s="74" t="n"/>
    </row>
    <row r="65">
      <c r="K65" s="74" t="n"/>
    </row>
    <row r="66">
      <c r="K66" s="74" t="n"/>
    </row>
    <row r="67">
      <c r="K67" s="74" t="n"/>
    </row>
    <row r="68">
      <c r="K68" s="74" t="n"/>
    </row>
    <row r="69">
      <c r="K69" s="74" t="n"/>
    </row>
    <row r="70">
      <c r="K70" s="74" t="n"/>
    </row>
    <row r="71">
      <c r="K71" s="74" t="n"/>
    </row>
    <row r="72">
      <c r="K72" s="74" t="n"/>
    </row>
    <row r="73">
      <c r="K73" s="74" t="n"/>
    </row>
    <row r="74">
      <c r="K74" s="74" t="n"/>
    </row>
    <row r="75">
      <c r="K75" s="74" t="n"/>
    </row>
    <row r="76">
      <c r="K76" s="74" t="n"/>
    </row>
    <row r="77">
      <c r="K77" s="74" t="n"/>
    </row>
    <row r="78">
      <c r="K78" s="74" t="n"/>
    </row>
    <row r="79">
      <c r="K79" s="74" t="n"/>
    </row>
    <row r="80">
      <c r="K80" s="74" t="n"/>
    </row>
    <row r="81">
      <c r="K81" s="74" t="n"/>
    </row>
    <row r="82">
      <c r="K82" s="74" t="n"/>
    </row>
    <row r="83">
      <c r="K83" s="74" t="n"/>
    </row>
    <row r="84">
      <c r="K84" s="74" t="n"/>
    </row>
    <row r="85">
      <c r="K85" s="74" t="n"/>
    </row>
    <row r="86">
      <c r="K86" s="74" t="n"/>
    </row>
    <row r="87">
      <c r="K87" s="74" t="n"/>
    </row>
    <row r="88">
      <c r="K88" s="74" t="n"/>
    </row>
    <row r="89">
      <c r="K89" s="74" t="n"/>
    </row>
    <row r="90">
      <c r="K90" s="74" t="n"/>
    </row>
    <row r="91">
      <c r="K91" s="74" t="n"/>
    </row>
    <row r="92">
      <c r="K92" s="74" t="n"/>
    </row>
    <row r="93">
      <c r="K93" s="74" t="n"/>
    </row>
    <row r="94">
      <c r="K94" s="74" t="n"/>
    </row>
    <row r="95">
      <c r="K95" s="74" t="n"/>
    </row>
    <row r="96">
      <c r="K96" s="74" t="n"/>
    </row>
    <row r="97">
      <c r="K97" s="74" t="n"/>
    </row>
    <row r="98">
      <c r="K98" s="74" t="n"/>
    </row>
    <row r="99">
      <c r="K99" s="74" t="n"/>
    </row>
    <row r="100">
      <c r="K100" s="74" t="n"/>
    </row>
    <row r="101">
      <c r="K101" s="74" t="n"/>
    </row>
    <row r="102">
      <c r="K102" s="74" t="n"/>
    </row>
    <row r="103">
      <c r="K103" s="74" t="n"/>
    </row>
    <row r="104">
      <c r="K104" s="74" t="n"/>
    </row>
    <row r="105">
      <c r="K105" s="74" t="n"/>
    </row>
    <row r="106">
      <c r="K106" s="74" t="n"/>
    </row>
    <row r="107">
      <c r="K107" s="74" t="n"/>
    </row>
    <row r="108">
      <c r="K108" s="74" t="n"/>
    </row>
    <row r="109">
      <c r="K109" s="74" t="n"/>
    </row>
    <row r="110">
      <c r="K110" s="74" t="n"/>
    </row>
    <row r="111">
      <c r="K111" s="74" t="n"/>
    </row>
    <row r="112">
      <c r="K112" s="74" t="n"/>
    </row>
    <row r="113">
      <c r="K113" s="74" t="n"/>
    </row>
    <row r="114">
      <c r="K114" s="74" t="n"/>
    </row>
    <row r="115">
      <c r="K115" s="74" t="n"/>
    </row>
    <row r="116">
      <c r="K116" s="74" t="n"/>
    </row>
    <row r="117">
      <c r="K117" s="74" t="n"/>
    </row>
    <row r="118">
      <c r="K118" s="74" t="n"/>
    </row>
    <row r="119">
      <c r="K119" s="74" t="n"/>
    </row>
    <row r="120">
      <c r="K120" s="74" t="n"/>
    </row>
    <row r="121">
      <c r="K121" s="74" t="n"/>
    </row>
    <row r="122">
      <c r="K122" s="74" t="n"/>
    </row>
    <row r="123">
      <c r="K123" s="74" t="n"/>
    </row>
    <row r="124">
      <c r="K124" s="74" t="n"/>
    </row>
    <row r="125">
      <c r="K125" s="74" t="n"/>
    </row>
    <row r="126">
      <c r="K126" s="74" t="n"/>
    </row>
    <row r="127">
      <c r="K127" s="74" t="n"/>
    </row>
    <row r="128">
      <c r="K128" s="74" t="n"/>
    </row>
    <row r="129">
      <c r="K129" s="74" t="n"/>
    </row>
    <row r="130">
      <c r="K130" s="74" t="n"/>
    </row>
    <row r="131">
      <c r="K131" s="74" t="n"/>
    </row>
    <row r="132">
      <c r="K132" s="74" t="n"/>
    </row>
    <row r="133">
      <c r="K133" s="74" t="n"/>
    </row>
    <row r="134">
      <c r="K134" s="74" t="n"/>
    </row>
    <row r="135">
      <c r="K135" s="74" t="n"/>
    </row>
    <row r="136">
      <c r="K136" s="74" t="n"/>
    </row>
    <row r="137">
      <c r="K137" s="74" t="n"/>
    </row>
    <row r="138">
      <c r="K138" s="74" t="n"/>
    </row>
    <row r="139">
      <c r="K139" s="74" t="n"/>
    </row>
    <row r="140">
      <c r="K140" s="74" t="n"/>
    </row>
    <row r="141">
      <c r="K141" s="74" t="n"/>
    </row>
    <row r="142">
      <c r="K142" s="74" t="n"/>
    </row>
    <row r="143">
      <c r="K143" s="74" t="n"/>
    </row>
    <row r="144">
      <c r="K144" s="74" t="n"/>
    </row>
    <row r="145">
      <c r="K145" s="74" t="n"/>
    </row>
    <row r="146">
      <c r="K146" s="74" t="n"/>
    </row>
    <row r="147">
      <c r="K147" s="74" t="n"/>
    </row>
    <row r="148">
      <c r="K148" s="74" t="n"/>
    </row>
    <row r="149">
      <c r="K149" s="74" t="n"/>
    </row>
    <row r="150">
      <c r="K150" s="74" t="n"/>
    </row>
    <row r="151">
      <c r="K151" s="74" t="n"/>
    </row>
    <row r="152">
      <c r="K152" s="74" t="n"/>
    </row>
    <row r="153">
      <c r="K153" s="74" t="n"/>
    </row>
    <row r="154">
      <c r="K154" s="74" t="n"/>
    </row>
    <row r="155">
      <c r="K155" s="74" t="n"/>
    </row>
    <row r="156">
      <c r="K156" s="74" t="n"/>
    </row>
    <row r="157">
      <c r="K157" s="74" t="n"/>
    </row>
    <row r="158">
      <c r="K158" s="74" t="n"/>
    </row>
    <row r="159">
      <c r="K159" s="74" t="n"/>
    </row>
    <row r="160">
      <c r="K160" s="74" t="n"/>
    </row>
    <row r="161">
      <c r="K161" s="74" t="n"/>
    </row>
    <row r="162">
      <c r="K162" s="74" t="n"/>
    </row>
    <row r="163">
      <c r="K163" s="74" t="n"/>
    </row>
    <row r="164">
      <c r="K164" s="74" t="n"/>
    </row>
    <row r="165">
      <c r="K165" s="74" t="n"/>
    </row>
    <row r="166">
      <c r="K166" s="74" t="n"/>
    </row>
    <row r="167">
      <c r="K167" s="74" t="n"/>
    </row>
    <row r="168">
      <c r="K168" s="74" t="n"/>
    </row>
    <row r="169">
      <c r="K169" s="74" t="n"/>
    </row>
    <row r="170">
      <c r="K170" s="74" t="n"/>
    </row>
    <row r="171">
      <c r="K171" s="74" t="n"/>
    </row>
    <row r="172">
      <c r="K172" s="74" t="n"/>
    </row>
    <row r="173">
      <c r="K173" s="74" t="n"/>
    </row>
    <row r="174">
      <c r="K174" s="74" t="n"/>
    </row>
    <row r="175">
      <c r="K175" s="74" t="n"/>
    </row>
    <row r="176">
      <c r="K176" s="74" t="n"/>
    </row>
    <row r="177">
      <c r="K177" s="74" t="n"/>
    </row>
    <row r="178">
      <c r="K178" s="74" t="n"/>
    </row>
    <row r="179">
      <c r="K179" s="74" t="n"/>
    </row>
    <row r="180">
      <c r="K180" s="74" t="n"/>
    </row>
    <row r="181">
      <c r="K181" s="74" t="n"/>
    </row>
    <row r="182">
      <c r="K182" s="74" t="n"/>
    </row>
    <row r="183">
      <c r="K183" s="74" t="n"/>
    </row>
    <row r="184">
      <c r="K184" s="74" t="n"/>
    </row>
    <row r="185">
      <c r="K185" s="74" t="n"/>
    </row>
    <row r="186">
      <c r="K186" s="74" t="n"/>
    </row>
    <row r="187">
      <c r="K187" s="74" t="n"/>
    </row>
    <row r="188">
      <c r="K188" s="74" t="n"/>
    </row>
    <row r="189">
      <c r="K189" s="74" t="n"/>
    </row>
    <row r="190">
      <c r="K190" s="74" t="n"/>
    </row>
    <row r="191">
      <c r="K191" s="74" t="n"/>
    </row>
    <row r="192">
      <c r="K192" s="74" t="n"/>
    </row>
    <row r="193">
      <c r="K193" s="74" t="n"/>
    </row>
    <row r="194">
      <c r="K194" s="74" t="n"/>
    </row>
    <row r="195">
      <c r="K195" s="74" t="n"/>
    </row>
    <row r="196">
      <c r="K196" s="74" t="n"/>
    </row>
    <row r="197">
      <c r="K197" s="74" t="n"/>
    </row>
    <row r="198">
      <c r="K198" s="74" t="n"/>
    </row>
    <row r="199">
      <c r="K199" s="74" t="n"/>
    </row>
    <row r="200">
      <c r="K200" s="74" t="n"/>
    </row>
    <row r="201">
      <c r="K201" s="74" t="n"/>
    </row>
    <row r="202">
      <c r="K202" s="74" t="n"/>
    </row>
    <row r="203">
      <c r="K203" s="74" t="n"/>
    </row>
    <row r="204">
      <c r="K204" s="74" t="n"/>
    </row>
    <row r="205">
      <c r="K205" s="74" t="n"/>
    </row>
    <row r="206">
      <c r="K206" s="74" t="n"/>
    </row>
    <row r="207">
      <c r="K207" s="74" t="n"/>
    </row>
    <row r="208">
      <c r="K208" s="74" t="n"/>
    </row>
    <row r="209">
      <c r="K209" s="74" t="n"/>
    </row>
    <row r="210">
      <c r="K210" s="74" t="n"/>
    </row>
    <row r="211">
      <c r="K211" s="74" t="n"/>
    </row>
    <row r="212">
      <c r="K212" s="74" t="n"/>
    </row>
    <row r="213">
      <c r="K213" s="74" t="n"/>
    </row>
    <row r="214">
      <c r="K214" s="74" t="n"/>
    </row>
    <row r="215">
      <c r="K215" s="74" t="n"/>
    </row>
    <row r="216">
      <c r="K216" s="74" t="n"/>
    </row>
    <row r="217">
      <c r="K217" s="74" t="n"/>
    </row>
    <row r="218">
      <c r="K218" s="74" t="n"/>
    </row>
    <row r="219">
      <c r="K219" s="74" t="n"/>
    </row>
    <row r="220">
      <c r="K220" s="74" t="n"/>
    </row>
    <row r="221">
      <c r="K221" s="74" t="n"/>
    </row>
    <row r="222">
      <c r="K222" s="74" t="n"/>
    </row>
    <row r="223">
      <c r="K223" s="74" t="n"/>
    </row>
    <row r="224">
      <c r="K224" s="74" t="n"/>
    </row>
    <row r="225">
      <c r="K225" s="74" t="n"/>
    </row>
    <row r="226">
      <c r="K226" s="74" t="n"/>
    </row>
    <row r="227">
      <c r="K227" s="74" t="n"/>
    </row>
    <row r="228">
      <c r="K228" s="74" t="n"/>
    </row>
    <row r="229">
      <c r="K229" s="74" t="n"/>
    </row>
    <row r="230">
      <c r="K230" s="74" t="n"/>
    </row>
    <row r="231">
      <c r="K231" s="74" t="n"/>
    </row>
    <row r="232">
      <c r="K232" s="74" t="n"/>
    </row>
    <row r="233">
      <c r="K233" s="74" t="n"/>
    </row>
    <row r="234">
      <c r="K234" s="74" t="n"/>
    </row>
    <row r="235">
      <c r="K235" s="74" t="n"/>
    </row>
    <row r="236">
      <c r="K236" s="74" t="n"/>
    </row>
    <row r="237">
      <c r="K237" s="74" t="n"/>
    </row>
    <row r="238">
      <c r="K238" s="74" t="n"/>
    </row>
    <row r="239">
      <c r="K239" s="74" t="n"/>
    </row>
    <row r="240">
      <c r="K240" s="74" t="n"/>
    </row>
    <row r="241">
      <c r="K241" s="74" t="n"/>
    </row>
    <row r="242">
      <c r="K242" s="74" t="n"/>
    </row>
    <row r="243">
      <c r="K243" s="74" t="n"/>
    </row>
    <row r="244">
      <c r="K244" s="74" t="n"/>
    </row>
    <row r="245">
      <c r="K245" s="74" t="n"/>
    </row>
    <row r="246">
      <c r="K246" s="74" t="n"/>
    </row>
    <row r="247">
      <c r="K247" s="74" t="n"/>
    </row>
    <row r="248">
      <c r="K248" s="74" t="n"/>
    </row>
    <row r="249">
      <c r="K249" s="74" t="n"/>
    </row>
    <row r="250">
      <c r="K250" s="74" t="n"/>
    </row>
    <row r="251">
      <c r="K251" s="74" t="n"/>
    </row>
    <row r="252">
      <c r="K252" s="74" t="n"/>
    </row>
    <row r="253">
      <c r="K253" s="74" t="n"/>
    </row>
    <row r="254">
      <c r="K254" s="74" t="n"/>
    </row>
    <row r="255">
      <c r="K255" s="74" t="n"/>
    </row>
    <row r="256">
      <c r="K256" s="74" t="n"/>
    </row>
    <row r="257">
      <c r="K257" s="74" t="n"/>
    </row>
    <row r="258">
      <c r="K258" s="74" t="n"/>
    </row>
    <row r="259">
      <c r="K259" s="74" t="n"/>
    </row>
    <row r="260">
      <c r="K260" s="74" t="n"/>
    </row>
    <row r="261">
      <c r="K261" s="74" t="n"/>
    </row>
    <row r="262">
      <c r="K262" s="74" t="n"/>
    </row>
    <row r="263">
      <c r="K263" s="74" t="n"/>
    </row>
    <row r="264">
      <c r="K264" s="74" t="n"/>
    </row>
    <row r="265">
      <c r="K265" s="74" t="n"/>
    </row>
    <row r="266">
      <c r="K266" s="74" t="n"/>
    </row>
    <row r="267">
      <c r="K267" s="74" t="n"/>
    </row>
    <row r="268">
      <c r="K268" s="74" t="n"/>
    </row>
    <row r="269">
      <c r="K269" s="74" t="n"/>
    </row>
    <row r="270">
      <c r="K270" s="74" t="n"/>
    </row>
    <row r="271">
      <c r="K271" s="74" t="n"/>
    </row>
    <row r="272">
      <c r="K272" s="74" t="n"/>
    </row>
    <row r="273">
      <c r="K273" s="74" t="n"/>
    </row>
    <row r="274">
      <c r="K274" s="74" t="n"/>
    </row>
    <row r="275">
      <c r="K275" s="74" t="n"/>
    </row>
    <row r="276">
      <c r="K276" s="74" t="n"/>
    </row>
    <row r="277">
      <c r="K277" s="74" t="n"/>
    </row>
    <row r="278">
      <c r="K278" s="74" t="n"/>
    </row>
    <row r="279">
      <c r="K279" s="74" t="n"/>
    </row>
    <row r="280">
      <c r="K280" s="74" t="n"/>
    </row>
    <row r="281">
      <c r="K281" s="74" t="n"/>
    </row>
    <row r="282">
      <c r="K282" s="74" t="n"/>
    </row>
    <row r="283">
      <c r="K283" s="74" t="n"/>
    </row>
    <row r="284">
      <c r="K284" s="74" t="n"/>
    </row>
    <row r="285">
      <c r="K285" s="74" t="n"/>
    </row>
    <row r="286">
      <c r="K286" s="74" t="n"/>
    </row>
    <row r="287">
      <c r="K287" s="74" t="n"/>
    </row>
    <row r="288">
      <c r="K288" s="74" t="n"/>
    </row>
    <row r="289">
      <c r="K289" s="74" t="n"/>
    </row>
    <row r="290">
      <c r="K290" s="74" t="n"/>
    </row>
    <row r="291">
      <c r="K291" s="74" t="n"/>
    </row>
    <row r="292">
      <c r="K292" s="74" t="n"/>
    </row>
    <row r="293">
      <c r="K293" s="74" t="n"/>
    </row>
    <row r="294">
      <c r="K294" s="74" t="n"/>
    </row>
    <row r="295">
      <c r="K295" s="74" t="n"/>
    </row>
    <row r="296">
      <c r="K296" s="74" t="n"/>
    </row>
    <row r="297">
      <c r="K297" s="74" t="n"/>
    </row>
    <row r="298">
      <c r="K298" s="74" t="n"/>
    </row>
    <row r="299">
      <c r="K299" s="74" t="n"/>
    </row>
    <row r="300">
      <c r="K300" s="74" t="n"/>
    </row>
    <row r="301">
      <c r="K301" s="74" t="n"/>
    </row>
    <row r="302">
      <c r="K302" s="74" t="n"/>
    </row>
    <row r="303">
      <c r="K303" s="74" t="n"/>
    </row>
    <row r="304">
      <c r="K304" s="74" t="n"/>
    </row>
    <row r="305">
      <c r="K305" s="74" t="n"/>
    </row>
    <row r="306">
      <c r="K306" s="74" t="n"/>
    </row>
    <row r="307">
      <c r="K307" s="74" t="n"/>
    </row>
    <row r="308">
      <c r="K308" s="74" t="n"/>
    </row>
    <row r="309">
      <c r="K309" s="74" t="n"/>
    </row>
    <row r="310">
      <c r="K310" s="74" t="n"/>
    </row>
    <row r="311">
      <c r="K311" s="74" t="n"/>
    </row>
    <row r="312">
      <c r="K312" s="74" t="n"/>
    </row>
    <row r="313">
      <c r="K313" s="74" t="n"/>
    </row>
    <row r="314">
      <c r="K314" s="74" t="n"/>
    </row>
    <row r="315">
      <c r="K315" s="74" t="n"/>
    </row>
    <row r="316">
      <c r="K316" s="74" t="n"/>
    </row>
    <row r="317">
      <c r="K317" s="74" t="n"/>
    </row>
    <row r="318">
      <c r="K318" s="74" t="n"/>
    </row>
    <row r="319">
      <c r="K319" s="74" t="n"/>
    </row>
    <row r="320">
      <c r="K320" s="74" t="n"/>
    </row>
    <row r="321">
      <c r="K321" s="74" t="n"/>
    </row>
    <row r="322">
      <c r="K322" s="74" t="n"/>
    </row>
    <row r="323">
      <c r="K323" s="74" t="n"/>
    </row>
    <row r="324">
      <c r="K324" s="74" t="n"/>
    </row>
    <row r="325">
      <c r="K325" s="74" t="n"/>
    </row>
    <row r="326">
      <c r="K326" s="74" t="n"/>
    </row>
    <row r="327">
      <c r="K327" s="74" t="n"/>
    </row>
    <row r="328">
      <c r="K328" s="74" t="n"/>
    </row>
    <row r="329">
      <c r="K329" s="74" t="n"/>
    </row>
    <row r="330">
      <c r="K330" s="74" t="n"/>
    </row>
    <row r="331">
      <c r="K331" s="74" t="n"/>
    </row>
    <row r="332">
      <c r="K332" s="74" t="n"/>
    </row>
    <row r="333">
      <c r="K333" s="74" t="n"/>
    </row>
    <row r="334">
      <c r="K334" s="74" t="n"/>
    </row>
    <row r="335">
      <c r="K335" s="74" t="n"/>
    </row>
    <row r="336">
      <c r="K336" s="74" t="n"/>
    </row>
    <row r="337">
      <c r="K337" s="74" t="n"/>
    </row>
    <row r="338">
      <c r="K338" s="74" t="n"/>
    </row>
    <row r="339">
      <c r="K339" s="74" t="n"/>
    </row>
    <row r="340">
      <c r="K340" s="74" t="n"/>
    </row>
    <row r="341">
      <c r="K341" s="74" t="n"/>
    </row>
    <row r="342">
      <c r="K342" s="74" t="n"/>
    </row>
    <row r="343">
      <c r="K343" s="74" t="n"/>
    </row>
    <row r="344">
      <c r="K344" s="74" t="n"/>
    </row>
    <row r="345">
      <c r="K345" s="74" t="n"/>
    </row>
    <row r="346">
      <c r="K346" s="74" t="n"/>
    </row>
    <row r="347">
      <c r="K347" s="74" t="n"/>
    </row>
    <row r="348">
      <c r="K348" s="74" t="n"/>
    </row>
    <row r="349">
      <c r="K349" s="74" t="n"/>
    </row>
    <row r="350">
      <c r="K350" s="74" t="n"/>
    </row>
    <row r="351">
      <c r="K351" s="74" t="n"/>
    </row>
    <row r="352">
      <c r="K352" s="74" t="n"/>
    </row>
    <row r="353">
      <c r="K353" s="74" t="n"/>
    </row>
    <row r="354">
      <c r="K354" s="74" t="n"/>
    </row>
    <row r="355">
      <c r="K355" s="74" t="n"/>
    </row>
    <row r="356">
      <c r="K356" s="74" t="n"/>
    </row>
    <row r="357">
      <c r="K357" s="74" t="n"/>
    </row>
    <row r="358">
      <c r="K358" s="74" t="n"/>
    </row>
    <row r="359">
      <c r="K359" s="74" t="n"/>
    </row>
    <row r="360">
      <c r="K360" s="74" t="n"/>
    </row>
    <row r="361">
      <c r="K361" s="74" t="n"/>
    </row>
    <row r="362">
      <c r="K362" s="74" t="n"/>
    </row>
    <row r="363">
      <c r="K363" s="74" t="n"/>
    </row>
    <row r="364">
      <c r="K364" s="74" t="n"/>
    </row>
    <row r="365">
      <c r="K365" s="74" t="n"/>
    </row>
    <row r="366">
      <c r="K366" s="74" t="n"/>
    </row>
    <row r="367">
      <c r="K367" s="74" t="n"/>
    </row>
    <row r="368">
      <c r="K368" s="74" t="n"/>
    </row>
    <row r="369">
      <c r="K369" s="74" t="n"/>
    </row>
    <row r="370">
      <c r="K370" s="74" t="n"/>
    </row>
    <row r="371">
      <c r="K371" s="74" t="n"/>
    </row>
    <row r="372">
      <c r="K372" s="74" t="n"/>
    </row>
    <row r="373">
      <c r="K373" s="74" t="n"/>
    </row>
    <row r="374">
      <c r="K374" s="74" t="n"/>
    </row>
    <row r="375">
      <c r="K375" s="74" t="n"/>
    </row>
    <row r="376">
      <c r="K376" s="74" t="n"/>
    </row>
    <row r="377">
      <c r="K377" s="74" t="n"/>
    </row>
    <row r="378">
      <c r="K378" s="74" t="n"/>
    </row>
    <row r="379">
      <c r="K379" s="74" t="n"/>
    </row>
    <row r="380">
      <c r="K380" s="74" t="n"/>
    </row>
    <row r="381">
      <c r="K381" s="74" t="n"/>
    </row>
    <row r="382">
      <c r="K382" s="74" t="n"/>
    </row>
    <row r="383">
      <c r="K383" s="74" t="n"/>
    </row>
    <row r="384">
      <c r="K384" s="74" t="n"/>
    </row>
    <row r="385">
      <c r="K385" s="74" t="n"/>
    </row>
    <row r="386">
      <c r="K386" s="74" t="n"/>
    </row>
    <row r="387">
      <c r="K387" s="74" t="n"/>
    </row>
    <row r="388">
      <c r="K388" s="74" t="n"/>
    </row>
    <row r="389">
      <c r="K389" s="74" t="n"/>
    </row>
    <row r="390">
      <c r="K390" s="74" t="n"/>
    </row>
    <row r="391">
      <c r="K391" s="74" t="n"/>
    </row>
    <row r="392">
      <c r="K392" s="74" t="n"/>
    </row>
    <row r="393">
      <c r="K393" s="74" t="n"/>
    </row>
    <row r="394">
      <c r="K394" s="74" t="n"/>
    </row>
    <row r="395">
      <c r="K395" s="74" t="n"/>
    </row>
    <row r="396">
      <c r="K396" s="74" t="n"/>
    </row>
    <row r="397">
      <c r="K397" s="74" t="n"/>
    </row>
    <row r="398">
      <c r="K398" s="74" t="n"/>
    </row>
    <row r="399">
      <c r="K399" s="74" t="n"/>
    </row>
    <row r="400">
      <c r="K400" s="74" t="n"/>
    </row>
    <row r="401">
      <c r="K401" s="74" t="n"/>
    </row>
    <row r="402">
      <c r="K402" s="74" t="n"/>
    </row>
    <row r="403">
      <c r="K403" s="74" t="n"/>
    </row>
    <row r="404">
      <c r="K404" s="74" t="n"/>
    </row>
    <row r="405">
      <c r="K405" s="74" t="n"/>
    </row>
    <row r="406">
      <c r="K406" s="74" t="n"/>
    </row>
    <row r="407">
      <c r="K407" s="74" t="n"/>
    </row>
    <row r="408">
      <c r="K408" s="74" t="n"/>
    </row>
    <row r="409">
      <c r="K409" s="74" t="n"/>
    </row>
    <row r="410">
      <c r="K410" s="74" t="n"/>
    </row>
    <row r="411">
      <c r="K411" s="74" t="n"/>
    </row>
    <row r="412">
      <c r="K412" s="74" t="n"/>
    </row>
    <row r="413">
      <c r="K413" s="74" t="n"/>
    </row>
    <row r="414">
      <c r="K414" s="74" t="n"/>
    </row>
    <row r="415">
      <c r="K415" s="74" t="n"/>
    </row>
    <row r="416">
      <c r="K416" s="74" t="n"/>
    </row>
    <row r="417">
      <c r="K417" s="74" t="n"/>
    </row>
    <row r="418">
      <c r="K418" s="74" t="n"/>
    </row>
    <row r="419">
      <c r="K419" s="74" t="n"/>
    </row>
    <row r="420">
      <c r="K420" s="74" t="n"/>
    </row>
    <row r="421">
      <c r="K421" s="74" t="n"/>
    </row>
    <row r="422">
      <c r="K422" s="74" t="n"/>
    </row>
    <row r="423">
      <c r="K423" s="74" t="n"/>
    </row>
    <row r="424">
      <c r="K424" s="74" t="n"/>
    </row>
    <row r="425">
      <c r="K425" s="74" t="n"/>
    </row>
    <row r="426">
      <c r="K426" s="74" t="n"/>
    </row>
    <row r="427">
      <c r="K427" s="74" t="n"/>
    </row>
    <row r="428">
      <c r="K428" s="74" t="n"/>
    </row>
    <row r="429">
      <c r="K429" s="74" t="n"/>
    </row>
    <row r="430">
      <c r="K430" s="74" t="n"/>
    </row>
    <row r="431">
      <c r="K431" s="74" t="n"/>
    </row>
    <row r="432">
      <c r="K432" s="74" t="n"/>
    </row>
    <row r="433">
      <c r="K433" s="74" t="n"/>
    </row>
    <row r="434">
      <c r="K434" s="74" t="n"/>
    </row>
    <row r="435">
      <c r="K435" s="74" t="n"/>
    </row>
    <row r="436">
      <c r="K436" s="74" t="n"/>
    </row>
    <row r="437">
      <c r="K437" s="74" t="n"/>
    </row>
    <row r="438">
      <c r="K438" s="74" t="n"/>
    </row>
    <row r="439">
      <c r="K439" s="74" t="n"/>
    </row>
    <row r="440">
      <c r="K440" s="74" t="n"/>
    </row>
    <row r="441">
      <c r="K441" s="74" t="n"/>
    </row>
    <row r="442">
      <c r="K442" s="74" t="n"/>
    </row>
    <row r="443">
      <c r="K443" s="74" t="n"/>
    </row>
    <row r="444">
      <c r="K444" s="74" t="n"/>
    </row>
    <row r="445">
      <c r="K445" s="74" t="n"/>
    </row>
    <row r="446">
      <c r="K446" s="74" t="n"/>
    </row>
    <row r="447">
      <c r="K447" s="74" t="n"/>
    </row>
    <row r="448">
      <c r="K448" s="74" t="n"/>
    </row>
    <row r="449">
      <c r="K449" s="74" t="n"/>
    </row>
    <row r="450">
      <c r="K450" s="74" t="n"/>
    </row>
    <row r="451">
      <c r="K451" s="74" t="n"/>
    </row>
    <row r="452">
      <c r="K452" s="74" t="n"/>
    </row>
    <row r="453">
      <c r="K453" s="74" t="n"/>
    </row>
    <row r="454">
      <c r="K454" s="74" t="n"/>
    </row>
    <row r="455">
      <c r="K455" s="74" t="n"/>
    </row>
    <row r="456">
      <c r="K456" s="74" t="n"/>
    </row>
    <row r="457">
      <c r="K457" s="74" t="n"/>
    </row>
    <row r="458">
      <c r="K458" s="74" t="n"/>
    </row>
    <row r="459">
      <c r="K459" s="74" t="n"/>
    </row>
    <row r="460">
      <c r="K460" s="74" t="n"/>
    </row>
    <row r="461">
      <c r="K461" s="74" t="n"/>
    </row>
    <row r="462">
      <c r="K462" s="74" t="n"/>
    </row>
    <row r="463">
      <c r="K463" s="74" t="n"/>
    </row>
    <row r="464">
      <c r="K464" s="74" t="n"/>
    </row>
    <row r="465">
      <c r="K465" s="74" t="n"/>
    </row>
    <row r="466">
      <c r="K466" s="74" t="n"/>
    </row>
    <row r="467">
      <c r="K467" s="74" t="n"/>
    </row>
    <row r="468">
      <c r="K468" s="74" t="n"/>
    </row>
    <row r="469">
      <c r="K469" s="74" t="n"/>
    </row>
    <row r="470">
      <c r="K470" s="74" t="n"/>
    </row>
    <row r="471">
      <c r="K471" s="74" t="n"/>
    </row>
    <row r="472">
      <c r="K472" s="74" t="n"/>
    </row>
    <row r="473">
      <c r="K473" s="74" t="n"/>
    </row>
    <row r="474">
      <c r="K474" s="74" t="n"/>
    </row>
    <row r="475">
      <c r="K475" s="74" t="n"/>
    </row>
    <row r="476">
      <c r="K476" s="74" t="n"/>
    </row>
    <row r="477">
      <c r="K477" s="74" t="n"/>
    </row>
    <row r="478">
      <c r="K478" s="74" t="n"/>
    </row>
    <row r="479">
      <c r="K479" s="74" t="n"/>
    </row>
    <row r="480">
      <c r="K480" s="74" t="n"/>
    </row>
    <row r="481">
      <c r="K481" s="74" t="n"/>
    </row>
    <row r="482">
      <c r="K482" s="74" t="n"/>
    </row>
    <row r="483">
      <c r="K483" s="74" t="n"/>
    </row>
    <row r="484">
      <c r="K484" s="74" t="n"/>
    </row>
    <row r="485">
      <c r="K485" s="74" t="n"/>
    </row>
    <row r="486">
      <c r="K486" s="74" t="n"/>
    </row>
    <row r="487">
      <c r="K487" s="74" t="n"/>
    </row>
    <row r="488">
      <c r="K488" s="74" t="n"/>
    </row>
    <row r="489">
      <c r="K489" s="74" t="n"/>
    </row>
    <row r="490">
      <c r="K490" s="74" t="n"/>
    </row>
    <row r="491">
      <c r="K491" s="74" t="n"/>
    </row>
    <row r="492">
      <c r="K492" s="74" t="n"/>
    </row>
    <row r="493">
      <c r="K493" s="74" t="n"/>
    </row>
    <row r="494">
      <c r="K494" s="74" t="n"/>
    </row>
    <row r="495">
      <c r="K495" s="74" t="n"/>
    </row>
    <row r="496">
      <c r="K496" s="74" t="n"/>
    </row>
    <row r="497">
      <c r="K497" s="74" t="n"/>
    </row>
    <row r="498">
      <c r="K498" s="74" t="n"/>
    </row>
    <row r="499">
      <c r="K499" s="74" t="n"/>
    </row>
    <row r="500">
      <c r="K500" s="74" t="n"/>
    </row>
  </sheetData>
  <sheetProtection selectLockedCells="0" selectUnlockedCells="0" sheet="1" objects="0" insertRows="1" insertHyperlinks="1" autoFilter="0" scenarios="0" formatColumns="0" deleteColumns="1" insertColumns="1" pivotTables="1" deleteRows="1" formatCells="1" formatRows="0" sort="0"/>
  <mergeCells count="1">
    <mergeCell ref="A2:N2"/>
  </mergeCells>
  <dataValidations count="2">
    <dataValidation sqref="K5:K500" showDropDown="0" showInputMessage="0" showErrorMessage="1" allowBlank="1" error="Choose one of the listed options." type="list">
      <formula1>LIST_DEPLOYMENT_STATUS</formula1>
    </dataValidation>
    <dataValidation sqref="M5:M500" showDropDown="0" showInputMessage="0" showErrorMessage="1" allowBlank="1" error="Choose one of the listed options." type="list">
      <formula1>LIST_REVIEW_STATUS</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s>
  <pageMargins left="0.75" right="0.75" top="1" bottom="1" header="0.5" footer="0.5"/>
  <tableParts count="1">
    <tablePart xmlns:r="http://schemas.openxmlformats.org/officeDocument/2006/relationships" r:id="rId11"/>
  </tableParts>
</worksheet>
</file>

<file path=xl/worksheets/sheet13.xml><?xml version="1.0" encoding="utf-8"?>
<worksheet xmlns="http://schemas.openxmlformats.org/spreadsheetml/2006/main">
  <sheetPr>
    <tabColor rgb="FF7030A0"/>
    <outlinePr summaryBelow="1" summaryRight="1"/>
    <pageSetUpPr/>
  </sheetPr>
  <dimension ref="A1:G22"/>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5" customWidth="1" style="19" min="2" max="2"/>
    <col width="11" customWidth="1" style="19" min="3" max="3"/>
    <col width="10" customWidth="1" style="19" min="4" max="4"/>
    <col width="9" customWidth="1" style="19" min="5" max="5"/>
    <col width="16" customWidth="1" style="19" min="6" max="6"/>
    <col width="10" customWidth="1" style="19" min="7" max="7"/>
  </cols>
  <sheetData>
    <row r="1" ht="25.5" customHeight="1" s="19">
      <c r="A1" s="63" t="inlineStr">
        <is>
          <t>Threat-Detection Map (catalog — maintained centrally)</t>
        </is>
      </c>
      <c r="B1" s="64" t="n"/>
      <c r="C1" s="64" t="n"/>
      <c r="D1" s="64" t="n"/>
      <c r="E1" s="64" t="n"/>
      <c r="F1" s="64" t="n"/>
      <c r="G1" s="64" t="n"/>
    </row>
    <row r="2" ht="45" customHeight="1" s="19">
      <c r="A2" s="65" t="inlineStr">
        <is>
          <t>One row per link between a threat and a detection that spots it. Grey columns are calculated.</t>
        </is>
      </c>
    </row>
    <row r="4">
      <c r="A4" s="68" t="inlineStr">
        <is>
          <t>Threat ID</t>
        </is>
      </c>
      <c r="B4" s="68" t="inlineStr">
        <is>
          <t>Detection ID</t>
        </is>
      </c>
      <c r="C4" s="68" t="inlineStr">
        <is>
          <t>Threat applies</t>
        </is>
      </c>
      <c r="D4" s="68" t="inlineStr">
        <is>
          <t>Threat risk</t>
        </is>
      </c>
      <c r="E4" s="68" t="inlineStr">
        <is>
          <t>Threat risk score</t>
        </is>
      </c>
      <c r="F4" s="68" t="inlineStr">
        <is>
          <t>Threat mitigation</t>
        </is>
      </c>
      <c r="G4" s="68" t="inlineStr">
        <is>
          <t>Detection found</t>
        </is>
      </c>
    </row>
    <row r="5" ht="36" customHeight="1" s="19">
      <c r="A5" s="70" t="inlineStr">
        <is>
          <t>TM-S-001</t>
        </is>
      </c>
      <c r="B5" s="70" t="inlineStr">
        <is>
          <t>DET-AUTH-001</t>
        </is>
      </c>
      <c r="C5" s="71">
        <f>IFERROR(INDEX(tblThreats[Applies],MATCH(tblThreatDetections[[#This Row],[Threat ID]],tblThreats[Threat ID],0)),"NOT FOUND")</f>
        <v/>
      </c>
      <c r="D5" s="71">
        <f>IFERROR(INDEX(tblThreats[Risk],MATCH(tblThreatDetections[[#This Row],[Threat ID]],tblThreats[Threat ID],0)),"")</f>
        <v/>
      </c>
      <c r="E5" s="71">
        <f>IF(tblThreatDetections[[#This Row],[Threat applies]]="Applies",IFERROR(INDEX(tblThreats[Risk score],MATCH(tblThreatDetections[[#This Row],[Threat ID]],tblThreats[Threat ID],0)),0),0)</f>
        <v/>
      </c>
      <c r="F5" s="71">
        <f>IFERROR(INDEX(tblThreats[Mitigation status],MATCH(tblThreatDetections[[#This Row],[Threat ID]],tblThreats[Threat ID],0)),"")</f>
        <v/>
      </c>
      <c r="G5" s="71">
        <f>IF(COUNTIF(tblDetections[Detection ID],tblThreatDetections[[#This Row],[Detection ID]])&gt;0,"Yes","No")</f>
        <v/>
      </c>
    </row>
    <row r="6" ht="36" customHeight="1" s="19">
      <c r="A6" s="70" t="inlineStr">
        <is>
          <t>TM-S-001</t>
        </is>
      </c>
      <c r="B6" s="70" t="inlineStr">
        <is>
          <t>DET-WAF-001</t>
        </is>
      </c>
      <c r="C6" s="71">
        <f>IFERROR(INDEX(tblThreats[Applies],MATCH(tblThreatDetections[[#This Row],[Threat ID]],tblThreats[Threat ID],0)),"NOT FOUND")</f>
        <v/>
      </c>
      <c r="D6" s="71">
        <f>IFERROR(INDEX(tblThreats[Risk],MATCH(tblThreatDetections[[#This Row],[Threat ID]],tblThreats[Threat ID],0)),"")</f>
        <v/>
      </c>
      <c r="E6" s="71">
        <f>IF(tblThreatDetections[[#This Row],[Threat applies]]="Applies",IFERROR(INDEX(tblThreats[Risk score],MATCH(tblThreatDetections[[#This Row],[Threat ID]],tblThreats[Threat ID],0)),0),0)</f>
        <v/>
      </c>
      <c r="F6" s="71">
        <f>IFERROR(INDEX(tblThreats[Mitigation status],MATCH(tblThreatDetections[[#This Row],[Threat ID]],tblThreats[Threat ID],0)),"")</f>
        <v/>
      </c>
      <c r="G6" s="71">
        <f>IF(COUNTIF(tblDetections[Detection ID],tblThreatDetections[[#This Row],[Detection ID]])&gt;0,"Yes","No")</f>
        <v/>
      </c>
    </row>
    <row r="7" ht="36" customHeight="1" s="19">
      <c r="A7" s="70" t="inlineStr">
        <is>
          <t>TM-S-002</t>
        </is>
      </c>
      <c r="B7" s="70" t="inlineStr">
        <is>
          <t>DET-ADMIN-001</t>
        </is>
      </c>
      <c r="C7" s="71">
        <f>IFERROR(INDEX(tblThreats[Applies],MATCH(tblThreatDetections[[#This Row],[Threat ID]],tblThreats[Threat ID],0)),"NOT FOUND")</f>
        <v/>
      </c>
      <c r="D7" s="71">
        <f>IFERROR(INDEX(tblThreats[Risk],MATCH(tblThreatDetections[[#This Row],[Threat ID]],tblThreats[Threat ID],0)),"")</f>
        <v/>
      </c>
      <c r="E7" s="71">
        <f>IF(tblThreatDetections[[#This Row],[Threat applies]]="Applies",IFERROR(INDEX(tblThreats[Risk score],MATCH(tblThreatDetections[[#This Row],[Threat ID]],tblThreats[Threat ID],0)),0),0)</f>
        <v/>
      </c>
      <c r="F7" s="71">
        <f>IFERROR(INDEX(tblThreats[Mitigation status],MATCH(tblThreatDetections[[#This Row],[Threat ID]],tblThreats[Threat ID],0)),"")</f>
        <v/>
      </c>
      <c r="G7" s="71">
        <f>IF(COUNTIF(tblDetections[Detection ID],tblThreatDetections[[#This Row],[Detection ID]])&gt;0,"Yes","No")</f>
        <v/>
      </c>
    </row>
    <row r="8" ht="36" customHeight="1" s="19">
      <c r="A8" s="70" t="inlineStr">
        <is>
          <t>TM-S-003</t>
        </is>
      </c>
      <c r="B8" s="70" t="inlineStr">
        <is>
          <t>DET-AUTH-002</t>
        </is>
      </c>
      <c r="C8" s="71">
        <f>IFERROR(INDEX(tblThreats[Applies],MATCH(tblThreatDetections[[#This Row],[Threat ID]],tblThreats[Threat ID],0)),"NOT FOUND")</f>
        <v/>
      </c>
      <c r="D8" s="71">
        <f>IFERROR(INDEX(tblThreats[Risk],MATCH(tblThreatDetections[[#This Row],[Threat ID]],tblThreats[Threat ID],0)),"")</f>
        <v/>
      </c>
      <c r="E8" s="71">
        <f>IF(tblThreatDetections[[#This Row],[Threat applies]]="Applies",IFERROR(INDEX(tblThreats[Risk score],MATCH(tblThreatDetections[[#This Row],[Threat ID]],tblThreats[Threat ID],0)),0),0)</f>
        <v/>
      </c>
      <c r="F8" s="71">
        <f>IFERROR(INDEX(tblThreats[Mitigation status],MATCH(tblThreatDetections[[#This Row],[Threat ID]],tblThreats[Threat ID],0)),"")</f>
        <v/>
      </c>
      <c r="G8" s="71">
        <f>IF(COUNTIF(tblDetections[Detection ID],tblThreatDetections[[#This Row],[Detection ID]])&gt;0,"Yes","No")</f>
        <v/>
      </c>
    </row>
    <row r="9" ht="36" customHeight="1" s="19">
      <c r="A9" s="70" t="inlineStr">
        <is>
          <t>TM-S-004</t>
        </is>
      </c>
      <c r="B9" s="70" t="inlineStr">
        <is>
          <t>DET-WAF-001</t>
        </is>
      </c>
      <c r="C9" s="71">
        <f>IFERROR(INDEX(tblThreats[Applies],MATCH(tblThreatDetections[[#This Row],[Threat ID]],tblThreats[Threat ID],0)),"NOT FOUND")</f>
        <v/>
      </c>
      <c r="D9" s="71">
        <f>IFERROR(INDEX(tblThreats[Risk],MATCH(tblThreatDetections[[#This Row],[Threat ID]],tblThreats[Threat ID],0)),"")</f>
        <v/>
      </c>
      <c r="E9" s="71">
        <f>IF(tblThreatDetections[[#This Row],[Threat applies]]="Applies",IFERROR(INDEX(tblThreats[Risk score],MATCH(tblThreatDetections[[#This Row],[Threat ID]],tblThreats[Threat ID],0)),0),0)</f>
        <v/>
      </c>
      <c r="F9" s="71">
        <f>IFERROR(INDEX(tblThreats[Mitigation status],MATCH(tblThreatDetections[[#This Row],[Threat ID]],tblThreats[Threat ID],0)),"")</f>
        <v/>
      </c>
      <c r="G9" s="71">
        <f>IF(COUNTIF(tblDetections[Detection ID],tblThreatDetections[[#This Row],[Detection ID]])&gt;0,"Yes","No")</f>
        <v/>
      </c>
    </row>
    <row r="10" ht="36" customHeight="1" s="19">
      <c r="A10" s="70" t="inlineStr">
        <is>
          <t>TM-S-004</t>
        </is>
      </c>
      <c r="B10" s="70" t="inlineStr">
        <is>
          <t>DET-APP-001</t>
        </is>
      </c>
      <c r="C10" s="71">
        <f>IFERROR(INDEX(tblThreats[Applies],MATCH(tblThreatDetections[[#This Row],[Threat ID]],tblThreats[Threat ID],0)),"NOT FOUND")</f>
        <v/>
      </c>
      <c r="D10" s="71">
        <f>IFERROR(INDEX(tblThreats[Risk],MATCH(tblThreatDetections[[#This Row],[Threat ID]],tblThreats[Threat ID],0)),"")</f>
        <v/>
      </c>
      <c r="E10" s="71">
        <f>IF(tblThreatDetections[[#This Row],[Threat applies]]="Applies",IFERROR(INDEX(tblThreats[Risk score],MATCH(tblThreatDetections[[#This Row],[Threat ID]],tblThreats[Threat ID],0)),0),0)</f>
        <v/>
      </c>
      <c r="F10" s="71">
        <f>IFERROR(INDEX(tblThreats[Mitigation status],MATCH(tblThreatDetections[[#This Row],[Threat ID]],tblThreats[Threat ID],0)),"")</f>
        <v/>
      </c>
      <c r="G10" s="71">
        <f>IF(COUNTIF(tblDetections[Detection ID],tblThreatDetections[[#This Row],[Detection ID]])&gt;0,"Yes","No")</f>
        <v/>
      </c>
    </row>
    <row r="11" ht="36" customHeight="1" s="19">
      <c r="A11" s="70" t="inlineStr">
        <is>
          <t>TM-T-002</t>
        </is>
      </c>
      <c r="B11" s="70" t="inlineStr">
        <is>
          <t>DET-HOST-001</t>
        </is>
      </c>
      <c r="C11" s="71">
        <f>IFERROR(INDEX(tblThreats[Applies],MATCH(tblThreatDetections[[#This Row],[Threat ID]],tblThreats[Threat ID],0)),"NOT FOUND")</f>
        <v/>
      </c>
      <c r="D11" s="71">
        <f>IFERROR(INDEX(tblThreats[Risk],MATCH(tblThreatDetections[[#This Row],[Threat ID]],tblThreats[Threat ID],0)),"")</f>
        <v/>
      </c>
      <c r="E11" s="71">
        <f>IF(tblThreatDetections[[#This Row],[Threat applies]]="Applies",IFERROR(INDEX(tblThreats[Risk score],MATCH(tblThreatDetections[[#This Row],[Threat ID]],tblThreats[Threat ID],0)),0),0)</f>
        <v/>
      </c>
      <c r="F11" s="71">
        <f>IFERROR(INDEX(tblThreats[Mitigation status],MATCH(tblThreatDetections[[#This Row],[Threat ID]],tblThreats[Threat ID],0)),"")</f>
        <v/>
      </c>
      <c r="G11" s="71">
        <f>IF(COUNTIF(tblDetections[Detection ID],tblThreatDetections[[#This Row],[Detection ID]])&gt;0,"Yes","No")</f>
        <v/>
      </c>
    </row>
    <row r="12" ht="36" customHeight="1" s="19">
      <c r="A12" s="70" t="inlineStr">
        <is>
          <t>TM-T-003</t>
        </is>
      </c>
      <c r="B12" s="70" t="inlineStr">
        <is>
          <t>DET-HOST-002</t>
        </is>
      </c>
      <c r="C12" s="71">
        <f>IFERROR(INDEX(tblThreats[Applies],MATCH(tblThreatDetections[[#This Row],[Threat ID]],tblThreats[Threat ID],0)),"NOT FOUND")</f>
        <v/>
      </c>
      <c r="D12" s="71">
        <f>IFERROR(INDEX(tblThreats[Risk],MATCH(tblThreatDetections[[#This Row],[Threat ID]],tblThreats[Threat ID],0)),"")</f>
        <v/>
      </c>
      <c r="E12" s="71">
        <f>IF(tblThreatDetections[[#This Row],[Threat applies]]="Applies",IFERROR(INDEX(tblThreats[Risk score],MATCH(tblThreatDetections[[#This Row],[Threat ID]],tblThreats[Threat ID],0)),0),0)</f>
        <v/>
      </c>
      <c r="F12" s="71">
        <f>IFERROR(INDEX(tblThreats[Mitigation status],MATCH(tblThreatDetections[[#This Row],[Threat ID]],tblThreats[Threat ID],0)),"")</f>
        <v/>
      </c>
      <c r="G12" s="71">
        <f>IF(COUNTIF(tblDetections[Detection ID],tblThreatDetections[[#This Row],[Detection ID]])&gt;0,"Yes","No")</f>
        <v/>
      </c>
    </row>
    <row r="13" ht="36" customHeight="1" s="19">
      <c r="A13" s="70" t="inlineStr">
        <is>
          <t>TM-R-001</t>
        </is>
      </c>
      <c r="B13" s="70" t="inlineStr">
        <is>
          <t>DET-ADMIN-002</t>
        </is>
      </c>
      <c r="C13" s="71">
        <f>IFERROR(INDEX(tblThreats[Applies],MATCH(tblThreatDetections[[#This Row],[Threat ID]],tblThreats[Threat ID],0)),"NOT FOUND")</f>
        <v/>
      </c>
      <c r="D13" s="71">
        <f>IFERROR(INDEX(tblThreats[Risk],MATCH(tblThreatDetections[[#This Row],[Threat ID]],tblThreats[Threat ID],0)),"")</f>
        <v/>
      </c>
      <c r="E13" s="71">
        <f>IF(tblThreatDetections[[#This Row],[Threat applies]]="Applies",IFERROR(INDEX(tblThreats[Risk score],MATCH(tblThreatDetections[[#This Row],[Threat ID]],tblThreats[Threat ID],0)),0),0)</f>
        <v/>
      </c>
      <c r="F13" s="71">
        <f>IFERROR(INDEX(tblThreats[Mitigation status],MATCH(tblThreatDetections[[#This Row],[Threat ID]],tblThreats[Threat ID],0)),"")</f>
        <v/>
      </c>
      <c r="G13" s="71">
        <f>IF(COUNTIF(tblDetections[Detection ID],tblThreatDetections[[#This Row],[Detection ID]])&gt;0,"Yes","No")</f>
        <v/>
      </c>
    </row>
    <row r="14" ht="36" customHeight="1" s="19">
      <c r="A14" s="70" t="inlineStr">
        <is>
          <t>TM-I-001</t>
        </is>
      </c>
      <c r="B14" s="70" t="inlineStr">
        <is>
          <t>DET-APP-001</t>
        </is>
      </c>
      <c r="C14" s="71">
        <f>IFERROR(INDEX(tblThreats[Applies],MATCH(tblThreatDetections[[#This Row],[Threat ID]],tblThreats[Threat ID],0)),"NOT FOUND")</f>
        <v/>
      </c>
      <c r="D14" s="71">
        <f>IFERROR(INDEX(tblThreats[Risk],MATCH(tblThreatDetections[[#This Row],[Threat ID]],tblThreats[Threat ID],0)),"")</f>
        <v/>
      </c>
      <c r="E14" s="71">
        <f>IF(tblThreatDetections[[#This Row],[Threat applies]]="Applies",IFERROR(INDEX(tblThreats[Risk score],MATCH(tblThreatDetections[[#This Row],[Threat ID]],tblThreats[Threat ID],0)),0),0)</f>
        <v/>
      </c>
      <c r="F14" s="71">
        <f>IFERROR(INDEX(tblThreats[Mitigation status],MATCH(tblThreatDetections[[#This Row],[Threat ID]],tblThreats[Threat ID],0)),"")</f>
        <v/>
      </c>
      <c r="G14" s="71">
        <f>IF(COUNTIF(tblDetections[Detection ID],tblThreatDetections[[#This Row],[Detection ID]])&gt;0,"Yes","No")</f>
        <v/>
      </c>
    </row>
    <row r="15" ht="36" customHeight="1" s="19">
      <c r="A15" s="70" t="inlineStr">
        <is>
          <t>TM-I-002</t>
        </is>
      </c>
      <c r="B15" s="70" t="inlineStr">
        <is>
          <t>DET-HOST-001</t>
        </is>
      </c>
      <c r="C15" s="71">
        <f>IFERROR(INDEX(tblThreats[Applies],MATCH(tblThreatDetections[[#This Row],[Threat ID]],tblThreats[Threat ID],0)),"NOT FOUND")</f>
        <v/>
      </c>
      <c r="D15" s="71">
        <f>IFERROR(INDEX(tblThreats[Risk],MATCH(tblThreatDetections[[#This Row],[Threat ID]],tblThreats[Threat ID],0)),"")</f>
        <v/>
      </c>
      <c r="E15" s="71">
        <f>IF(tblThreatDetections[[#This Row],[Threat applies]]="Applies",IFERROR(INDEX(tblThreats[Risk score],MATCH(tblThreatDetections[[#This Row],[Threat ID]],tblThreats[Threat ID],0)),0),0)</f>
        <v/>
      </c>
      <c r="F15" s="71">
        <f>IFERROR(INDEX(tblThreats[Mitigation status],MATCH(tblThreatDetections[[#This Row],[Threat ID]],tblThreats[Threat ID],0)),"")</f>
        <v/>
      </c>
      <c r="G15" s="71">
        <f>IF(COUNTIF(tblDetections[Detection ID],tblThreatDetections[[#This Row],[Detection ID]])&gt;0,"Yes","No")</f>
        <v/>
      </c>
    </row>
    <row r="16" ht="36" customHeight="1" s="19">
      <c r="A16" s="70" t="inlineStr">
        <is>
          <t>TM-I-003</t>
        </is>
      </c>
      <c r="B16" s="70" t="inlineStr">
        <is>
          <t>DET-NET-001</t>
        </is>
      </c>
      <c r="C16" s="71">
        <f>IFERROR(INDEX(tblThreats[Applies],MATCH(tblThreatDetections[[#This Row],[Threat ID]],tblThreats[Threat ID],0)),"NOT FOUND")</f>
        <v/>
      </c>
      <c r="D16" s="71">
        <f>IFERROR(INDEX(tblThreats[Risk],MATCH(tblThreatDetections[[#This Row],[Threat ID]],tblThreats[Threat ID],0)),"")</f>
        <v/>
      </c>
      <c r="E16" s="71">
        <f>IF(tblThreatDetections[[#This Row],[Threat applies]]="Applies",IFERROR(INDEX(tblThreats[Risk score],MATCH(tblThreatDetections[[#This Row],[Threat ID]],tblThreats[Threat ID],0)),0),0)</f>
        <v/>
      </c>
      <c r="F16" s="71">
        <f>IFERROR(INDEX(tblThreats[Mitigation status],MATCH(tblThreatDetections[[#This Row],[Threat ID]],tblThreats[Threat ID],0)),"")</f>
        <v/>
      </c>
      <c r="G16" s="71">
        <f>IF(COUNTIF(tblDetections[Detection ID],tblThreatDetections[[#This Row],[Detection ID]])&gt;0,"Yes","No")</f>
        <v/>
      </c>
    </row>
    <row r="17" ht="36" customHeight="1" s="19">
      <c r="A17" s="70" t="inlineStr">
        <is>
          <t>TM-D-001</t>
        </is>
      </c>
      <c r="B17" s="70" t="inlineStr">
        <is>
          <t>DET-WAF-001</t>
        </is>
      </c>
      <c r="C17" s="71">
        <f>IFERROR(INDEX(tblThreats[Applies],MATCH(tblThreatDetections[[#This Row],[Threat ID]],tblThreats[Threat ID],0)),"NOT FOUND")</f>
        <v/>
      </c>
      <c r="D17" s="71">
        <f>IFERROR(INDEX(tblThreats[Risk],MATCH(tblThreatDetections[[#This Row],[Threat ID]],tblThreats[Threat ID],0)),"")</f>
        <v/>
      </c>
      <c r="E17" s="71">
        <f>IF(tblThreatDetections[[#This Row],[Threat applies]]="Applies",IFERROR(INDEX(tblThreats[Risk score],MATCH(tblThreatDetections[[#This Row],[Threat ID]],tblThreats[Threat ID],0)),0),0)</f>
        <v/>
      </c>
      <c r="F17" s="71">
        <f>IFERROR(INDEX(tblThreats[Mitigation status],MATCH(tblThreatDetections[[#This Row],[Threat ID]],tblThreats[Threat ID],0)),"")</f>
        <v/>
      </c>
      <c r="G17" s="71">
        <f>IF(COUNTIF(tblDetections[Detection ID],tblThreatDetections[[#This Row],[Detection ID]])&gt;0,"Yes","No")</f>
        <v/>
      </c>
    </row>
    <row r="18" ht="36" customHeight="1" s="19">
      <c r="A18" s="70" t="inlineStr">
        <is>
          <t>TM-E-001</t>
        </is>
      </c>
      <c r="B18" s="70" t="inlineStr">
        <is>
          <t>DET-ADMIN-002</t>
        </is>
      </c>
      <c r="C18" s="71">
        <f>IFERROR(INDEX(tblThreats[Applies],MATCH(tblThreatDetections[[#This Row],[Threat ID]],tblThreats[Threat ID],0)),"NOT FOUND")</f>
        <v/>
      </c>
      <c r="D18" s="71">
        <f>IFERROR(INDEX(tblThreats[Risk],MATCH(tblThreatDetections[[#This Row],[Threat ID]],tblThreats[Threat ID],0)),"")</f>
        <v/>
      </c>
      <c r="E18" s="71">
        <f>IF(tblThreatDetections[[#This Row],[Threat applies]]="Applies",IFERROR(INDEX(tblThreats[Risk score],MATCH(tblThreatDetections[[#This Row],[Threat ID]],tblThreats[Threat ID],0)),0),0)</f>
        <v/>
      </c>
      <c r="F18" s="71">
        <f>IFERROR(INDEX(tblThreats[Mitigation status],MATCH(tblThreatDetections[[#This Row],[Threat ID]],tblThreats[Threat ID],0)),"")</f>
        <v/>
      </c>
      <c r="G18" s="71">
        <f>IF(COUNTIF(tblDetections[Detection ID],tblThreatDetections[[#This Row],[Detection ID]])&gt;0,"Yes","No")</f>
        <v/>
      </c>
    </row>
    <row r="19" ht="36" customHeight="1" s="19">
      <c r="A19" s="70" t="inlineStr">
        <is>
          <t>TM-E-002</t>
        </is>
      </c>
      <c r="B19" s="70" t="inlineStr">
        <is>
          <t>DET-VENDOR-001</t>
        </is>
      </c>
      <c r="C19" s="71">
        <f>IFERROR(INDEX(tblThreats[Applies],MATCH(tblThreatDetections[[#This Row],[Threat ID]],tblThreats[Threat ID],0)),"NOT FOUND")</f>
        <v/>
      </c>
      <c r="D19" s="71">
        <f>IFERROR(INDEX(tblThreats[Risk],MATCH(tblThreatDetections[[#This Row],[Threat ID]],tblThreats[Threat ID],0)),"")</f>
        <v/>
      </c>
      <c r="E19" s="71">
        <f>IF(tblThreatDetections[[#This Row],[Threat applies]]="Applies",IFERROR(INDEX(tblThreats[Risk score],MATCH(tblThreatDetections[[#This Row],[Threat ID]],tblThreats[Threat ID],0)),0),0)</f>
        <v/>
      </c>
      <c r="F19" s="71">
        <f>IFERROR(INDEX(tblThreats[Mitigation status],MATCH(tblThreatDetections[[#This Row],[Threat ID]],tblThreats[Threat ID],0)),"")</f>
        <v/>
      </c>
      <c r="G19" s="71">
        <f>IF(COUNTIF(tblDetections[Detection ID],tblThreatDetections[[#This Row],[Detection ID]])&gt;0,"Yes","No")</f>
        <v/>
      </c>
    </row>
    <row r="20" ht="36" customHeight="1" s="19">
      <c r="A20" s="70" t="inlineStr">
        <is>
          <t>TM-E-002</t>
        </is>
      </c>
      <c r="B20" s="70" t="inlineStr">
        <is>
          <t>DET-ADMIN-001</t>
        </is>
      </c>
      <c r="C20" s="71">
        <f>IFERROR(INDEX(tblThreats[Applies],MATCH(tblThreatDetections[[#This Row],[Threat ID]],tblThreats[Threat ID],0)),"NOT FOUND")</f>
        <v/>
      </c>
      <c r="D20" s="71">
        <f>IFERROR(INDEX(tblThreats[Risk],MATCH(tblThreatDetections[[#This Row],[Threat ID]],tblThreats[Threat ID],0)),"")</f>
        <v/>
      </c>
      <c r="E20" s="71">
        <f>IF(tblThreatDetections[[#This Row],[Threat applies]]="Applies",IFERROR(INDEX(tblThreats[Risk score],MATCH(tblThreatDetections[[#This Row],[Threat ID]],tblThreats[Threat ID],0)),0),0)</f>
        <v/>
      </c>
      <c r="F20" s="71">
        <f>IFERROR(INDEX(tblThreats[Mitigation status],MATCH(tblThreatDetections[[#This Row],[Threat ID]],tblThreats[Threat ID],0)),"")</f>
        <v/>
      </c>
      <c r="G20" s="71">
        <f>IF(COUNTIF(tblDetections[Detection ID],tblThreatDetections[[#This Row],[Detection ID]])&gt;0,"Yes","No")</f>
        <v/>
      </c>
    </row>
    <row r="21" ht="36" customHeight="1" s="19">
      <c r="A21" s="70" t="inlineStr">
        <is>
          <t>TM-E-003</t>
        </is>
      </c>
      <c r="B21" s="70" t="inlineStr">
        <is>
          <t>DET-HOST-001</t>
        </is>
      </c>
      <c r="C21" s="71">
        <f>IFERROR(INDEX(tblThreats[Applies],MATCH(tblThreatDetections[[#This Row],[Threat ID]],tblThreats[Threat ID],0)),"NOT FOUND")</f>
        <v/>
      </c>
      <c r="D21" s="71">
        <f>IFERROR(INDEX(tblThreats[Risk],MATCH(tblThreatDetections[[#This Row],[Threat ID]],tblThreats[Threat ID],0)),"")</f>
        <v/>
      </c>
      <c r="E21" s="71">
        <f>IF(tblThreatDetections[[#This Row],[Threat applies]]="Applies",IFERROR(INDEX(tblThreats[Risk score],MATCH(tblThreatDetections[[#This Row],[Threat ID]],tblThreats[Threat ID],0)),0),0)</f>
        <v/>
      </c>
      <c r="F21" s="71">
        <f>IFERROR(INDEX(tblThreats[Mitigation status],MATCH(tblThreatDetections[[#This Row],[Threat ID]],tblThreats[Threat ID],0)),"")</f>
        <v/>
      </c>
      <c r="G21" s="71">
        <f>IF(COUNTIF(tblDetections[Detection ID],tblThreatDetections[[#This Row],[Detection ID]])&gt;0,"Yes","No")</f>
        <v/>
      </c>
    </row>
    <row r="22" ht="36" customHeight="1" s="19">
      <c r="A22" s="70" t="inlineStr">
        <is>
          <t>TM-E-003</t>
        </is>
      </c>
      <c r="B22" s="70" t="inlineStr">
        <is>
          <t>DET-HOST-002</t>
        </is>
      </c>
      <c r="C22" s="71">
        <f>IFERROR(INDEX(tblThreats[Applies],MATCH(tblThreatDetections[[#This Row],[Threat ID]],tblThreats[Threat ID],0)),"NOT FOUND")</f>
        <v/>
      </c>
      <c r="D22" s="71">
        <f>IFERROR(INDEX(tblThreats[Risk],MATCH(tblThreatDetections[[#This Row],[Threat ID]],tblThreats[Threat ID],0)),"")</f>
        <v/>
      </c>
      <c r="E22" s="71">
        <f>IF(tblThreatDetections[[#This Row],[Threat applies]]="Applies",IFERROR(INDEX(tblThreats[Risk score],MATCH(tblThreatDetections[[#This Row],[Threat ID]],tblThreats[Threat ID],0)),0),0)</f>
        <v/>
      </c>
      <c r="F22" s="71">
        <f>IFERROR(INDEX(tblThreats[Mitigation status],MATCH(tblThreatDetections[[#This Row],[Threat ID]],tblThreats[Threat ID],0)),"")</f>
        <v/>
      </c>
      <c r="G22" s="71">
        <f>IF(COUNTIF(tblDetections[Detection ID],tblThreatDetections[[#This Row],[Detection ID]])&gt;0,"Yes","No")</f>
        <v/>
      </c>
    </row>
  </sheetData>
  <sheetProtection selectLockedCells="0" selectUnlockedCells="0" sheet="1" objects="0" insertRows="1" insertHyperlinks="1" autoFilter="0" scenarios="0" formatColumns="0" deleteColumns="1" insertColumns="1" pivotTables="1" deleteRows="1" formatCells="1" formatRows="0" sort="0"/>
  <mergeCells count="1">
    <mergeCell ref="A2:G2"/>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30A0"/>
    <outlinePr summaryBelow="1" summaryRight="1"/>
    <pageSetUpPr/>
  </sheetPr>
  <dimension ref="A1:H1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19" min="1" max="1"/>
    <col width="28" customWidth="1" style="19" min="2" max="2"/>
    <col width="42" customWidth="1" style="19" min="3" max="3"/>
    <col width="28" customWidth="1" style="19" min="4" max="4"/>
    <col width="11" customWidth="1" style="19" min="5" max="5"/>
    <col width="26" customWidth="1" style="19" min="6" max="6"/>
    <col width="8" customWidth="1" style="19" min="7" max="7"/>
    <col width="11" customWidth="1" style="19" min="8" max="8"/>
  </cols>
  <sheetData>
    <row r="1" ht="25.5" customHeight="1" s="19">
      <c r="A1" s="63" t="inlineStr">
        <is>
          <t>Log Sources (catalog — maintained centrally)</t>
        </is>
      </c>
      <c r="B1" s="64" t="n"/>
      <c r="C1" s="64" t="n"/>
      <c r="D1" s="64" t="n"/>
      <c r="E1" s="64" t="n"/>
      <c r="F1" s="64" t="n"/>
      <c r="G1" s="64" t="n"/>
      <c r="H1" s="64" t="n"/>
    </row>
    <row r="2" ht="45" customHeight="1" s="19">
      <c r="A2" s="65" t="inlineStr">
        <is>
          <t>One row per log source a detection may need. 'Available' is a live formula over the characterization answers (Yes / No / Unknown). Grey columns are calculated.</t>
        </is>
      </c>
    </row>
    <row r="4">
      <c r="A4" s="68" t="inlineStr">
        <is>
          <t>Log source ID</t>
        </is>
      </c>
      <c r="B4" s="68" t="inlineStr">
        <is>
          <t>Name</t>
        </is>
      </c>
      <c r="C4" s="68" t="inlineStr">
        <is>
          <t>Description</t>
        </is>
      </c>
      <c r="D4" s="68" t="inlineStr">
        <is>
          <t>Availability condition</t>
        </is>
      </c>
      <c r="E4" s="68" t="inlineStr">
        <is>
          <t>Available</t>
        </is>
      </c>
      <c r="F4" s="68" t="inlineStr">
        <is>
          <t>Needed by detections</t>
        </is>
      </c>
      <c r="G4" s="68" t="inlineStr">
        <is>
          <t>Risk score</t>
        </is>
      </c>
      <c r="H4" s="68" t="inlineStr">
        <is>
          <t>Highest threat risk</t>
        </is>
      </c>
    </row>
    <row r="5" ht="36" customHeight="1" s="19">
      <c r="A5" s="70" t="inlineStr">
        <is>
          <t>LOG-APP-AUTH</t>
        </is>
      </c>
      <c r="B5" s="70" t="inlineStr">
        <is>
          <t>Application authentication log</t>
        </is>
      </c>
      <c r="C5" s="70" t="inlineStr">
        <is>
          <t>Logins, failed logins and logouts of the application, in the central log platform.</t>
        </is>
      </c>
      <c r="D5" s="70" t="inlineStr">
        <is>
          <t>LOG_AUTH_EVENTS and LOGS_CENTRALIZED</t>
        </is>
      </c>
      <c r="E5" s="70">
        <f>IF(AND(LOG_AUTH_EVENTS="Yes",LOGS_CENTRALIZED="Yes"),"Yes",IF(OR(LOG_AUTH_EVENTS="No",LOGS_CENTRALIZED="No"),"No","Unknown"))</f>
        <v/>
      </c>
      <c r="F5" s="71">
        <f>_xlfn.TEXTJOIN("; ",TRUE,_xlfn._xlws.FILTER(tblDetections[Detection ID],(tblDetections[Relevant]="Yes")*ISNUMBER(SEARCH(";"&amp;tblLogSources[[#This Row],[Log source ID]]&amp;";",";"&amp;SUBSTITUTE(tblDetections[Required log sources]," ","")&amp;";")),""))</f>
        <v/>
      </c>
      <c r="G5" s="71">
        <f>MAX(_xlfn._xlws.FILTER(tblDetections[Risk score],(tblDetections[Relevant]="Yes")*ISNUMBER(SEARCH(";"&amp;tblLogSources[[#This Row],[Log source ID]]&amp;";",";"&amp;SUBSTITUTE(tblDetections[Required log sources]," ","")&amp;";")),0))</f>
        <v/>
      </c>
      <c r="H5" s="71">
        <f>IF(tblLogSources[[#This Row],[Risk score]]=0,"",INDEX(RISK_SCALE_NAMES,tblLogSources[[#This Row],[Risk score]]))</f>
        <v/>
      </c>
    </row>
    <row r="6" ht="36" customHeight="1" s="19">
      <c r="A6" s="70" t="inlineStr">
        <is>
          <t>LOG-APP-ADMIN</t>
        </is>
      </c>
      <c r="B6" s="70" t="inlineStr">
        <is>
          <t>Application admin audit log</t>
        </is>
      </c>
      <c r="C6" s="70" t="inlineStr">
        <is>
          <t>Administrative actions and configuration changes, in the central log platform.</t>
        </is>
      </c>
      <c r="D6" s="70" t="inlineStr">
        <is>
          <t>LOG_ADMIN_ACTIONS and LOGS_CENTRALIZED</t>
        </is>
      </c>
      <c r="E6" s="70">
        <f>IF(AND(LOG_ADMIN_ACTIONS="Yes",LOGS_CENTRALIZED="Yes"),"Yes",IF(OR(LOG_ADMIN_ACTIONS="No",LOGS_CENTRALIZED="No"),"No","Unknown"))</f>
        <v/>
      </c>
      <c r="F6" s="71">
        <f>_xlfn.TEXTJOIN("; ",TRUE,_xlfn._xlws.FILTER(tblDetections[Detection ID],(tblDetections[Relevant]="Yes")*ISNUMBER(SEARCH(";"&amp;tblLogSources[[#This Row],[Log source ID]]&amp;";",";"&amp;SUBSTITUTE(tblDetections[Required log sources]," ","")&amp;";")),""))</f>
        <v/>
      </c>
      <c r="G6" s="71">
        <f>MAX(_xlfn._xlws.FILTER(tblDetections[Risk score],(tblDetections[Relevant]="Yes")*ISNUMBER(SEARCH(";"&amp;tblLogSources[[#This Row],[Log source ID]]&amp;";",";"&amp;SUBSTITUTE(tblDetections[Required log sources]," ","")&amp;";")),0))</f>
        <v/>
      </c>
      <c r="H6" s="71">
        <f>IF(tblLogSources[[#This Row],[Risk score]]=0,"",INDEX(RISK_SCALE_NAMES,tblLogSources[[#This Row],[Risk score]]))</f>
        <v/>
      </c>
    </row>
    <row r="7" ht="36" customHeight="1" s="19">
      <c r="A7" s="70" t="inlineStr">
        <is>
          <t>LOG-WAF</t>
        </is>
      </c>
      <c r="B7" s="70" t="inlineStr">
        <is>
          <t>WAF / API gateway log</t>
        </is>
      </c>
      <c r="C7" s="70" t="inlineStr">
        <is>
          <t>Requests and responses seen by the WAF or API gateway in front of the application.</t>
        </is>
      </c>
      <c r="D7" s="70" t="inlineStr">
        <is>
          <t>WAF_IN_FRONT (not applicable when internal only)</t>
        </is>
      </c>
      <c r="E7" s="70">
        <f>IF(WAF_IN_FRONT="Yes","Yes",IF(OR(WAF_IN_FRONT="No",EXPOSURE="Internal only"),"No","Unknown"))</f>
        <v/>
      </c>
      <c r="F7" s="71">
        <f>_xlfn.TEXTJOIN("; ",TRUE,_xlfn._xlws.FILTER(tblDetections[Detection ID],(tblDetections[Relevant]="Yes")*ISNUMBER(SEARCH(";"&amp;tblLogSources[[#This Row],[Log source ID]]&amp;";",";"&amp;SUBSTITUTE(tblDetections[Required log sources]," ","")&amp;";")),""))</f>
        <v/>
      </c>
      <c r="G7" s="71">
        <f>MAX(_xlfn._xlws.FILTER(tblDetections[Risk score],(tblDetections[Relevant]="Yes")*ISNUMBER(SEARCH(";"&amp;tblLogSources[[#This Row],[Log source ID]]&amp;";",";"&amp;SUBSTITUTE(tblDetections[Required log sources]," ","")&amp;";")),0))</f>
        <v/>
      </c>
      <c r="H7" s="71">
        <f>IF(tblLogSources[[#This Row],[Risk score]]=0,"",INDEX(RISK_SCALE_NAMES,tblLogSources[[#This Row],[Risk score]]))</f>
        <v/>
      </c>
    </row>
    <row r="8" ht="36" customHeight="1" s="19">
      <c r="A8" s="70" t="inlineStr">
        <is>
          <t>LOG-HOST-EDR</t>
        </is>
      </c>
      <c r="B8" s="70" t="inlineStr">
        <is>
          <t>Host EDR telemetry</t>
        </is>
      </c>
      <c r="C8" s="70" t="inlineStr">
        <is>
          <t>Process, network and remote-session telemetry from the servers or containers.</t>
        </is>
      </c>
      <c r="D8" s="70" t="inlineStr">
        <is>
          <t>HOST_EDR (not applicable to SaaS)</t>
        </is>
      </c>
      <c r="E8" s="70">
        <f>IF(HOST_EDR="Yes","Yes",IF(OR(HOST_EDR="No",SOURCING_MODEL="SaaS (vendor infrastructure)"),"No","Unknown"))</f>
        <v/>
      </c>
      <c r="F8" s="71">
        <f>_xlfn.TEXTJOIN("; ",TRUE,_xlfn._xlws.FILTER(tblDetections[Detection ID],(tblDetections[Relevant]="Yes")*ISNUMBER(SEARCH(";"&amp;tblLogSources[[#This Row],[Log source ID]]&amp;";",";"&amp;SUBSTITUTE(tblDetections[Required log sources]," ","")&amp;";")),""))</f>
        <v/>
      </c>
      <c r="G8" s="71">
        <f>MAX(_xlfn._xlws.FILTER(tblDetections[Risk score],(tblDetections[Relevant]="Yes")*ISNUMBER(SEARCH(";"&amp;tblLogSources[[#This Row],[Log source ID]]&amp;";",";"&amp;SUBSTITUTE(tblDetections[Required log sources]," ","")&amp;";")),0))</f>
        <v/>
      </c>
      <c r="H8" s="71">
        <f>IF(tblLogSources[[#This Row],[Risk score]]=0,"",INDEX(RISK_SCALE_NAMES,tblLogSources[[#This Row],[Risk score]]))</f>
        <v/>
      </c>
    </row>
    <row r="9" ht="36" customHeight="1" s="19">
      <c r="A9" s="70" t="inlineStr">
        <is>
          <t>LOG-HOST-FIM</t>
        </is>
      </c>
      <c r="B9" s="70" t="inlineStr">
        <is>
          <t>File integrity monitoring</t>
        </is>
      </c>
      <c r="C9" s="70" t="inlineStr">
        <is>
          <t>Changes to application binaries and configuration files on the servers.</t>
        </is>
      </c>
      <c r="D9" s="70" t="inlineStr">
        <is>
          <t>HOST_FIM (not applicable to SaaS)</t>
        </is>
      </c>
      <c r="E9" s="70">
        <f>IF(HOST_FIM="Yes","Yes",IF(OR(HOST_FIM="No",SOURCING_MODEL="SaaS (vendor infrastructure)"),"No","Unknown"))</f>
        <v/>
      </c>
      <c r="F9" s="71">
        <f>_xlfn.TEXTJOIN("; ",TRUE,_xlfn._xlws.FILTER(tblDetections[Detection ID],(tblDetections[Relevant]="Yes")*ISNUMBER(SEARCH(";"&amp;tblLogSources[[#This Row],[Log source ID]]&amp;";",";"&amp;SUBSTITUTE(tblDetections[Required log sources]," ","")&amp;";")),""))</f>
        <v/>
      </c>
      <c r="G9" s="71">
        <f>MAX(_xlfn._xlws.FILTER(tblDetections[Risk score],(tblDetections[Relevant]="Yes")*ISNUMBER(SEARCH(";"&amp;tblLogSources[[#This Row],[Log source ID]]&amp;";",";"&amp;SUBSTITUTE(tblDetections[Required log sources]," ","")&amp;";")),0))</f>
        <v/>
      </c>
      <c r="H9" s="71">
        <f>IF(tblLogSources[[#This Row],[Risk score]]=0,"",INDEX(RISK_SCALE_NAMES,tblLogSources[[#This Row],[Risk score]]))</f>
        <v/>
      </c>
    </row>
    <row r="10" ht="36" customHeight="1" s="19">
      <c r="A10" s="70" t="inlineStr">
        <is>
          <t>LOG-EGRESS-PROXY</t>
        </is>
      </c>
      <c r="B10" s="70" t="inlineStr">
        <is>
          <t>Egress proxy / firewall log</t>
        </is>
      </c>
      <c r="C10" s="70" t="inlineStr">
        <is>
          <t>Outbound connections from the application hosts. No questionnaire question yet - candidate new question.</t>
        </is>
      </c>
      <c r="D10" s="70" t="inlineStr">
        <is>
          <t>No question yet (always Unknown)</t>
        </is>
      </c>
      <c r="E10" s="70">
        <f>"Unknown"</f>
        <v/>
      </c>
      <c r="F10" s="71">
        <f>_xlfn.TEXTJOIN("; ",TRUE,_xlfn._xlws.FILTER(tblDetections[Detection ID],(tblDetections[Relevant]="Yes")*ISNUMBER(SEARCH(";"&amp;tblLogSources[[#This Row],[Log source ID]]&amp;";",";"&amp;SUBSTITUTE(tblDetections[Required log sources]," ","")&amp;";")),""))</f>
        <v/>
      </c>
      <c r="G10" s="71">
        <f>MAX(_xlfn._xlws.FILTER(tblDetections[Risk score],(tblDetections[Relevant]="Yes")*ISNUMBER(SEARCH(";"&amp;tblLogSources[[#This Row],[Log source ID]]&amp;";",";"&amp;SUBSTITUTE(tblDetections[Required log sources]," ","")&amp;";")),0))</f>
        <v/>
      </c>
      <c r="H10" s="71">
        <f>IF(tblLogSources[[#This Row],[Risk score]]=0,"",INDEX(RISK_SCALE_NAMES,tblLogSources[[#This Row],[Risk score]]))</f>
        <v/>
      </c>
    </row>
  </sheetData>
  <sheetProtection selectLockedCells="0" selectUnlockedCells="0" sheet="1" objects="0" insertRows="1" insertHyperlinks="1" autoFilter="0" scenarios="0" formatColumns="0" deleteColumns="1" insertColumns="1" pivotTables="1" deleteRows="1" formatCells="1" formatRows="0" sort="0"/>
  <mergeCells count="1">
    <mergeCell ref="A2:H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7030A0"/>
    <outlinePr summaryBelow="1" summaryRight="1"/>
    <pageSetUpPr/>
  </sheetPr>
  <dimension ref="A1:F28"/>
  <sheetViews>
    <sheetView showGridLines="0" tabSelected="0" workbookViewId="0">
      <selection activeCell="A1" sqref="A1"/>
    </sheetView>
  </sheetViews>
  <sheetFormatPr baseColWidth="8" defaultRowHeight="15"/>
  <cols>
    <col width="34" customWidth="1" style="19" min="1" max="1"/>
    <col width="14" customWidth="1" style="19" min="2" max="2"/>
    <col width="14" customWidth="1" style="19" min="3" max="3"/>
    <col width="14" customWidth="1" style="19" min="4" max="4"/>
    <col width="14" customWidth="1" style="19" min="5" max="5"/>
    <col width="20" customWidth="1" style="19" min="6" max="6"/>
  </cols>
  <sheetData>
    <row r="1" ht="25.5" customHeight="1" s="19">
      <c r="A1" s="63" t="inlineStr">
        <is>
          <t>Threat Modeling Configuration (maintained centrally)</t>
        </is>
      </c>
      <c r="B1" s="64" t="n"/>
      <c r="C1" s="64" t="n"/>
      <c r="D1" s="64" t="n"/>
      <c r="E1" s="64" t="n"/>
      <c r="F1" s="64" t="n"/>
    </row>
    <row r="2" ht="45" customHeight="1" s="19">
      <c r="A2" s="65" t="inlineStr">
        <is>
          <t>Risk scale and matrices used by the threat model. Maintained by Security in the master template only. Base risk = Impact x Likelihood; final threat Risk = Base risk x the application's Risk Tier (APP_RISK_TIER). Proposed values — calibrate during the pilot.</t>
        </is>
      </c>
    </row>
    <row r="4">
      <c r="A4" s="66" t="inlineStr">
        <is>
          <t>Risk scale</t>
        </is>
      </c>
    </row>
    <row r="5">
      <c r="A5" s="68" t="inlineStr">
        <is>
          <t>Risk</t>
        </is>
      </c>
      <c r="B5" s="68" t="inlineStr">
        <is>
          <t>Score</t>
        </is>
      </c>
    </row>
    <row r="6">
      <c r="A6" s="75" t="inlineStr">
        <is>
          <t>Low</t>
        </is>
      </c>
      <c r="B6" s="75" t="n">
        <v>1</v>
      </c>
    </row>
    <row r="7">
      <c r="A7" s="75" t="inlineStr">
        <is>
          <t>Medium</t>
        </is>
      </c>
      <c r="B7" s="75" t="n">
        <v>2</v>
      </c>
    </row>
    <row r="8">
      <c r="A8" s="75" t="inlineStr">
        <is>
          <t>High</t>
        </is>
      </c>
      <c r="B8" s="75" t="n">
        <v>3</v>
      </c>
    </row>
    <row r="9">
      <c r="A9" s="75" t="inlineStr">
        <is>
          <t>Critical</t>
        </is>
      </c>
      <c r="B9" s="75" t="n">
        <v>4</v>
      </c>
    </row>
    <row r="12">
      <c r="A12" s="66" t="inlineStr">
        <is>
          <t>Base risk matrix — rows: Impact, columns: Likelihood</t>
        </is>
      </c>
    </row>
    <row r="13">
      <c r="A13" s="68" t="inlineStr"/>
      <c r="B13" s="68" t="inlineStr">
        <is>
          <t>Low</t>
        </is>
      </c>
      <c r="C13" s="68" t="inlineStr">
        <is>
          <t>Medium</t>
        </is>
      </c>
      <c r="D13" s="68" t="inlineStr">
        <is>
          <t>High</t>
        </is>
      </c>
    </row>
    <row r="14">
      <c r="A14" s="76" t="inlineStr">
        <is>
          <t>Low</t>
        </is>
      </c>
      <c r="B14" s="77" t="inlineStr">
        <is>
          <t>Low</t>
        </is>
      </c>
      <c r="C14" s="77" t="inlineStr">
        <is>
          <t>Low</t>
        </is>
      </c>
      <c r="D14" s="77" t="inlineStr">
        <is>
          <t>Medium</t>
        </is>
      </c>
    </row>
    <row r="15">
      <c r="A15" s="76" t="inlineStr">
        <is>
          <t>Medium</t>
        </is>
      </c>
      <c r="B15" s="77" t="inlineStr">
        <is>
          <t>Low</t>
        </is>
      </c>
      <c r="C15" s="77" t="inlineStr">
        <is>
          <t>Medium</t>
        </is>
      </c>
      <c r="D15" s="77" t="inlineStr">
        <is>
          <t>High</t>
        </is>
      </c>
    </row>
    <row r="16">
      <c r="A16" s="76" t="inlineStr">
        <is>
          <t>High</t>
        </is>
      </c>
      <c r="B16" s="77" t="inlineStr">
        <is>
          <t>Medium</t>
        </is>
      </c>
      <c r="C16" s="77" t="inlineStr">
        <is>
          <t>High</t>
        </is>
      </c>
      <c r="D16" s="77" t="inlineStr">
        <is>
          <t>Critical</t>
        </is>
      </c>
    </row>
    <row r="19">
      <c r="A19" s="66" t="inlineStr">
        <is>
          <t>Final risk matrix — rows: Base risk, columns: Application Risk Tier (APP_RISK_TIER)</t>
        </is>
      </c>
    </row>
    <row r="20">
      <c r="A20" s="68" t="inlineStr"/>
      <c r="B20" s="68" t="inlineStr">
        <is>
          <t>Low</t>
        </is>
      </c>
      <c r="C20" s="68" t="inlineStr">
        <is>
          <t>Medium</t>
        </is>
      </c>
      <c r="D20" s="68" t="inlineStr">
        <is>
          <t>High</t>
        </is>
      </c>
      <c r="E20" s="68" t="inlineStr">
        <is>
          <t>Critical</t>
        </is>
      </c>
    </row>
    <row r="21">
      <c r="A21" s="76" t="inlineStr">
        <is>
          <t>Low</t>
        </is>
      </c>
      <c r="B21" s="77" t="inlineStr">
        <is>
          <t>Low</t>
        </is>
      </c>
      <c r="C21" s="77" t="inlineStr">
        <is>
          <t>Low</t>
        </is>
      </c>
      <c r="D21" s="77" t="inlineStr">
        <is>
          <t>Low</t>
        </is>
      </c>
      <c r="E21" s="77" t="inlineStr">
        <is>
          <t>Medium</t>
        </is>
      </c>
    </row>
    <row r="22">
      <c r="A22" s="76" t="inlineStr">
        <is>
          <t>Medium</t>
        </is>
      </c>
      <c r="B22" s="77" t="inlineStr">
        <is>
          <t>Low</t>
        </is>
      </c>
      <c r="C22" s="77" t="inlineStr">
        <is>
          <t>Medium</t>
        </is>
      </c>
      <c r="D22" s="77" t="inlineStr">
        <is>
          <t>Medium</t>
        </is>
      </c>
      <c r="E22" s="77" t="inlineStr">
        <is>
          <t>High</t>
        </is>
      </c>
    </row>
    <row r="23">
      <c r="A23" s="76" t="inlineStr">
        <is>
          <t>High</t>
        </is>
      </c>
      <c r="B23" s="77" t="inlineStr">
        <is>
          <t>Medium</t>
        </is>
      </c>
      <c r="C23" s="77" t="inlineStr">
        <is>
          <t>High</t>
        </is>
      </c>
      <c r="D23" s="77" t="inlineStr">
        <is>
          <t>High</t>
        </is>
      </c>
      <c r="E23" s="77" t="inlineStr">
        <is>
          <t>Critical</t>
        </is>
      </c>
    </row>
    <row r="24">
      <c r="A24" s="76" t="inlineStr">
        <is>
          <t>Critical</t>
        </is>
      </c>
      <c r="B24" s="77" t="inlineStr">
        <is>
          <t>High</t>
        </is>
      </c>
      <c r="C24" s="77" t="inlineStr">
        <is>
          <t>High</t>
        </is>
      </c>
      <c r="D24" s="77" t="inlineStr">
        <is>
          <t>Critical</t>
        </is>
      </c>
      <c r="E24" s="77" t="inlineStr">
        <is>
          <t>Critical</t>
        </is>
      </c>
    </row>
    <row r="27">
      <c r="A27" s="66" t="inlineStr">
        <is>
          <t>Sigma rules base URL</t>
        </is>
      </c>
      <c r="B27" s="78" t="inlineStr">
        <is>
          <t>https://github.com/Zzanoni/app-hardening-baseline/blob/main/</t>
        </is>
      </c>
    </row>
    <row r="28">
      <c r="A28" s="79" t="inlineStr">
        <is>
          <t>Prefix added to each detection's 'Sigma rule' path to build its link. Point it to your own copy of the repository.</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B27:F27"/>
  </mergeCells>
  <pageMargins left="0.75" right="0.75" top="1" bottom="1" header="0.5" footer="0.5"/>
</worksheet>
</file>

<file path=xl/worksheets/sheet16.xml><?xml version="1.0" encoding="utf-8"?>
<worksheet xmlns="http://schemas.openxmlformats.org/spreadsheetml/2006/main">
  <sheetPr>
    <tabColor rgb="FF2E75B6"/>
    <outlinePr summaryBelow="1" summaryRight="1"/>
    <pageSetUpPr/>
  </sheetPr>
  <dimension ref="A1:C22"/>
  <sheetViews>
    <sheetView showGridLines="0" tabSelected="0" workbookViewId="0">
      <selection activeCell="A1" sqref="A1"/>
    </sheetView>
  </sheetViews>
  <sheetFormatPr baseColWidth="8" defaultRowHeight="15"/>
  <cols>
    <col width="62" customWidth="1" style="19" min="1" max="1"/>
    <col width="10" customWidth="1" style="19" min="2" max="2"/>
    <col width="70" customWidth="1" style="19" min="3" max="3"/>
  </cols>
  <sheetData>
    <row r="1" ht="25.5" customHeight="1" s="19">
      <c r="A1" s="63" t="inlineStr">
        <is>
          <t>Catalog Health</t>
        </is>
      </c>
      <c r="B1" s="64" t="n"/>
      <c r="C1" s="64" t="n"/>
    </row>
    <row r="2" ht="45" customHeight="1" s="19">
      <c r="A2" s="65" t="inlineStr">
        <is>
          <t>Consistency checks over the threat catalog and control sheets. The master template must show OK before any change is committed. Each check shows how many problems it found and which IDs.</t>
        </is>
      </c>
    </row>
    <row r="4">
      <c r="A4" s="66" t="inlineStr">
        <is>
          <t>Overall</t>
        </is>
      </c>
      <c r="B4" s="67" cm="1">
        <f t="array" ref="B4">IF(SUM(B6:B22)=0,"OK","Issues found")</f>
        <v/>
      </c>
    </row>
    <row r="5">
      <c r="A5" s="68" t="inlineStr">
        <is>
          <t>Check</t>
        </is>
      </c>
      <c r="B5" s="68" t="inlineStr">
        <is>
          <t>Issues</t>
        </is>
      </c>
      <c r="C5" s="68" t="inlineStr">
        <is>
          <t>Offending IDs</t>
        </is>
      </c>
    </row>
    <row r="6" ht="28" customHeight="1" s="19">
      <c r="A6" s="80" t="inlineStr">
        <is>
          <t>1a. Duplicate IDs in Threat Library</t>
        </is>
      </c>
      <c r="B6" s="81" cm="1">
        <f t="array" ref="B6">SUMPRODUCT((tblThreats[Threat ID]&lt;&gt;"")*(COUNTIF(tblThreats[Threat ID],tblThreats[Threat ID])&gt;1))</f>
        <v/>
      </c>
      <c r="C6" s="80" cm="1">
        <f t="array" ref="C6">_xlfn.TEXTJOIN("; ",TRUE,IFERROR(_xlfn.UNIQUE(_xlfn._xlws.FILTER(tblThreats[Threat ID],(tblThreats[Threat ID]&lt;&gt;"")*(COUNTIF(tblThreats[Threat ID],tblThreats[Threat ID])&gt;1),"")),""))</f>
        <v/>
      </c>
    </row>
    <row r="7" ht="28" customHeight="1" s="19">
      <c r="A7" s="80" t="inlineStr">
        <is>
          <t>1b. Duplicate IDs in Detections</t>
        </is>
      </c>
      <c r="B7" s="81" cm="1">
        <f t="array" ref="B7">SUMPRODUCT((tblDetections[Detection ID]&lt;&gt;"")*(COUNTIF(tblDetections[Detection ID],tblDetections[Detection ID])&gt;1))</f>
        <v/>
      </c>
      <c r="C7" s="80" cm="1">
        <f t="array" ref="C7">_xlfn.TEXTJOIN("; ",TRUE,IFERROR(_xlfn.UNIQUE(_xlfn._xlws.FILTER(tblDetections[Detection ID],(tblDetections[Detection ID]&lt;&gt;"")*(COUNTIF(tblDetections[Detection ID],tblDetections[Detection ID])&gt;1),"")),""))</f>
        <v/>
      </c>
    </row>
    <row r="8" ht="28" customHeight="1" s="19">
      <c r="A8" s="80" t="inlineStr">
        <is>
          <t>1c. Duplicate IDs in Log Sources</t>
        </is>
      </c>
      <c r="B8" s="81" cm="1">
        <f t="array" ref="B8">SUMPRODUCT((tblLogSources[Log source ID]&lt;&gt;"")*(COUNTIF(tblLogSources[Log source ID],tblLogSources[Log source ID])&gt;1))</f>
        <v/>
      </c>
      <c r="C8" s="80" cm="1">
        <f t="array" ref="C8">_xlfn.TEXTJOIN("; ",TRUE,IFERROR(_xlfn.UNIQUE(_xlfn._xlws.FILTER(tblLogSources[Log source ID],(tblLogSources[Log source ID]&lt;&gt;"")*(COUNTIF(tblLogSources[Log source ID],tblLogSources[Log source ID])&gt;1),"")),""))</f>
        <v/>
      </c>
    </row>
    <row r="9" ht="28" customHeight="1" s="19">
      <c r="A9" s="80" t="inlineStr">
        <is>
          <t>1d. Duplicate IDs in Custom Controls</t>
        </is>
      </c>
      <c r="B9" s="81" cm="1">
        <f t="array" ref="B9">SUMPRODUCT((CC_IDS&lt;&gt;"")*(COUNTIF(CC_IDS,CC_IDS)&gt;1))</f>
        <v/>
      </c>
      <c r="C9" s="80" cm="1">
        <f t="array" ref="C9">_xlfn.TEXTJOIN("; ",TRUE,IFERROR(_xlfn.UNIQUE(_xlfn._xlws.FILTER(CC_IDS,(CC_IDS&lt;&gt;"")*(COUNTIF(CC_IDS,CC_IDS)&gt;1),"")),""))</f>
        <v/>
      </c>
    </row>
    <row r="10" ht="28" customHeight="1" s="19">
      <c r="A10" s="80" t="inlineStr">
        <is>
          <t>2. Threat-Control Map rows whose Threat ID is not in Threat Library</t>
        </is>
      </c>
      <c r="B10" s="81" cm="1">
        <f t="array" ref="B10">COUNTIF(tblThreatControls[Threat applies],"NOT FOUND")</f>
        <v/>
      </c>
      <c r="C10" s="80" cm="1">
        <f t="array" ref="C10">_xlfn.TEXTJOIN("; ",TRUE,_xlfn._xlws.FILTER(tblThreatControls[Threat ID],tblThreatControls[Threat applies]="NOT FOUND",""))</f>
        <v/>
      </c>
    </row>
    <row r="11" ht="28" customHeight="1" s="19">
      <c r="A11" s="80" t="inlineStr">
        <is>
          <t>3. Threat-Control Map rows whose Control ID is not found</t>
        </is>
      </c>
      <c r="B11" s="81" cm="1">
        <f t="array" ref="B11">COUNTIF(tblThreatControls[Control source],"NOT FOUND")</f>
        <v/>
      </c>
      <c r="C11" s="80" cm="1">
        <f t="array" ref="C11">_xlfn.TEXTJOIN("; ",TRUE,_xlfn._xlws.FILTER(tblThreatControls[Control ID],tblThreatControls[Control source]="NOT FOUND",""))</f>
        <v/>
      </c>
    </row>
    <row r="12" ht="28" customHeight="1" s="19">
      <c r="A12" s="80" t="inlineStr">
        <is>
          <t>4a. Threat-Detection Map rows whose Detection ID is not in Detections</t>
        </is>
      </c>
      <c r="B12" s="81" cm="1">
        <f t="array" ref="B12">COUNTIF(tblThreatDetections[Detection found],"No")</f>
        <v/>
      </c>
      <c r="C12" s="80" cm="1">
        <f t="array" ref="C12">_xlfn.TEXTJOIN("; ",TRUE,_xlfn._xlws.FILTER(tblThreatDetections[Detection ID],tblThreatDetections[Detection found]="No",""))</f>
        <v/>
      </c>
    </row>
    <row r="13" ht="28" customHeight="1" s="19">
      <c r="A13" s="80" t="inlineStr">
        <is>
          <t>4b. Threat-Detection Map rows whose Threat ID is not in Threat Library</t>
        </is>
      </c>
      <c r="B13" s="81" cm="1">
        <f t="array" ref="B13">COUNTIF(tblThreatDetections[Threat applies],"NOT FOUND")</f>
        <v/>
      </c>
      <c r="C13" s="80" cm="1">
        <f t="array" ref="C13">_xlfn.TEXTJOIN("; ",TRUE,_xlfn._xlws.FILTER(tblThreatDetections[Threat ID],tblThreatDetections[Threat applies]="NOT FOUND",""))</f>
        <v/>
      </c>
    </row>
    <row r="14" ht="28" customHeight="1" s="19">
      <c r="A14" s="80" t="inlineStr">
        <is>
          <t>5. Threats with no linked control</t>
        </is>
      </c>
      <c r="B14" s="81" cm="1">
        <f t="array" ref="B14">COUNTIF(tblThreats[Controls linked],0)</f>
        <v/>
      </c>
      <c r="C14" s="80" cm="1">
        <f t="array" ref="C14">_xlfn.TEXTJOIN("; ",TRUE,_xlfn._xlws.FILTER(tblThreats[Threat ID],tblThreats[Controls linked]=0,""))</f>
        <v/>
      </c>
    </row>
    <row r="15" ht="28" customHeight="1" s="19">
      <c r="A15" s="80" t="inlineStr">
        <is>
          <t>6. Threats with no linked detection (and no 'No detection:' justification in Notes)</t>
        </is>
      </c>
      <c r="B15" s="81" cm="1">
        <f t="array" ref="B15">SUMPRODUCT((tblThreats[Detections linked]=0)*ISERROR(SEARCH("No detection:",tblThreats[Notes])))</f>
        <v/>
      </c>
      <c r="C15" s="80" cm="1">
        <f t="array" ref="C15">_xlfn.TEXTJOIN("; ",TRUE,_xlfn._xlws.FILTER(tblThreats[Threat ID],(tblThreats[Detections linked]=0)*ISERROR(SEARCH("No detection:",tblThreats[Notes])),""))</f>
        <v/>
      </c>
    </row>
    <row r="16" ht="28" customHeight="1" s="19">
      <c r="A16" s="80" t="inlineStr">
        <is>
          <t>7. Detections whose required log sources are not in Log Sources</t>
        </is>
      </c>
      <c r="B16" s="81" cm="1">
        <f t="array" ref="B16">COUNTIF(tblDetections[Log sources known],"No")</f>
        <v/>
      </c>
      <c r="C16" s="80" cm="1">
        <f t="array" ref="C16">_xlfn.TEXTJOIN("; ",TRUE,_xlfn._xlws.FILTER(tblDetections[Detection ID],tblDetections[Log sources known]="No",""))</f>
        <v/>
      </c>
    </row>
    <row r="17" ht="28" customHeight="1" s="19">
      <c r="A17" s="80" t="inlineStr">
        <is>
          <t>8. Threats with archetype IDs not in Archetypes</t>
        </is>
      </c>
      <c r="B17" s="81" cm="1">
        <f t="array" ref="B17">COUNTIF(tblThreats[Archetypes valid],"No")</f>
        <v/>
      </c>
      <c r="C17" s="80" cm="1">
        <f t="array" ref="C17">_xlfn.TEXTJOIN("; ",TRUE,_xlfn._xlws.FILTER(tblThreats[Threat ID],tblThreats[Archetypes valid]="No",""))</f>
        <v/>
      </c>
    </row>
    <row r="18" ht="28" customHeight="1" s="19">
      <c r="A18" s="80" t="inlineStr">
        <is>
          <t>9a. Threat applicability formulas returning an error</t>
        </is>
      </c>
      <c r="B18" s="81" cm="1">
        <f t="array" ref="B18">COUNTIF(tblThreats[Applies],"Error")</f>
        <v/>
      </c>
      <c r="C18" s="80" cm="1">
        <f t="array" ref="C18">_xlfn.TEXTJOIN("; ",TRUE,_xlfn._xlws.FILTER(tblThreats[Threat ID],tblThreats[Applies]="Error",""))</f>
        <v/>
      </c>
    </row>
    <row r="19" ht="28" customHeight="1" s="19">
      <c r="A19" s="80" t="inlineStr">
        <is>
          <t>9b. Log source availability formulas returning an error</t>
        </is>
      </c>
      <c r="B19" s="81" cm="1">
        <f t="array" ref="B19">SUMPRODUCT(--ISERROR(tblLogSources[Available]))</f>
        <v/>
      </c>
      <c r="C19" s="80" cm="1">
        <f t="array" ref="C19">_xlfn.TEXTJOIN("; ",TRUE,_xlfn._xlws.FILTER(tblLogSources[Log source ID],ISERROR(tblLogSources[Available]),""))</f>
        <v/>
      </c>
    </row>
    <row r="20" ht="28" customHeight="1" s="19">
      <c r="A20" s="80" t="inlineStr">
        <is>
          <t>9c. Custom Controls applicability formulas returning an error</t>
        </is>
      </c>
      <c r="B20" s="81" cm="1">
        <f t="array" ref="B20">SUMPRODUCT(--ISERROR(CC_FORMULA))</f>
        <v/>
      </c>
      <c r="C20" s="80" cm="1">
        <f t="array" ref="C20">_xlfn.TEXTJOIN("; ",TRUE,_xlfn._xlws.FILTER(CC_IDS,ISERROR(CC_FORMULA),""))</f>
        <v/>
      </c>
    </row>
    <row r="21" ht="28" customHeight="1" s="19">
      <c r="A21" s="80" t="inlineStr">
        <is>
          <t>9d. Other formula errors (calculated columns, characterization, control sheets)</t>
        </is>
      </c>
      <c r="B21" s="81" cm="1">
        <f t="array" ref="B21">SUMPRODUCT(--ISERROR(tblThreats))-SUMPRODUCT(--ISERROR(tblThreats[Applicability formula]))+SUMPRODUCT(--ISERROR(tblThreatControls))+SUMPRODUCT(--ISERROR(tblDetections))+SUMPRODUCT(--ISERROR(tblThreatDetections))+SUMPRODUCT(--ISERROR(tblLogSources))-SUMPRODUCT(--ISERROR(tblLogSources[Available]))+SUMPRODUCT(--ISERROR('Characterization Form'!$D$17:$D$22))+SUMPRODUCT(--ISERROR('Extended Characterization'!$D$5:$I$90))+SUMPRODUCT(--ISERROR('ASVS Checklist'!$H$5:$V$349))+SUMPRODUCT(--ISERROR('Custom Controls'!$H$5:$V$204))</f>
        <v/>
      </c>
      <c r="C21" s="80" cm="1">
        <f t="array" ref="C21">IF(B21=0,"","See sheets: "&amp;IF(SUMPRODUCT(--ISERROR(tblThreatControls))&gt;0,"Threat-Control Map; ","")&amp;IF(SUMPRODUCT(--ISERROR(tblDetections))&gt;0,"Detections; ","")&amp;IF(SUMPRODUCT(--ISERROR('ASVS Checklist'!$H$5:$V$349))&gt;0,"ASVS Checklist; ","")&amp;IF(SUMPRODUCT(--ISERROR('Custom Controls'!$H$5:$V$204))&gt;0,"Custom Controls; ","")&amp;IF(SUMPRODUCT(--ISERROR('Extended Characterization'!$D$5:$I$90))&gt;0,"Extended Characterization; ",""))</f>
        <v/>
      </c>
    </row>
    <row r="22" ht="28" customHeight="1" s="19">
      <c r="A22" s="80" t="inlineStr">
        <is>
          <t>10. Threats without Likelihood / Impact</t>
        </is>
      </c>
      <c r="B22" s="81" cm="1">
        <f t="array" ref="B22">COUNTIF(tblThreats[Base risk],"")</f>
        <v/>
      </c>
      <c r="C22" s="80" cm="1">
        <f t="array" ref="C22">_xlfn.TEXTJOIN("; ",TRUE,_xlfn._xlws.FILTER(tblThreats[Threat ID],tblThreats[Base risk]="",""))</f>
        <v/>
      </c>
    </row>
  </sheetData>
  <mergeCells count="1">
    <mergeCell ref="A2:C2"/>
  </mergeCells>
  <conditionalFormatting sqref="B4">
    <cfRule type="cellIs" priority="1" operator="equal" dxfId="13">
      <formula>"OK"</formula>
    </cfRule>
    <cfRule type="cellIs" priority="2" operator="equal" dxfId="9">
      <formula>"Issues found"</formula>
    </cfRule>
  </conditionalFormatting>
  <conditionalFormatting sqref="B6:B22">
    <cfRule type="cellIs" priority="3" operator="greaterThan" dxfId="9">
      <formula>0</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Threats in 'Threat Library' can be limited to some archetypes by listing these IDs. Maintained centrally in the master template - do not edit it in an application copy.</t>
        </is>
      </c>
    </row>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 width="26" customWidth="1" style="19" min="14" max="14"/>
    <col width="26" customWidth="1" style="19" min="15" max="15"/>
    <col width="26" customWidth="1" style="19" min="16" max="16"/>
    <col width="26" customWidth="1" style="19" min="17" max="17"/>
    <col width="26" customWidth="1" style="19" min="18" max="18"/>
    <col width="26" customWidth="1" style="19" min="19" max="19"/>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c r="N1" s="61" t="inlineStr">
        <is>
          <t>LIST_STRIDE</t>
        </is>
      </c>
      <c r="O1" s="61" t="inlineStr">
        <is>
          <t>LIST_LMH</t>
        </is>
      </c>
      <c r="P1" s="61" t="inlineStr">
        <is>
          <t>LIST_REVIEW_STATUS</t>
        </is>
      </c>
      <c r="Q1" s="61" t="inlineStr">
        <is>
          <t>LIST_DEPLOYMENT_STATUS</t>
        </is>
      </c>
      <c r="R1" s="61" t="inlineStr">
        <is>
          <t>LIST_REMEDIATION_OWNER</t>
        </is>
      </c>
      <c r="S1" s="61" t="inlineStr">
        <is>
          <t>LIST_MITIGATION_STATUS</t>
        </is>
      </c>
    </row>
    <row r="2">
      <c r="A2" s="18" t="inlineStr">
        <is>
          <t>Internet</t>
        </is>
      </c>
      <c r="B2" s="18" t="inlineStr">
        <is>
          <t>OAuth2 / OIDC tokens</t>
        </is>
      </c>
      <c r="C2" s="18" t="inlineStr">
        <is>
          <t>Internal web application</t>
        </is>
      </c>
      <c r="D2" s="18" t="inlineStr">
        <is>
          <t>Internal web application</t>
        </is>
      </c>
      <c r="E2" s="18" t="inlineStr">
        <is>
          <t>Internal web application</t>
        </is>
      </c>
      <c r="F2" s="18" t="inlineStr">
        <is>
          <t>Yes, for all users</t>
        </is>
      </c>
      <c r="G2" s="18" t="inlineStr">
        <is>
          <t>On-premises data center</t>
        </is>
      </c>
      <c r="H2" s="18" t="inlineStr">
        <is>
          <t>In development</t>
        </is>
      </c>
      <c r="I2" s="18" t="inlineStr">
        <is>
          <t>Vendor</t>
        </is>
      </c>
      <c r="J2" s="18" t="inlineStr">
        <is>
          <t>In-house (we develop it)</t>
        </is>
      </c>
      <c r="K2" s="18" t="inlineStr">
        <is>
          <t>No</t>
        </is>
      </c>
      <c r="L2" s="18" t="inlineStr">
        <is>
          <t>Yes</t>
        </is>
      </c>
      <c r="M2" s="18" t="inlineStr">
        <is>
          <t>Yes</t>
        </is>
      </c>
      <c r="N2" s="18" t="inlineStr">
        <is>
          <t>Spoofing</t>
        </is>
      </c>
      <c r="O2" s="18" t="inlineStr">
        <is>
          <t>Low</t>
        </is>
      </c>
      <c r="P2" s="18" t="inlineStr">
        <is>
          <t>Draft</t>
        </is>
      </c>
      <c r="Q2" s="18" t="inlineStr">
        <is>
          <t>Not requested</t>
        </is>
      </c>
      <c r="R2" s="18" t="inlineStr">
        <is>
          <t>Internal dev</t>
        </is>
      </c>
      <c r="S2" s="18" t="inlineStr">
        <is>
          <t>Mitigated</t>
        </is>
      </c>
    </row>
    <row r="3">
      <c r="A3" s="18" t="inlineStr">
        <is>
          <t>Internal network</t>
        </is>
      </c>
      <c r="B3" s="18" t="inlineStr">
        <is>
          <t>API key</t>
        </is>
      </c>
      <c r="C3" s="18" t="inlineStr">
        <is>
          <t>Public web application / portal</t>
        </is>
      </c>
      <c r="D3" s="18" t="inlineStr">
        <is>
          <t>Public web application / portal</t>
        </is>
      </c>
      <c r="E3" s="18" t="inlineStr">
        <is>
          <t>Public web application / portal</t>
        </is>
      </c>
      <c r="F3" s="18" t="inlineStr">
        <is>
          <t>Only for admins</t>
        </is>
      </c>
      <c r="G3" s="18" t="inlineStr">
        <is>
          <t>Public cloud</t>
        </is>
      </c>
      <c r="H3" s="18" t="inlineStr">
        <is>
          <t>In production</t>
        </is>
      </c>
      <c r="I3" s="18" t="inlineStr">
        <is>
          <t>Internal team</t>
        </is>
      </c>
      <c r="J3" s="18" t="inlineStr">
        <is>
          <t>COTS (vendor product on our infrastructure)</t>
        </is>
      </c>
      <c r="K3" s="18" t="inlineStr">
        <is>
          <t>Yes, on demand and controlled (approval, PAM, session recording)</t>
        </is>
      </c>
      <c r="L3" s="18" t="inlineStr">
        <is>
          <t>No</t>
        </is>
      </c>
      <c r="M3" s="18" t="inlineStr">
        <is>
          <t>No</t>
        </is>
      </c>
      <c r="N3" s="18" t="inlineStr">
        <is>
          <t>Tampering</t>
        </is>
      </c>
      <c r="O3" s="18" t="inlineStr">
        <is>
          <t>Medium</t>
        </is>
      </c>
      <c r="P3" s="18" t="inlineStr">
        <is>
          <t>Approved</t>
        </is>
      </c>
      <c r="Q3" s="18" t="inlineStr">
        <is>
          <t>Requested to SOC</t>
        </is>
      </c>
      <c r="R3" s="18" t="inlineStr">
        <is>
          <t>Configuration</t>
        </is>
      </c>
      <c r="S3" s="18" t="inlineStr">
        <is>
          <t>Partially mitigated</t>
        </is>
      </c>
    </row>
    <row r="4">
      <c r="A4" s="18" t="inlineStr">
        <is>
          <t>Restricted management network / jump host only</t>
        </is>
      </c>
      <c r="B4" s="18" t="inlineStr">
        <is>
          <t>mTLS (client certificate)</t>
        </is>
      </c>
      <c r="C4" s="18" t="inlineStr">
        <is>
          <t>API for partners</t>
        </is>
      </c>
      <c r="D4" s="18" t="inlineStr">
        <is>
          <t>API for partners</t>
        </is>
      </c>
      <c r="E4" s="18" t="inlineStr">
        <is>
          <t>API for partners</t>
        </is>
      </c>
      <c r="F4" s="18" t="inlineStr">
        <is>
          <t>No</t>
        </is>
      </c>
      <c r="G4" s="18" t="inlineStr">
        <is>
          <t>Hybrid</t>
        </is>
      </c>
      <c r="H4" s="18" t="inlineStr">
        <is>
          <t>Legacy (no new features)</t>
        </is>
      </c>
      <c r="I4" s="18" t="inlineStr">
        <is>
          <t>Shared</t>
        </is>
      </c>
      <c r="J4" s="18" t="inlineStr">
        <is>
          <t>COTS with customizations</t>
        </is>
      </c>
      <c r="K4" s="18" t="inlineStr">
        <is>
          <t>Yes, permanent</t>
        </is>
      </c>
      <c r="M4" s="18" t="inlineStr">
        <is>
          <t>Don't know</t>
        </is>
      </c>
      <c r="N4" s="18" t="inlineStr">
        <is>
          <t>Repudiation</t>
        </is>
      </c>
      <c r="O4" s="18" t="inlineStr">
        <is>
          <t>High</t>
        </is>
      </c>
      <c r="Q4" s="18" t="inlineStr">
        <is>
          <t>Deployed</t>
        </is>
      </c>
      <c r="R4" s="18" t="inlineStr">
        <is>
          <t>Vendor</t>
        </is>
      </c>
      <c r="S4" s="18" t="inlineStr">
        <is>
          <t>Unmitigated</t>
        </is>
      </c>
    </row>
    <row r="5">
      <c r="B5" s="18" t="inlineStr">
        <is>
          <t>Basic auth</t>
        </is>
      </c>
      <c r="C5" s="18" t="inlineStr">
        <is>
          <t>Internal API / service</t>
        </is>
      </c>
      <c r="D5" s="18" t="inlineStr">
        <is>
          <t>Internal API / service</t>
        </is>
      </c>
      <c r="E5" s="18" t="inlineStr">
        <is>
          <t>Internal API / service</t>
        </is>
      </c>
      <c r="F5" s="18" t="inlineStr">
        <is>
          <t>Don't know</t>
        </is>
      </c>
      <c r="H5" s="18" t="inlineStr">
        <is>
          <t>Being decommissioned</t>
        </is>
      </c>
      <c r="I5" s="18" t="inlineStr">
        <is>
          <t>Nobody defined</t>
        </is>
      </c>
      <c r="J5" s="18" t="inlineStr">
        <is>
          <t>Vendor appliance (physical/virtual)</t>
        </is>
      </c>
      <c r="K5" s="18" t="inlineStr">
        <is>
          <t>Don't know</t>
        </is>
      </c>
      <c r="N5" s="18" t="inlineStr">
        <is>
          <t>Information disclosure</t>
        </is>
      </c>
      <c r="Q5" s="18" t="inlineStr">
        <is>
          <t>Rejected</t>
        </is>
      </c>
      <c r="R5" s="18" t="inlineStr">
        <is>
          <t>Compensating</t>
        </is>
      </c>
      <c r="S5" s="18" t="inlineStr">
        <is>
          <t>Not verified</t>
        </is>
      </c>
    </row>
    <row r="6">
      <c r="B6" s="18" t="inlineStr">
        <is>
          <t>No authentication</t>
        </is>
      </c>
      <c r="C6" s="18" t="inlineStr">
        <is>
          <t>Mobile app backend</t>
        </is>
      </c>
      <c r="D6" s="18" t="inlineStr">
        <is>
          <t>Mobile app backend</t>
        </is>
      </c>
      <c r="E6" s="18" t="inlineStr">
        <is>
          <t>Mobile app backend</t>
        </is>
      </c>
      <c r="J6" s="18" t="inlineStr">
        <is>
          <t>SaaS (vendor infrastructure)</t>
        </is>
      </c>
      <c r="N6" s="18" t="inlineStr">
        <is>
          <t>Denial of service</t>
        </is>
      </c>
      <c r="R6" s="18" t="inlineStr">
        <is>
          <t>Risk acceptance</t>
        </is>
      </c>
      <c r="S6" s="18" t="inlineStr">
        <is>
          <t>No applicable controls</t>
        </is>
      </c>
    </row>
    <row r="7">
      <c r="B7" s="18" t="inlineStr">
        <is>
          <t>Other</t>
        </is>
      </c>
      <c r="C7" s="18" t="inlineStr">
        <is>
          <t>Batch / file integration</t>
        </is>
      </c>
      <c r="D7" s="18" t="inlineStr">
        <is>
          <t>Batch / file integration</t>
        </is>
      </c>
      <c r="E7" s="18" t="inlineStr">
        <is>
          <t>Batch / file integration</t>
        </is>
      </c>
      <c r="N7" s="18" t="inlineStr">
        <is>
          <t>Elevation of privilege</t>
        </is>
      </c>
      <c r="S7" s="18" t="inlineStr">
        <is>
          <t>No controls mapped</t>
        </is>
      </c>
    </row>
    <row r="8">
      <c r="C8" s="18" t="inlineStr">
        <is>
          <t>Asynchronous / event processing</t>
        </is>
      </c>
      <c r="D8" s="18" t="inlineStr">
        <is>
          <t>Asynchronous / event processing</t>
        </is>
      </c>
      <c r="E8" s="18" t="inlineStr">
        <is>
          <t>Asynchronous / event processing</t>
        </is>
      </c>
      <c r="S8" s="18" t="inlineStr">
        <is>
          <t>N/A</t>
        </is>
      </c>
    </row>
    <row r="9">
      <c r="C9" s="18" t="inlineStr">
        <is>
          <t>Vendor product hosted by us</t>
        </is>
      </c>
      <c r="D9" s="18" t="inlineStr">
        <is>
          <t>Vendor product hosted by us</t>
        </is>
      </c>
      <c r="E9" s="18" t="inlineStr">
        <is>
          <t>Vendor product hosted by us</t>
        </is>
      </c>
    </row>
    <row r="10">
      <c r="C10" s="18" t="inlineStr">
        <is>
          <t>Vendor product with our customizations</t>
        </is>
      </c>
      <c r="D10" s="18" t="inlineStr">
        <is>
          <t>Vendor product with our customizations</t>
        </is>
      </c>
      <c r="E10" s="18" t="inlineStr">
        <is>
          <t>Vendor product with our customizations</t>
        </is>
      </c>
    </row>
    <row r="11">
      <c r="C11" s="18" t="inlineStr">
        <is>
          <t>Vendor appliance</t>
        </is>
      </c>
      <c r="D11" s="18" t="inlineStr">
        <is>
          <t>Vendor appliance</t>
        </is>
      </c>
      <c r="E11" s="18" t="inlineStr">
        <is>
          <t>Vendor appliance</t>
        </is>
      </c>
    </row>
    <row r="12">
      <c r="D12" s="18" t="inlineStr">
        <is>
          <t>None of these fits</t>
        </is>
      </c>
      <c r="E12" s="18" t="inlineStr">
        <is>
          <t>No second pattern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s="18" t="inlineStr">
        <is>
          <t>ASVS_VERSION</t>
        </is>
      </c>
      <c r="B2" s="18" t="inlineStr">
        <is>
          <t>5.0.0</t>
        </is>
      </c>
    </row>
    <row r="3">
      <c r="A3" s="18" t="n"/>
      <c r="B3" s="18" t="n"/>
    </row>
    <row r="4">
      <c r="A4" s="18" t="inlineStr">
        <is>
          <t>TEMPLATE_VERSION</t>
        </is>
      </c>
      <c r="B4" s="18" t="inlineStr">
        <is>
          <t>3.0.0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2026-09-26T16:53:26Z</dcterms:modified>
  <cp:revision>0</cp:revision>
</cp:coreProperties>
</file>